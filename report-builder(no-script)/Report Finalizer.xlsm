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campos\Desktop\V1.8-Template - T&amp;B Project\03 - Project\"/>
    </mc:Choice>
  </mc:AlternateContent>
  <bookViews>
    <workbookView xWindow="120" yWindow="228" windowWidth="20112" windowHeight="8388"/>
  </bookViews>
  <sheets>
    <sheet name="Summary Builder" sheetId="1" r:id="rId1"/>
    <sheet name="Sheet2" sheetId="5" r:id="rId2"/>
    <sheet name="GRSMT" sheetId="4" r:id="rId3"/>
  </sheets>
  <definedNames>
    <definedName name="AC">'Summary Builder'!$C$39:$C$42</definedName>
    <definedName name="AC_Final_1">'Summary Builder'!$C$41</definedName>
    <definedName name="AHU">'Summary Builder'!$C$27:$C$30</definedName>
    <definedName name="AHU_Final_1">'Summary Builder'!$C$29</definedName>
    <definedName name="Architect">'Summary Builder'!$C$19</definedName>
    <definedName name="BOILER">'Summary Builder'!$B$79:$B$82</definedName>
    <definedName name="BOILER_Final_1">'Summary Builder'!$C$81</definedName>
    <definedName name="CHILLER">'Summary Builder'!$C$59:$C$62</definedName>
    <definedName name="CHILLER_Final_1">'Summary Builder'!$C$61</definedName>
    <definedName name="CHWP">'Summary Builder'!$C$63:$C$66</definedName>
    <definedName name="CHWP_Final_1">'Summary Builder'!$C$65</definedName>
    <definedName name="Client_Address">'Summary Builder'!$C$14</definedName>
    <definedName name="Client_Name">'Summary Builder'!$C$13</definedName>
    <definedName name="Client_Phone">'Summary Builder'!$C$15</definedName>
    <definedName name="CLIENTLOGO">GRSMT!$A$34</definedName>
    <definedName name="Contractor">'Summary Builder'!$C$21</definedName>
    <definedName name="CRAC">'Summary Builder'!$C$43:$C$46</definedName>
    <definedName name="CRAC_Final_1">'Summary Builder'!$C$45</definedName>
    <definedName name="CT">'Summary Builder'!$C$75:$C$78</definedName>
    <definedName name="CT_Final_1">'Summary Builder'!$C$77</definedName>
    <definedName name="Current_File_Name">'Summary Builder'!$Z$1</definedName>
    <definedName name="Current_Folder_Path">'Summary Builder'!$AA$1</definedName>
    <definedName name="CWP">'Summary Builder'!$C$67:$C$70</definedName>
    <definedName name="CWP_Final_1">'Summary Builder'!$C$69</definedName>
    <definedName name="ERV">'Summary Builder'!$C$47:$C$50</definedName>
    <definedName name="ERV_Final_1">'Summary Builder'!$C$49</definedName>
    <definedName name="FAN">'Summary Builder'!$C$51:$C$54</definedName>
    <definedName name="FAN_Final_1">'Summary Builder'!$C$53</definedName>
    <definedName name="FCU">'Summary Builder'!$C$35:$C$38</definedName>
    <definedName name="FCU_Final_1">'Summary Builder'!$C$37</definedName>
    <definedName name="First_System">GRSMT!$A$29</definedName>
    <definedName name="First_Title">GRSMT!$A$29</definedName>
    <definedName name="Folder_Location">'Summary Builder'!$F$5</definedName>
    <definedName name="Height_Range">Sheet2!$A$1</definedName>
    <definedName name="HWP">'Summary Builder'!$C$71:$C$74</definedName>
    <definedName name="HWP_Final_1">'Summary Builder'!$C$73</definedName>
    <definedName name="MEP_Engineer">'Summary Builder'!$C$20</definedName>
    <definedName name="NEBB_Supervisor">'Summary Builder'!$C$22</definedName>
    <definedName name="Owner">'Summary Builder'!$C$18</definedName>
    <definedName name="_xlnm.Print_Area" localSheetId="2">GRSMT!$A$1:$AI$62</definedName>
    <definedName name="Project">'Summary Builder'!$C$17</definedName>
    <definedName name="Project_Location">'Summary Builder'!$C$11</definedName>
    <definedName name="Project_Name">'Summary Builder'!$C$10</definedName>
    <definedName name="Project_Number">'Summary Builder'!$C$23</definedName>
    <definedName name="RTU">'Summary Builder'!$C$31:$C$34</definedName>
    <definedName name="RTU_Final_1">'Summary Builder'!$C$33</definedName>
    <definedName name="Sealing_PE">'Summary Builder'!$C$24</definedName>
    <definedName name="Sealing_PE_Email">'Summary Builder'!$C$25</definedName>
    <definedName name="Text_Location">'Summary Builder'!$Y$1</definedName>
    <definedName name="UH">'Summary Builder'!$C$55:$C$58</definedName>
    <definedName name="UH_Final_1">'Summary Builder'!$C$57</definedName>
    <definedName name="Unit_Number">'Summary Builder'!$X$1</definedName>
  </definedNames>
  <calcPr calcId="162913"/>
</workbook>
</file>

<file path=xl/calcChain.xml><?xml version="1.0" encoding="utf-8"?>
<calcChain xmlns="http://schemas.openxmlformats.org/spreadsheetml/2006/main">
  <c r="C29" i="1" l="1"/>
  <c r="Y14" i="1" l="1"/>
  <c r="X14" i="1" s="1"/>
  <c r="Y2" i="1"/>
  <c r="X2" i="1" s="1"/>
  <c r="Y15" i="1"/>
  <c r="X15" i="1" s="1"/>
  <c r="Y4" i="1"/>
  <c r="X4" i="1" s="1"/>
  <c r="Y16" i="1"/>
  <c r="X16" i="1" s="1"/>
  <c r="Y1" i="1"/>
  <c r="X1" i="1" s="1"/>
  <c r="Y12" i="1"/>
  <c r="X12" i="1" s="1"/>
  <c r="Y7" i="1"/>
  <c r="X7" i="1" s="1"/>
  <c r="Y18" i="1"/>
  <c r="X18" i="1" s="1"/>
  <c r="Y8" i="1"/>
  <c r="X8" i="1" s="1"/>
  <c r="Y9" i="1"/>
  <c r="X9" i="1" s="1"/>
  <c r="Y11" i="1"/>
  <c r="X11" i="1" s="1"/>
  <c r="Y13" i="1"/>
  <c r="X13" i="1" s="1"/>
  <c r="Y17" i="1"/>
  <c r="X17" i="1" s="1"/>
  <c r="Y19" i="1"/>
  <c r="X19" i="1" s="1"/>
  <c r="Y20" i="1"/>
  <c r="X20" i="1" s="1"/>
  <c r="Y21" i="1"/>
  <c r="X21" i="1" s="1"/>
  <c r="Y10" i="1"/>
  <c r="X10" i="1" s="1"/>
  <c r="Y22" i="1"/>
  <c r="X22" i="1" s="1"/>
  <c r="Y23" i="1"/>
  <c r="X23" i="1" s="1"/>
  <c r="Y3" i="1"/>
  <c r="X3" i="1" s="1"/>
  <c r="Y5" i="1"/>
  <c r="X5" i="1" s="1"/>
  <c r="Y6" i="1"/>
  <c r="X6" i="1" s="1"/>
  <c r="Y25" i="1"/>
  <c r="X25" i="1" s="1"/>
  <c r="Y26" i="1"/>
  <c r="X26" i="1" s="1"/>
  <c r="Y27" i="1"/>
  <c r="X27" i="1" s="1"/>
  <c r="Y28" i="1"/>
  <c r="X28" i="1" s="1"/>
  <c r="Y29" i="1"/>
  <c r="X29" i="1" s="1"/>
  <c r="Y30" i="1"/>
  <c r="X30" i="1" s="1"/>
  <c r="Y31" i="1"/>
  <c r="X31" i="1" s="1"/>
  <c r="Y32" i="1"/>
  <c r="X32" i="1" s="1"/>
  <c r="Y33" i="1"/>
  <c r="X33" i="1" s="1"/>
  <c r="Y34" i="1"/>
  <c r="X34" i="1" s="1"/>
  <c r="Y35" i="1"/>
  <c r="X35" i="1" s="1"/>
  <c r="Y36" i="1"/>
  <c r="X36" i="1" s="1"/>
  <c r="Y37" i="1"/>
  <c r="X37" i="1" s="1"/>
  <c r="Y38" i="1"/>
  <c r="X38" i="1" s="1"/>
  <c r="Y39" i="1"/>
  <c r="X39" i="1" s="1"/>
  <c r="Y40" i="1"/>
  <c r="X40" i="1" s="1"/>
  <c r="Y41" i="1"/>
  <c r="X41" i="1" s="1"/>
  <c r="Y42" i="1"/>
  <c r="X42" i="1" s="1"/>
  <c r="Y43" i="1"/>
  <c r="X43" i="1" s="1"/>
  <c r="Y44" i="1"/>
  <c r="X44" i="1" s="1"/>
  <c r="Y45" i="1"/>
  <c r="X45" i="1" s="1"/>
  <c r="Y46" i="1"/>
  <c r="X46" i="1" s="1"/>
  <c r="Y47" i="1"/>
  <c r="X47" i="1" s="1"/>
  <c r="Y48" i="1"/>
  <c r="X48" i="1" s="1"/>
  <c r="Y49" i="1"/>
  <c r="X49" i="1" s="1"/>
  <c r="Y50" i="1"/>
  <c r="X50" i="1" s="1"/>
  <c r="Y51" i="1"/>
  <c r="X51" i="1" s="1"/>
  <c r="Y52" i="1"/>
  <c r="X52" i="1" s="1"/>
  <c r="Y53" i="1"/>
  <c r="X53" i="1" s="1"/>
  <c r="Y54" i="1"/>
  <c r="X54" i="1" s="1"/>
  <c r="Y55" i="1"/>
  <c r="X55" i="1" s="1"/>
  <c r="Y56" i="1"/>
  <c r="X56" i="1" s="1"/>
  <c r="Y57" i="1"/>
  <c r="X57" i="1" s="1"/>
  <c r="Y58" i="1"/>
  <c r="X58" i="1" s="1"/>
  <c r="Y59" i="1"/>
  <c r="X59" i="1" s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X79" i="1" s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122" i="1"/>
  <c r="X122" i="1" s="1"/>
  <c r="Y123" i="1"/>
  <c r="X123" i="1" s="1"/>
  <c r="Y124" i="1"/>
  <c r="X124" i="1" s="1"/>
  <c r="Y125" i="1"/>
  <c r="X125" i="1" s="1"/>
  <c r="Y126" i="1"/>
  <c r="X126" i="1" s="1"/>
  <c r="Y127" i="1"/>
  <c r="X127" i="1" s="1"/>
  <c r="Y128" i="1"/>
  <c r="X128" i="1" s="1"/>
  <c r="Y129" i="1"/>
  <c r="X129" i="1" s="1"/>
  <c r="Y130" i="1"/>
  <c r="X130" i="1" s="1"/>
  <c r="Y131" i="1"/>
  <c r="X131" i="1" s="1"/>
  <c r="Y132" i="1"/>
  <c r="X132" i="1" s="1"/>
  <c r="Y133" i="1"/>
  <c r="X133" i="1" s="1"/>
  <c r="Y134" i="1"/>
  <c r="X134" i="1" s="1"/>
  <c r="Y135" i="1"/>
  <c r="X135" i="1" s="1"/>
  <c r="Y136" i="1"/>
  <c r="X136" i="1" s="1"/>
  <c r="Y137" i="1"/>
  <c r="X137" i="1" s="1"/>
  <c r="Y138" i="1"/>
  <c r="X138" i="1" s="1"/>
  <c r="Y139" i="1"/>
  <c r="X139" i="1" s="1"/>
  <c r="Y140" i="1"/>
  <c r="X140" i="1" s="1"/>
  <c r="Y141" i="1"/>
  <c r="X141" i="1" s="1"/>
  <c r="Y142" i="1"/>
  <c r="X142" i="1" s="1"/>
  <c r="Y143" i="1"/>
  <c r="X143" i="1" s="1"/>
  <c r="Y144" i="1"/>
  <c r="X144" i="1" s="1"/>
  <c r="Y145" i="1"/>
  <c r="X145" i="1" s="1"/>
  <c r="Y146" i="1"/>
  <c r="X146" i="1" s="1"/>
  <c r="Y147" i="1"/>
  <c r="X147" i="1" s="1"/>
  <c r="Y148" i="1"/>
  <c r="X148" i="1" s="1"/>
  <c r="Y149" i="1"/>
  <c r="X149" i="1" s="1"/>
  <c r="Y150" i="1"/>
  <c r="X150" i="1" s="1"/>
  <c r="Y151" i="1"/>
  <c r="X151" i="1" s="1"/>
  <c r="Y152" i="1"/>
  <c r="X152" i="1" s="1"/>
  <c r="Y153" i="1"/>
  <c r="X153" i="1" s="1"/>
  <c r="Y154" i="1"/>
  <c r="X154" i="1" s="1"/>
  <c r="Y155" i="1"/>
  <c r="X155" i="1" s="1"/>
  <c r="Y156" i="1"/>
  <c r="X156" i="1" s="1"/>
  <c r="Y157" i="1"/>
  <c r="X157" i="1" s="1"/>
  <c r="Y158" i="1"/>
  <c r="X158" i="1" s="1"/>
  <c r="Y159" i="1"/>
  <c r="X159" i="1" s="1"/>
  <c r="Y160" i="1"/>
  <c r="X160" i="1" s="1"/>
  <c r="Y161" i="1"/>
  <c r="X161" i="1" s="1"/>
  <c r="Y162" i="1"/>
  <c r="X162" i="1" s="1"/>
  <c r="Y163" i="1"/>
  <c r="X163" i="1" s="1"/>
  <c r="Y164" i="1"/>
  <c r="X164" i="1" s="1"/>
  <c r="Y165" i="1"/>
  <c r="X165" i="1" s="1"/>
  <c r="Y166" i="1"/>
  <c r="X166" i="1" s="1"/>
  <c r="Y167" i="1"/>
  <c r="X167" i="1" s="1"/>
  <c r="Y168" i="1"/>
  <c r="X168" i="1" s="1"/>
  <c r="Y169" i="1"/>
  <c r="X169" i="1" s="1"/>
  <c r="Y170" i="1"/>
  <c r="X170" i="1" s="1"/>
  <c r="Y171" i="1"/>
  <c r="X171" i="1" s="1"/>
  <c r="Y172" i="1"/>
  <c r="X172" i="1" s="1"/>
  <c r="Y173" i="1"/>
  <c r="X173" i="1" s="1"/>
  <c r="Y174" i="1"/>
  <c r="X174" i="1" s="1"/>
  <c r="Y175" i="1"/>
  <c r="X175" i="1" s="1"/>
  <c r="Y176" i="1"/>
  <c r="X176" i="1" s="1"/>
  <c r="Y177" i="1"/>
  <c r="X177" i="1" s="1"/>
  <c r="Y178" i="1"/>
  <c r="X178" i="1" s="1"/>
  <c r="Y179" i="1"/>
  <c r="X179" i="1" s="1"/>
  <c r="Y180" i="1"/>
  <c r="X180" i="1" s="1"/>
  <c r="Y181" i="1"/>
  <c r="X181" i="1" s="1"/>
  <c r="Y182" i="1"/>
  <c r="X182" i="1" s="1"/>
  <c r="Y183" i="1"/>
  <c r="X183" i="1" s="1"/>
  <c r="Y184" i="1"/>
  <c r="X184" i="1" s="1"/>
  <c r="Y185" i="1"/>
  <c r="X185" i="1" s="1"/>
  <c r="Y186" i="1"/>
  <c r="X186" i="1" s="1"/>
  <c r="Y187" i="1"/>
  <c r="X187" i="1" s="1"/>
  <c r="Y188" i="1"/>
  <c r="X188" i="1" s="1"/>
  <c r="Y189" i="1"/>
  <c r="X189" i="1" s="1"/>
  <c r="Y190" i="1"/>
  <c r="X190" i="1" s="1"/>
  <c r="Y191" i="1"/>
  <c r="X191" i="1" s="1"/>
  <c r="Y192" i="1"/>
  <c r="X192" i="1" s="1"/>
  <c r="Y193" i="1"/>
  <c r="X193" i="1" s="1"/>
  <c r="Y194" i="1"/>
  <c r="X194" i="1" s="1"/>
  <c r="Y195" i="1"/>
  <c r="X195" i="1" s="1"/>
  <c r="Y196" i="1"/>
  <c r="X196" i="1" s="1"/>
  <c r="Y197" i="1"/>
  <c r="X197" i="1" s="1"/>
  <c r="Y198" i="1"/>
  <c r="X198" i="1" s="1"/>
  <c r="Y199" i="1"/>
  <c r="X199" i="1" s="1"/>
  <c r="Y200" i="1"/>
  <c r="X200" i="1" s="1"/>
  <c r="Y201" i="1"/>
  <c r="X201" i="1" s="1"/>
  <c r="Y202" i="1"/>
  <c r="X202" i="1" s="1"/>
  <c r="Y203" i="1"/>
  <c r="X203" i="1" s="1"/>
  <c r="Y204" i="1"/>
  <c r="X204" i="1" s="1"/>
  <c r="Y205" i="1"/>
  <c r="X205" i="1" s="1"/>
  <c r="Y206" i="1"/>
  <c r="X206" i="1" s="1"/>
  <c r="Y207" i="1"/>
  <c r="X207" i="1" s="1"/>
  <c r="Y208" i="1"/>
  <c r="X208" i="1" s="1"/>
  <c r="Y209" i="1"/>
  <c r="X209" i="1" s="1"/>
  <c r="Y210" i="1"/>
  <c r="X210" i="1" s="1"/>
  <c r="Y211" i="1"/>
  <c r="X211" i="1" s="1"/>
  <c r="Y212" i="1"/>
  <c r="X212" i="1" s="1"/>
  <c r="Y213" i="1"/>
  <c r="X213" i="1" s="1"/>
  <c r="Y214" i="1"/>
  <c r="X214" i="1" s="1"/>
  <c r="Y215" i="1"/>
  <c r="X215" i="1" s="1"/>
  <c r="Y216" i="1"/>
  <c r="X216" i="1" s="1"/>
  <c r="Y217" i="1"/>
  <c r="X217" i="1" s="1"/>
  <c r="Y218" i="1"/>
  <c r="X218" i="1" s="1"/>
  <c r="Y219" i="1"/>
  <c r="X219" i="1" s="1"/>
  <c r="Y220" i="1"/>
  <c r="X220" i="1" s="1"/>
  <c r="Y221" i="1"/>
  <c r="X221" i="1" s="1"/>
  <c r="Y222" i="1"/>
  <c r="X222" i="1" s="1"/>
  <c r="Y223" i="1"/>
  <c r="X223" i="1" s="1"/>
  <c r="Y224" i="1"/>
  <c r="X224" i="1" s="1"/>
  <c r="Y225" i="1"/>
  <c r="X225" i="1" s="1"/>
  <c r="Y226" i="1"/>
  <c r="X226" i="1" s="1"/>
  <c r="Y227" i="1"/>
  <c r="X227" i="1" s="1"/>
  <c r="Y228" i="1"/>
  <c r="X228" i="1" s="1"/>
  <c r="Y229" i="1"/>
  <c r="X229" i="1" s="1"/>
  <c r="Y230" i="1"/>
  <c r="X230" i="1" s="1"/>
  <c r="Y231" i="1"/>
  <c r="X231" i="1" s="1"/>
  <c r="Y232" i="1"/>
  <c r="X232" i="1" s="1"/>
  <c r="Y233" i="1"/>
  <c r="X233" i="1" s="1"/>
  <c r="Y234" i="1"/>
  <c r="X234" i="1" s="1"/>
  <c r="Y235" i="1"/>
  <c r="X235" i="1" s="1"/>
  <c r="Y236" i="1"/>
  <c r="X236" i="1" s="1"/>
  <c r="Y237" i="1"/>
  <c r="X237" i="1" s="1"/>
  <c r="Y238" i="1"/>
  <c r="X238" i="1" s="1"/>
  <c r="Y239" i="1"/>
  <c r="X239" i="1" s="1"/>
  <c r="Y240" i="1"/>
  <c r="X240" i="1" s="1"/>
  <c r="Y241" i="1"/>
  <c r="X241" i="1" s="1"/>
  <c r="Y242" i="1"/>
  <c r="X242" i="1" s="1"/>
  <c r="Y243" i="1"/>
  <c r="X243" i="1" s="1"/>
  <c r="Y244" i="1"/>
  <c r="X244" i="1" s="1"/>
  <c r="Y245" i="1"/>
  <c r="X245" i="1" s="1"/>
  <c r="Y246" i="1"/>
  <c r="X246" i="1" s="1"/>
  <c r="Y247" i="1"/>
  <c r="X247" i="1" s="1"/>
  <c r="Y248" i="1"/>
  <c r="X248" i="1" s="1"/>
  <c r="Y249" i="1"/>
  <c r="X249" i="1" s="1"/>
  <c r="Y250" i="1"/>
  <c r="X250" i="1" s="1"/>
  <c r="Y251" i="1"/>
  <c r="X251" i="1" s="1"/>
  <c r="Y252" i="1"/>
  <c r="X252" i="1" s="1"/>
  <c r="Y253" i="1"/>
  <c r="X253" i="1" s="1"/>
  <c r="Y254" i="1"/>
  <c r="X254" i="1" s="1"/>
  <c r="Y255" i="1"/>
  <c r="X255" i="1" s="1"/>
  <c r="Y256" i="1"/>
  <c r="X256" i="1" s="1"/>
  <c r="Y257" i="1"/>
  <c r="X257" i="1" s="1"/>
  <c r="Y258" i="1"/>
  <c r="X258" i="1" s="1"/>
  <c r="Y259" i="1"/>
  <c r="X259" i="1" s="1"/>
  <c r="Y260" i="1"/>
  <c r="X260" i="1" s="1"/>
  <c r="Y261" i="1"/>
  <c r="X261" i="1" s="1"/>
  <c r="Y262" i="1"/>
  <c r="X262" i="1" s="1"/>
  <c r="Y263" i="1"/>
  <c r="X263" i="1" s="1"/>
  <c r="Y264" i="1"/>
  <c r="X264" i="1" s="1"/>
  <c r="Y265" i="1"/>
  <c r="X265" i="1" s="1"/>
  <c r="Y266" i="1"/>
  <c r="X266" i="1" s="1"/>
  <c r="Y267" i="1"/>
  <c r="X267" i="1" s="1"/>
  <c r="Y268" i="1"/>
  <c r="X268" i="1" s="1"/>
  <c r="Y269" i="1"/>
  <c r="X269" i="1" s="1"/>
  <c r="Y270" i="1"/>
  <c r="X270" i="1" s="1"/>
  <c r="Y271" i="1"/>
  <c r="X271" i="1" s="1"/>
  <c r="Y272" i="1"/>
  <c r="X272" i="1" s="1"/>
  <c r="Y273" i="1"/>
  <c r="X273" i="1" s="1"/>
  <c r="Y274" i="1"/>
  <c r="X274" i="1" s="1"/>
  <c r="Y275" i="1"/>
  <c r="X275" i="1" s="1"/>
  <c r="Y276" i="1"/>
  <c r="X276" i="1" s="1"/>
  <c r="Y277" i="1"/>
  <c r="X277" i="1" s="1"/>
  <c r="Y278" i="1"/>
  <c r="X278" i="1" s="1"/>
  <c r="Y279" i="1"/>
  <c r="X279" i="1" s="1"/>
  <c r="Y280" i="1"/>
  <c r="X280" i="1" s="1"/>
  <c r="Y281" i="1"/>
  <c r="X281" i="1" s="1"/>
  <c r="Y282" i="1"/>
  <c r="X282" i="1" s="1"/>
  <c r="Y283" i="1"/>
  <c r="X283" i="1" s="1"/>
  <c r="Y284" i="1"/>
  <c r="X284" i="1" s="1"/>
  <c r="Y285" i="1"/>
  <c r="X285" i="1" s="1"/>
  <c r="Y286" i="1"/>
  <c r="X286" i="1" s="1"/>
  <c r="Y287" i="1"/>
  <c r="X287" i="1" s="1"/>
  <c r="Y288" i="1"/>
  <c r="X288" i="1" s="1"/>
  <c r="Y289" i="1"/>
  <c r="X289" i="1" s="1"/>
  <c r="Y290" i="1"/>
  <c r="X290" i="1" s="1"/>
  <c r="Y291" i="1"/>
  <c r="X291" i="1" s="1"/>
  <c r="Y292" i="1"/>
  <c r="X292" i="1" s="1"/>
  <c r="Y293" i="1"/>
  <c r="X293" i="1" s="1"/>
  <c r="Y294" i="1"/>
  <c r="X294" i="1" s="1"/>
  <c r="Y295" i="1"/>
  <c r="X295" i="1" s="1"/>
  <c r="Y296" i="1"/>
  <c r="X296" i="1" s="1"/>
  <c r="Y297" i="1"/>
  <c r="X297" i="1" s="1"/>
  <c r="Y298" i="1"/>
  <c r="X298" i="1" s="1"/>
  <c r="Y299" i="1"/>
  <c r="X299" i="1" s="1"/>
  <c r="Y300" i="1"/>
  <c r="X300" i="1" s="1"/>
  <c r="Y301" i="1"/>
  <c r="X301" i="1" s="1"/>
  <c r="Y302" i="1"/>
  <c r="X302" i="1" s="1"/>
  <c r="Y303" i="1"/>
  <c r="X303" i="1" s="1"/>
  <c r="Y304" i="1"/>
  <c r="X304" i="1" s="1"/>
  <c r="Y305" i="1"/>
  <c r="X305" i="1" s="1"/>
  <c r="Y306" i="1"/>
  <c r="X306" i="1" s="1"/>
  <c r="Y307" i="1"/>
  <c r="X307" i="1" s="1"/>
  <c r="Y308" i="1"/>
  <c r="X308" i="1" s="1"/>
  <c r="Y309" i="1"/>
  <c r="X309" i="1" s="1"/>
  <c r="Y310" i="1"/>
  <c r="X310" i="1" s="1"/>
  <c r="Y311" i="1"/>
  <c r="X311" i="1" s="1"/>
  <c r="Y312" i="1"/>
  <c r="X312" i="1" s="1"/>
  <c r="Y313" i="1"/>
  <c r="X313" i="1" s="1"/>
  <c r="Y314" i="1"/>
  <c r="X314" i="1" s="1"/>
  <c r="Y315" i="1"/>
  <c r="X315" i="1" s="1"/>
  <c r="Y316" i="1"/>
  <c r="X316" i="1" s="1"/>
  <c r="Y317" i="1"/>
  <c r="X317" i="1" s="1"/>
  <c r="Y318" i="1"/>
  <c r="X318" i="1" s="1"/>
  <c r="Y319" i="1"/>
  <c r="X319" i="1" s="1"/>
  <c r="Y320" i="1"/>
  <c r="X320" i="1" s="1"/>
  <c r="Y321" i="1"/>
  <c r="X321" i="1" s="1"/>
  <c r="Y322" i="1"/>
  <c r="X322" i="1" s="1"/>
  <c r="Y323" i="1"/>
  <c r="X323" i="1" s="1"/>
  <c r="Y324" i="1"/>
  <c r="X324" i="1" s="1"/>
  <c r="Y325" i="1"/>
  <c r="X325" i="1" s="1"/>
  <c r="Y326" i="1"/>
  <c r="X326" i="1" s="1"/>
  <c r="Y327" i="1"/>
  <c r="X327" i="1" s="1"/>
  <c r="Y328" i="1"/>
  <c r="X328" i="1" s="1"/>
  <c r="Y329" i="1"/>
  <c r="X329" i="1" s="1"/>
  <c r="Y330" i="1"/>
  <c r="X330" i="1" s="1"/>
  <c r="Y331" i="1"/>
  <c r="X331" i="1" s="1"/>
  <c r="Y332" i="1"/>
  <c r="X332" i="1" s="1"/>
  <c r="Y333" i="1"/>
  <c r="X333" i="1" s="1"/>
  <c r="Y334" i="1"/>
  <c r="X334" i="1" s="1"/>
  <c r="Y335" i="1"/>
  <c r="X335" i="1" s="1"/>
  <c r="Y336" i="1"/>
  <c r="X336" i="1" s="1"/>
  <c r="Y337" i="1"/>
  <c r="X337" i="1" s="1"/>
  <c r="Y338" i="1"/>
  <c r="X338" i="1" s="1"/>
  <c r="Y339" i="1"/>
  <c r="X339" i="1" s="1"/>
  <c r="Y340" i="1"/>
  <c r="X340" i="1" s="1"/>
  <c r="Y341" i="1"/>
  <c r="X341" i="1" s="1"/>
  <c r="Y342" i="1"/>
  <c r="X342" i="1" s="1"/>
  <c r="Y343" i="1"/>
  <c r="X343" i="1" s="1"/>
  <c r="Y344" i="1"/>
  <c r="X344" i="1" s="1"/>
  <c r="Y345" i="1"/>
  <c r="X345" i="1" s="1"/>
  <c r="Y346" i="1"/>
  <c r="X346" i="1" s="1"/>
  <c r="Y347" i="1"/>
  <c r="X347" i="1" s="1"/>
  <c r="Y348" i="1"/>
  <c r="X348" i="1" s="1"/>
  <c r="Y349" i="1"/>
  <c r="X349" i="1" s="1"/>
  <c r="Y350" i="1"/>
  <c r="X350" i="1" s="1"/>
  <c r="Y351" i="1"/>
  <c r="X351" i="1" s="1"/>
  <c r="Y352" i="1"/>
  <c r="X352" i="1" s="1"/>
  <c r="Y353" i="1"/>
  <c r="X353" i="1" s="1"/>
  <c r="Y354" i="1"/>
  <c r="X354" i="1" s="1"/>
  <c r="Y355" i="1"/>
  <c r="X355" i="1" s="1"/>
  <c r="Y356" i="1"/>
  <c r="X356" i="1" s="1"/>
  <c r="Y357" i="1"/>
  <c r="X357" i="1" s="1"/>
  <c r="Y358" i="1"/>
  <c r="X358" i="1" s="1"/>
  <c r="Y359" i="1"/>
  <c r="X359" i="1" s="1"/>
  <c r="Y360" i="1"/>
  <c r="X360" i="1" s="1"/>
  <c r="Y361" i="1"/>
  <c r="X361" i="1" s="1"/>
  <c r="Y362" i="1"/>
  <c r="X362" i="1" s="1"/>
  <c r="Y363" i="1"/>
  <c r="X363" i="1" s="1"/>
  <c r="Y364" i="1"/>
  <c r="X364" i="1" s="1"/>
  <c r="Y365" i="1"/>
  <c r="X365" i="1" s="1"/>
  <c r="Y366" i="1"/>
  <c r="X366" i="1" s="1"/>
  <c r="Y367" i="1"/>
  <c r="X367" i="1" s="1"/>
  <c r="Y368" i="1"/>
  <c r="X368" i="1" s="1"/>
  <c r="Y369" i="1"/>
  <c r="X369" i="1" s="1"/>
  <c r="Y370" i="1"/>
  <c r="X370" i="1" s="1"/>
  <c r="Y371" i="1"/>
  <c r="X371" i="1" s="1"/>
  <c r="Y372" i="1"/>
  <c r="X372" i="1" s="1"/>
  <c r="Y373" i="1"/>
  <c r="X373" i="1" s="1"/>
  <c r="Y374" i="1"/>
  <c r="X374" i="1" s="1"/>
  <c r="Y375" i="1"/>
  <c r="X375" i="1" s="1"/>
  <c r="Y376" i="1"/>
  <c r="X376" i="1" s="1"/>
  <c r="Y377" i="1"/>
  <c r="X377" i="1" s="1"/>
  <c r="Y378" i="1"/>
  <c r="X378" i="1" s="1"/>
  <c r="Y379" i="1"/>
  <c r="X379" i="1" s="1"/>
  <c r="Y380" i="1"/>
  <c r="X380" i="1" s="1"/>
  <c r="Y381" i="1"/>
  <c r="X381" i="1" s="1"/>
  <c r="Y382" i="1"/>
  <c r="X382" i="1" s="1"/>
  <c r="Y383" i="1"/>
  <c r="X383" i="1" s="1"/>
  <c r="Y384" i="1"/>
  <c r="X384" i="1" s="1"/>
  <c r="Y385" i="1"/>
  <c r="X385" i="1" s="1"/>
  <c r="Y386" i="1"/>
  <c r="X386" i="1" s="1"/>
  <c r="Y387" i="1"/>
  <c r="X387" i="1" s="1"/>
  <c r="Y388" i="1"/>
  <c r="X388" i="1" s="1"/>
  <c r="Y389" i="1"/>
  <c r="X389" i="1" s="1"/>
  <c r="Y390" i="1"/>
  <c r="X390" i="1" s="1"/>
  <c r="Y391" i="1"/>
  <c r="X391" i="1" s="1"/>
  <c r="Y392" i="1"/>
  <c r="X392" i="1" s="1"/>
  <c r="Y393" i="1"/>
  <c r="X393" i="1" s="1"/>
  <c r="Y394" i="1"/>
  <c r="X394" i="1" s="1"/>
  <c r="Y395" i="1"/>
  <c r="X395" i="1" s="1"/>
  <c r="Y396" i="1"/>
  <c r="X396" i="1" s="1"/>
  <c r="Y397" i="1"/>
  <c r="X397" i="1" s="1"/>
  <c r="Y398" i="1"/>
  <c r="X398" i="1" s="1"/>
  <c r="Y399" i="1"/>
  <c r="X399" i="1" s="1"/>
  <c r="Y400" i="1"/>
  <c r="X400" i="1" s="1"/>
  <c r="Y24" i="1"/>
  <c r="X24" i="1" s="1"/>
  <c r="C33" i="1" l="1"/>
  <c r="C37" i="1"/>
  <c r="C41" i="1"/>
  <c r="C45" i="1"/>
  <c r="C49" i="1"/>
  <c r="C53" i="1"/>
  <c r="C57" i="1"/>
  <c r="C61" i="1"/>
  <c r="C65" i="1"/>
  <c r="C69" i="1"/>
  <c r="C73" i="1"/>
  <c r="C77" i="1"/>
  <c r="C81" i="1"/>
  <c r="A9" i="4" l="1"/>
</calcChain>
</file>

<file path=xl/sharedStrings.xml><?xml version="1.0" encoding="utf-8"?>
<sst xmlns="http://schemas.openxmlformats.org/spreadsheetml/2006/main" count="368" uniqueCount="81">
  <si>
    <t>Final Auto Summary Statement</t>
  </si>
  <si>
    <t>Auto Summary Statement Individual Parts</t>
  </si>
  <si>
    <t>Part 1</t>
  </si>
  <si>
    <t>Part 2</t>
  </si>
  <si>
    <t>Part 3</t>
  </si>
  <si>
    <t>Part 4</t>
  </si>
  <si>
    <t>Part 5</t>
  </si>
  <si>
    <t>Part 6</t>
  </si>
  <si>
    <t>Part 7</t>
  </si>
  <si>
    <t>Part 8</t>
  </si>
  <si>
    <t>Part 9</t>
  </si>
  <si>
    <t>Part 10</t>
  </si>
  <si>
    <t>Part 11</t>
  </si>
  <si>
    <t>Part 12</t>
  </si>
  <si>
    <t>Part 13</t>
  </si>
  <si>
    <t>Part 14</t>
  </si>
  <si>
    <t>Part 15</t>
  </si>
  <si>
    <t>Part 16</t>
  </si>
  <si>
    <t>Part 17</t>
  </si>
  <si>
    <t>Part 18</t>
  </si>
  <si>
    <t>Part 19</t>
  </si>
  <si>
    <t>Part 20</t>
  </si>
  <si>
    <t>AHU's</t>
  </si>
  <si>
    <t>RTU's</t>
  </si>
  <si>
    <t>FCU's</t>
  </si>
  <si>
    <t>AC's</t>
  </si>
  <si>
    <t>CRAC's</t>
  </si>
  <si>
    <t>ERV's</t>
  </si>
  <si>
    <t>FAN's</t>
  </si>
  <si>
    <t>UH's</t>
  </si>
  <si>
    <t>Chiller's</t>
  </si>
  <si>
    <t>CHWP's</t>
  </si>
  <si>
    <t>CWP's</t>
  </si>
  <si>
    <t>HWP's</t>
  </si>
  <si>
    <t>CT's</t>
  </si>
  <si>
    <t>Boiler's</t>
  </si>
  <si>
    <t>The Corrective Action Report can be found in the Appendix of this report.</t>
  </si>
  <si>
    <t>Nomenclature used throughout this report appears in the appendix.</t>
  </si>
  <si>
    <t>b. Exhaust grilles have been designated by a triangle.</t>
  </si>
  <si>
    <t>a. Supply diffusers have been designated by a hexagon.</t>
  </si>
  <si>
    <t>The following symbols have been designated on the reduced drawings that have been provided for these areas.</t>
  </si>
  <si>
    <t>General Remarks:</t>
  </si>
  <si>
    <t>Richardson, TX</t>
  </si>
  <si>
    <t>Project Location:</t>
  </si>
  <si>
    <t>State Farm Shell and Core</t>
  </si>
  <si>
    <t>Project Name:</t>
  </si>
  <si>
    <t>Brant Engineering</t>
  </si>
  <si>
    <t>Summary</t>
  </si>
  <si>
    <t>Report Prepared for:</t>
  </si>
  <si>
    <t>V1.0</t>
  </si>
  <si>
    <t>Step 1:</t>
  </si>
  <si>
    <t>Step 2:</t>
  </si>
  <si>
    <t>Locate folder "03 - Project" for current project with Browse Button. ---&gt;</t>
  </si>
  <si>
    <t>Step 3:</t>
  </si>
  <si>
    <t>Folder location:</t>
  </si>
  <si>
    <t>Step 4:</t>
  </si>
  <si>
    <t>Save-As General Remarks &amp; Summary Template with correct name in correct server location.</t>
  </si>
  <si>
    <t>Step 5:</t>
  </si>
  <si>
    <t>Click "Build" once all Summary Statements are complete. ---&gt;</t>
  </si>
  <si>
    <t>SHEET ID</t>
  </si>
  <si>
    <t xml:space="preserve">INPUT DESCRIPTION </t>
  </si>
  <si>
    <t>USER INPUT</t>
  </si>
  <si>
    <t>General Information Setup</t>
  </si>
  <si>
    <t>Project Name</t>
  </si>
  <si>
    <t>Project Location</t>
  </si>
  <si>
    <t>Client Report Prepared for</t>
  </si>
  <si>
    <t>Client Name</t>
  </si>
  <si>
    <t>Client Address</t>
  </si>
  <si>
    <t>Client Phone Number</t>
  </si>
  <si>
    <t>Report Certifications Flyer</t>
  </si>
  <si>
    <t>Owner Name</t>
  </si>
  <si>
    <t>Architect Name</t>
  </si>
  <si>
    <t>MEP Engineer Name</t>
  </si>
  <si>
    <t>Contractor Name</t>
  </si>
  <si>
    <t>Campos NEBB Supervisor</t>
  </si>
  <si>
    <t>Campos Project No.</t>
  </si>
  <si>
    <t>Campos Sealing P.E.</t>
  </si>
  <si>
    <t>Campos Sealing P.E. Email Address</t>
  </si>
  <si>
    <t>FINALIZER, GENERAL REMARKS &amp; SUMMARY USER GUIDE</t>
  </si>
  <si>
    <t>T&amp;B FINALIZER, GENERAL REMARKS &amp; SUMMARY BUILDER</t>
  </si>
  <si>
    <t>Click "Update" to fill in project information, delete unused systems, and Spell Check all sheets within the project. 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</si>
</sst>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\ ??/16"/>
    <numFmt numFmtId="165" formatCode="0.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theme="1"/>
      <name val="Arial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name val="Arial"/>
      <family val="2"/>
    </font>
    <font>
      <u/>
      <sz val="11"/>
      <name val="Arial"/>
      <family val="2"/>
    </font>
    <font>
      <b/>
      <sz val="9"/>
      <color theme="1"/>
      <name val="Arial"/>
      <family val="2"/>
    </font>
    <font>
      <sz val="11"/>
      <color rgb="FF002060"/>
      <name val="Arial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sz val="10"/>
      <color indexed="24"/>
      <name val="Times New Roman"/>
      <family val="1"/>
    </font>
    <font>
      <sz val="12"/>
      <color indexed="24"/>
      <name val="Arial"/>
      <family val="2"/>
    </font>
    <font>
      <sz val="18"/>
      <color indexed="24"/>
      <name val="Arial"/>
      <family val="2"/>
    </font>
    <font>
      <sz val="8"/>
      <color indexed="24"/>
      <name val="Arial"/>
      <family val="2"/>
    </font>
    <font>
      <sz val="10"/>
      <color indexed="24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1" fontId="11" fillId="0" borderId="0" applyProtection="0"/>
    <xf numFmtId="1" fontId="12" fillId="0" borderId="0" applyProtection="0"/>
    <xf numFmtId="1" fontId="13" fillId="0" borderId="0" applyProtection="0"/>
    <xf numFmtId="1" fontId="13" fillId="0" borderId="0" applyProtection="0"/>
    <xf numFmtId="1" fontId="13" fillId="0" borderId="0" applyProtection="0"/>
    <xf numFmtId="1" fontId="13" fillId="0" borderId="0" applyProtection="0"/>
    <xf numFmtId="1" fontId="13" fillId="0" borderId="0" applyProtection="0"/>
    <xf numFmtId="1" fontId="14" fillId="0" borderId="0" applyProtection="0"/>
    <xf numFmtId="1" fontId="15" fillId="0" borderId="0" applyProtection="0"/>
    <xf numFmtId="1" fontId="16" fillId="0" borderId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</cellStyleXfs>
  <cellXfs count="86">
    <xf numFmtId="0" fontId="0" fillId="0" borderId="0" xfId="0"/>
    <xf numFmtId="0" fontId="4" fillId="0" borderId="0" xfId="0" applyFont="1"/>
    <xf numFmtId="0" fontId="4" fillId="3" borderId="0" xfId="0" applyFont="1" applyFill="1" applyAlignment="1"/>
    <xf numFmtId="0" fontId="5" fillId="0" borderId="0" xfId="0" applyFont="1" applyAlignment="1">
      <alignment vertical="center"/>
    </xf>
    <xf numFmtId="0" fontId="4" fillId="0" borderId="0" xfId="0" applyFont="1" applyFill="1" applyBorder="1"/>
    <xf numFmtId="0" fontId="4" fillId="3" borderId="0" xfId="0" applyFont="1" applyFill="1" applyBorder="1" applyAlignment="1"/>
    <xf numFmtId="0" fontId="6" fillId="3" borderId="0" xfId="2" applyFill="1" applyBorder="1" applyAlignment="1"/>
    <xf numFmtId="0" fontId="5" fillId="2" borderId="0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4" fillId="0" borderId="0" xfId="0" applyFont="1" applyAlignment="1">
      <alignment wrapText="1"/>
    </xf>
    <xf numFmtId="0" fontId="4" fillId="0" borderId="0" xfId="0" applyFont="1" applyFill="1" applyBorder="1" applyAlignment="1">
      <alignment wrapText="1"/>
    </xf>
    <xf numFmtId="0" fontId="4" fillId="3" borderId="0" xfId="0" applyFont="1" applyFill="1" applyBorder="1" applyAlignment="1">
      <alignment wrapText="1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1" fontId="4" fillId="3" borderId="0" xfId="0" applyNumberFormat="1" applyFont="1" applyFill="1" applyBorder="1" applyAlignment="1"/>
    <xf numFmtId="2" fontId="4" fillId="3" borderId="0" xfId="0" applyNumberFormat="1" applyFont="1" applyFill="1" applyBorder="1" applyAlignment="1"/>
    <xf numFmtId="164" fontId="4" fillId="3" borderId="0" xfId="1" applyNumberFormat="1" applyFont="1" applyFill="1" applyBorder="1" applyAlignment="1"/>
    <xf numFmtId="0" fontId="9" fillId="3" borderId="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/>
    </xf>
    <xf numFmtId="165" fontId="4" fillId="3" borderId="0" xfId="0" applyNumberFormat="1" applyFont="1" applyFill="1" applyBorder="1" applyAlignment="1"/>
    <xf numFmtId="0" fontId="10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9" fillId="0" borderId="0" xfId="0" applyFont="1" applyFill="1" applyBorder="1" applyAlignment="1"/>
    <xf numFmtId="0" fontId="4" fillId="0" borderId="6" xfId="0" applyFont="1" applyFill="1" applyBorder="1" applyAlignment="1" applyProtection="1">
      <alignment horizont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horizontal="left" vertical="center" wrapText="1"/>
    </xf>
    <xf numFmtId="0" fontId="0" fillId="0" borderId="0" xfId="0" applyFill="1"/>
    <xf numFmtId="0" fontId="4" fillId="0" borderId="8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9" fillId="0" borderId="8" xfId="0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wrapText="1"/>
    </xf>
    <xf numFmtId="0" fontId="0" fillId="0" borderId="0" xfId="0" applyFill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0" fillId="0" borderId="2" xfId="0" applyFill="1" applyBorder="1" applyAlignment="1">
      <alignment vertical="center" wrapText="1"/>
    </xf>
    <xf numFmtId="0" fontId="0" fillId="0" borderId="2" xfId="0" applyFill="1" applyBorder="1" applyAlignment="1">
      <alignment horizontal="left" vertical="center" wrapText="1"/>
    </xf>
    <xf numFmtId="3" fontId="0" fillId="0" borderId="2" xfId="0" applyNumberFormat="1" applyFill="1" applyBorder="1" applyAlignment="1">
      <alignment horizontal="left" vertical="center" wrapText="1"/>
    </xf>
    <xf numFmtId="0" fontId="0" fillId="0" borderId="3" xfId="0" applyFill="1" applyBorder="1" applyAlignment="1">
      <alignment horizontal="left" vertical="center" wrapText="1"/>
    </xf>
    <xf numFmtId="0" fontId="18" fillId="0" borderId="8" xfId="0" applyFont="1" applyFill="1" applyBorder="1" applyAlignment="1" applyProtection="1">
      <alignment vertical="center"/>
      <protection locked="0"/>
    </xf>
    <xf numFmtId="0" fontId="18" fillId="0" borderId="0" xfId="0" applyFont="1" applyFill="1" applyBorder="1" applyAlignment="1" applyProtection="1">
      <alignment vertical="center"/>
      <protection locked="0"/>
    </xf>
    <xf numFmtId="0" fontId="1" fillId="0" borderId="1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19" fillId="6" borderId="0" xfId="0" applyFont="1" applyFill="1"/>
    <xf numFmtId="0" fontId="0" fillId="6" borderId="0" xfId="0" applyFill="1" applyAlignment="1">
      <alignment horizontal="left" vertical="center" wrapText="1"/>
    </xf>
    <xf numFmtId="0" fontId="0" fillId="6" borderId="0" xfId="0" applyFill="1"/>
    <xf numFmtId="0" fontId="20" fillId="6" borderId="0" xfId="0" applyFont="1" applyFill="1"/>
    <xf numFmtId="0" fontId="4" fillId="6" borderId="0" xfId="0" applyFont="1" applyFill="1" applyBorder="1" applyAlignment="1" applyProtection="1">
      <alignment horizontal="center" vertical="center"/>
      <protection locked="0"/>
    </xf>
    <xf numFmtId="0" fontId="22" fillId="2" borderId="9" xfId="0" applyFont="1" applyFill="1" applyBorder="1" applyAlignment="1" applyProtection="1">
      <alignment horizontal="center" vertical="center"/>
      <protection locked="0"/>
    </xf>
    <xf numFmtId="0" fontId="22" fillId="2" borderId="15" xfId="0" applyFont="1" applyFill="1" applyBorder="1" applyAlignment="1" applyProtection="1">
      <alignment horizontal="center" vertical="center"/>
      <protection locked="0"/>
    </xf>
    <xf numFmtId="0" fontId="23" fillId="7" borderId="9" xfId="0" applyFont="1" applyFill="1" applyBorder="1" applyAlignment="1" applyProtection="1">
      <alignment horizontal="center" vertical="center"/>
      <protection locked="0"/>
    </xf>
    <xf numFmtId="0" fontId="22" fillId="7" borderId="9" xfId="0" applyFont="1" applyFill="1" applyBorder="1" applyAlignment="1" applyProtection="1">
      <alignment horizontal="center" vertical="center"/>
      <protection locked="0"/>
    </xf>
    <xf numFmtId="0" fontId="22" fillId="7" borderId="15" xfId="0" applyFont="1" applyFill="1" applyBorder="1" applyAlignment="1" applyProtection="1">
      <alignment horizontal="center" vertical="center"/>
      <protection locked="0"/>
    </xf>
    <xf numFmtId="0" fontId="23" fillId="2" borderId="9" xfId="0" applyFont="1" applyFill="1" applyBorder="1" applyAlignment="1" applyProtection="1">
      <alignment horizontal="center" vertical="center"/>
      <protection locked="0"/>
    </xf>
    <xf numFmtId="0" fontId="22" fillId="2" borderId="15" xfId="0" applyFont="1" applyFill="1" applyBorder="1" applyAlignment="1" applyProtection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5" fillId="2" borderId="0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top" wrapText="1"/>
    </xf>
    <xf numFmtId="0" fontId="5" fillId="2" borderId="0" xfId="0" applyFont="1" applyFill="1" applyBorder="1" applyAlignment="1">
      <alignment horizontal="left" vertical="center"/>
    </xf>
    <xf numFmtId="0" fontId="5" fillId="2" borderId="0" xfId="0" applyFont="1" applyFill="1" applyAlignment="1">
      <alignment vertical="center" wrapText="1"/>
    </xf>
    <xf numFmtId="0" fontId="5" fillId="2" borderId="0" xfId="0" quotePrefix="1" applyFont="1" applyFill="1" applyAlignment="1">
      <alignment horizontal="left" vertical="top"/>
    </xf>
    <xf numFmtId="0" fontId="5" fillId="2" borderId="0" xfId="0" quotePrefix="1" applyFont="1" applyFill="1" applyBorder="1" applyAlignment="1">
      <alignment horizontal="left" vertical="center"/>
    </xf>
    <xf numFmtId="0" fontId="5" fillId="2" borderId="0" xfId="0" quotePrefix="1" applyFont="1" applyFill="1" applyBorder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0" borderId="0" xfId="0" quotePrefix="1" applyFont="1" applyAlignment="1">
      <alignment horizontal="left" vertical="top"/>
    </xf>
    <xf numFmtId="0" fontId="5" fillId="2" borderId="0" xfId="0" quotePrefix="1" applyFont="1" applyFill="1" applyAlignment="1">
      <alignment vertical="center"/>
    </xf>
    <xf numFmtId="0" fontId="25" fillId="2" borderId="0" xfId="2" applyFont="1" applyFill="1" applyBorder="1" applyAlignment="1">
      <alignment vertical="center"/>
    </xf>
    <xf numFmtId="0" fontId="1" fillId="0" borderId="12" xfId="0" applyFont="1" applyFill="1" applyBorder="1" applyAlignment="1">
      <alignment horizontal="left" vertical="center" wrapText="1"/>
    </xf>
    <xf numFmtId="0" fontId="1" fillId="0" borderId="13" xfId="0" applyFont="1" applyFill="1" applyBorder="1" applyAlignment="1">
      <alignment horizontal="left" vertical="center" wrapText="1"/>
    </xf>
    <xf numFmtId="0" fontId="1" fillId="0" borderId="14" xfId="0" applyFont="1" applyFill="1" applyBorder="1" applyAlignment="1">
      <alignment horizontal="left" vertical="center" wrapText="1"/>
    </xf>
    <xf numFmtId="0" fontId="3" fillId="0" borderId="16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20" fillId="6" borderId="0" xfId="0" applyFont="1" applyFill="1" applyAlignment="1">
      <alignment horizontal="left" vertical="center" wrapText="1"/>
    </xf>
    <xf numFmtId="0" fontId="4" fillId="4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</cellXfs>
  <cellStyles count="16">
    <cellStyle name="F2" xfId="3"/>
    <cellStyle name="F3" xfId="4"/>
    <cellStyle name="F4" xfId="5"/>
    <cellStyle name="F4 2" xfId="6"/>
    <cellStyle name="F4 2 2" xfId="7"/>
    <cellStyle name="F4 3" xfId="8"/>
    <cellStyle name="F4 3 2" xfId="9"/>
    <cellStyle name="F5" xfId="10"/>
    <cellStyle name="F6" xfId="11"/>
    <cellStyle name="F7" xfId="12"/>
    <cellStyle name="F8" xfId="13"/>
    <cellStyle name="F8 2" xfId="14"/>
    <cellStyle name="Hyperlink" xfId="2" builtinId="8"/>
    <cellStyle name="Normal" xfId="0" builtinId="0"/>
    <cellStyle name="Normal 2" xfId="15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144780</xdr:rowOff>
    </xdr:from>
    <xdr:to>
      <xdr:col>1</xdr:col>
      <xdr:colOff>954283</xdr:colOff>
      <xdr:row>1</xdr:row>
      <xdr:rowOff>161058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780"/>
          <a:ext cx="2025413" cy="2933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1280160</xdr:colOff>
          <xdr:row>6</xdr:row>
          <xdr:rowOff>7620</xdr:rowOff>
        </xdr:from>
        <xdr:to>
          <xdr:col>7</xdr:col>
          <xdr:colOff>1356360</xdr:colOff>
          <xdr:row>7</xdr:row>
          <xdr:rowOff>175260</xdr:rowOff>
        </xdr:to>
        <xdr:sp macro="" textlink="">
          <xdr:nvSpPr>
            <xdr:cNvPr id="1044" name="Update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1280160</xdr:colOff>
          <xdr:row>8</xdr:row>
          <xdr:rowOff>0</xdr:rowOff>
        </xdr:from>
        <xdr:to>
          <xdr:col>7</xdr:col>
          <xdr:colOff>1341120</xdr:colOff>
          <xdr:row>9</xdr:row>
          <xdr:rowOff>38100</xdr:rowOff>
        </xdr:to>
        <xdr:sp macro="" textlink="">
          <xdr:nvSpPr>
            <xdr:cNvPr id="1045" name="Build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3</xdr:row>
          <xdr:rowOff>0</xdr:rowOff>
        </xdr:from>
        <xdr:to>
          <xdr:col>8</xdr:col>
          <xdr:colOff>723900</xdr:colOff>
          <xdr:row>4</xdr:row>
          <xdr:rowOff>7620</xdr:rowOff>
        </xdr:to>
        <xdr:sp macro="" textlink="">
          <xdr:nvSpPr>
            <xdr:cNvPr id="1046" name="Browse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6466</xdr:rowOff>
    </xdr:from>
    <xdr:ext cx="2016076" cy="360561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6966"/>
          <a:ext cx="2016076" cy="36056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00"/>
  <sheetViews>
    <sheetView tabSelected="1" zoomScale="70" zoomScaleNormal="70" workbookViewId="0">
      <selection activeCell="D26" sqref="D26"/>
    </sheetView>
  </sheetViews>
  <sheetFormatPr defaultColWidth="9.109375" defaultRowHeight="14.4" x14ac:dyDescent="0.3"/>
  <cols>
    <col min="1" max="1" width="17" style="30" customWidth="1"/>
    <col min="2" max="2" width="37.88671875" style="35" customWidth="1"/>
    <col min="3" max="3" width="51.6640625" style="29" customWidth="1"/>
    <col min="4" max="22" width="20.6640625" style="29" customWidth="1"/>
    <col min="23" max="23" width="20.6640625" style="30" customWidth="1"/>
    <col min="24" max="24" width="10.33203125" style="30" customWidth="1"/>
    <col min="25" max="16384" width="9.109375" style="30"/>
  </cols>
  <sheetData>
    <row r="1" spans="1:25" ht="21.9" customHeight="1" x14ac:dyDescent="0.3">
      <c r="A1" s="27"/>
      <c r="B1" s="28"/>
      <c r="D1" s="47" t="s">
        <v>78</v>
      </c>
      <c r="E1" s="48"/>
      <c r="F1" s="48"/>
      <c r="G1" s="48"/>
      <c r="H1" s="48"/>
      <c r="I1" s="49"/>
      <c r="J1" s="50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9"/>
      <c r="X1" s="30" t="str">
        <f>IF(Y1="","",VALUE(RIGHT(Z1,LEN(Z1) -Y1+1)))</f>
        <v/>
      </c>
      <c r="Y1" s="30" t="str">
        <f>IF(Z1="","",MIN(FIND({0,1,2,3,4,5,6,7,8,9},Z1 &amp; "0123456789")))</f>
        <v/>
      </c>
    </row>
    <row r="2" spans="1:25" ht="21.9" customHeight="1" x14ac:dyDescent="0.3">
      <c r="A2" s="31"/>
      <c r="B2" s="32"/>
      <c r="D2" s="51"/>
      <c r="E2" s="48"/>
      <c r="F2" s="48"/>
      <c r="G2" s="48"/>
      <c r="H2" s="48"/>
      <c r="I2" s="50"/>
      <c r="J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9"/>
      <c r="X2" s="30" t="str">
        <f>IF(Y2="","",VALUE(RIGHT(Z2,LEN(Z2) -Y2+1)))</f>
        <v/>
      </c>
      <c r="Y2" s="30" t="str">
        <f>IF(Z2="","",MIN(FIND({0,1,2,3,4,5,6,7,8,9},Z2 &amp; "0123456789")))</f>
        <v/>
      </c>
    </row>
    <row r="3" spans="1:25" ht="21.9" customHeight="1" x14ac:dyDescent="0.3">
      <c r="A3" s="31"/>
      <c r="B3" s="32"/>
      <c r="D3" s="47" t="s">
        <v>50</v>
      </c>
      <c r="E3" s="50" t="s">
        <v>56</v>
      </c>
      <c r="F3" s="48"/>
      <c r="G3" s="48"/>
      <c r="H3" s="48"/>
      <c r="I3" s="49"/>
      <c r="J3" s="49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9"/>
      <c r="X3" s="30" t="str">
        <f>IF(Y3="","",VALUE(RIGHT(Z3,LEN(Z3) -Y3+1)))</f>
        <v/>
      </c>
      <c r="Y3" s="30" t="str">
        <f>IF(Z3="","",MIN(FIND({0,1,2,3,4,5,6,7,8,9},Z3 &amp; "0123456789")))</f>
        <v/>
      </c>
    </row>
    <row r="4" spans="1:25" ht="21.9" customHeight="1" x14ac:dyDescent="0.3">
      <c r="A4" s="31"/>
      <c r="B4" s="32"/>
      <c r="D4" s="47" t="s">
        <v>51</v>
      </c>
      <c r="E4" s="50" t="s">
        <v>52</v>
      </c>
      <c r="F4" s="48"/>
      <c r="G4" s="48"/>
      <c r="H4" s="48"/>
      <c r="I4" s="49"/>
      <c r="J4" s="49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9"/>
      <c r="X4" s="30" t="str">
        <f t="shared" ref="X4:X24" si="0">IF(Y4="","",VALUE(RIGHT(Z4,LEN(Z4) -Y4+1)))</f>
        <v/>
      </c>
      <c r="Y4" s="30" t="str">
        <f>IF(Z4="","",MIN(FIND({0,1,2,3,4,5,6,7,8,9},Z4 &amp; "0123456789")))</f>
        <v/>
      </c>
    </row>
    <row r="5" spans="1:25" ht="21.9" customHeight="1" x14ac:dyDescent="0.3">
      <c r="A5" s="42" t="s">
        <v>79</v>
      </c>
      <c r="B5" s="43"/>
      <c r="D5" s="47" t="s">
        <v>53</v>
      </c>
      <c r="E5" s="50" t="s">
        <v>54</v>
      </c>
      <c r="F5" s="77"/>
      <c r="G5" s="78"/>
      <c r="H5" s="78"/>
      <c r="I5" s="79"/>
      <c r="J5" s="49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9"/>
      <c r="X5" s="30" t="str">
        <f t="shared" si="0"/>
        <v/>
      </c>
      <c r="Y5" s="30" t="str">
        <f>IF(Z5="","",MIN(FIND({0,1,2,3,4,5,6,7,8,9},Z5 &amp; "0123456789")))</f>
        <v/>
      </c>
    </row>
    <row r="6" spans="1:25" ht="21.9" customHeight="1" x14ac:dyDescent="0.3">
      <c r="A6" s="33" t="s">
        <v>49</v>
      </c>
      <c r="B6" s="34"/>
      <c r="D6" s="47"/>
      <c r="E6" s="50"/>
      <c r="F6" s="48"/>
      <c r="G6" s="48"/>
      <c r="H6" s="48"/>
      <c r="I6" s="49"/>
      <c r="J6" s="49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9"/>
      <c r="X6" s="30" t="str">
        <f t="shared" si="0"/>
        <v/>
      </c>
      <c r="Y6" s="30" t="str">
        <f>IF(Z6="","",MIN(FIND({0,1,2,3,4,5,6,7,8,9},Z6 &amp; "0123456789")))</f>
        <v/>
      </c>
    </row>
    <row r="7" spans="1:25" ht="21.9" customHeight="1" x14ac:dyDescent="0.3">
      <c r="D7" s="47" t="s">
        <v>55</v>
      </c>
      <c r="E7" s="80" t="s">
        <v>80</v>
      </c>
      <c r="F7" s="80"/>
      <c r="G7" s="80"/>
      <c r="H7" s="48"/>
      <c r="I7" s="49"/>
      <c r="J7" s="49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9"/>
      <c r="X7" s="30" t="str">
        <f t="shared" si="0"/>
        <v/>
      </c>
      <c r="Y7" s="30" t="str">
        <f>IF(Z7="","",MIN(FIND({0,1,2,3,4,5,6,7,8,9},Z7 &amp; "0123456789")))</f>
        <v/>
      </c>
    </row>
    <row r="8" spans="1:25" ht="21.9" customHeight="1" x14ac:dyDescent="0.3">
      <c r="A8" s="52" t="s">
        <v>59</v>
      </c>
      <c r="B8" s="52" t="s">
        <v>60</v>
      </c>
      <c r="C8" s="53" t="s">
        <v>61</v>
      </c>
      <c r="D8" s="48"/>
      <c r="E8" s="80"/>
      <c r="F8" s="80"/>
      <c r="G8" s="80"/>
      <c r="H8" s="48"/>
      <c r="I8" s="49"/>
      <c r="J8" s="49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9"/>
      <c r="X8" s="30" t="str">
        <f t="shared" si="0"/>
        <v/>
      </c>
      <c r="Y8" s="30" t="str">
        <f>IF(Z8="","",MIN(FIND({0,1,2,3,4,5,6,7,8,9},Z8 &amp; "0123456789")))</f>
        <v/>
      </c>
    </row>
    <row r="9" spans="1:25" ht="21.9" customHeight="1" x14ac:dyDescent="0.3">
      <c r="A9" s="54"/>
      <c r="B9" s="55" t="s">
        <v>62</v>
      </c>
      <c r="C9" s="56"/>
      <c r="D9" s="47" t="s">
        <v>57</v>
      </c>
      <c r="E9" s="50" t="s">
        <v>58</v>
      </c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9"/>
      <c r="X9" s="30" t="str">
        <f t="shared" si="0"/>
        <v/>
      </c>
      <c r="Y9" s="30" t="str">
        <f>IF(Z9="","",MIN(FIND({0,1,2,3,4,5,6,7,8,9},Z9 &amp; "0123456789")))</f>
        <v/>
      </c>
    </row>
    <row r="10" spans="1:25" ht="21.9" customHeight="1" x14ac:dyDescent="0.3">
      <c r="A10" s="57"/>
      <c r="B10" s="57" t="s">
        <v>63</v>
      </c>
      <c r="C10" s="53"/>
      <c r="D10" s="47"/>
      <c r="E10" s="50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9"/>
      <c r="X10" s="30" t="str">
        <f t="shared" si="0"/>
        <v/>
      </c>
      <c r="Y10" s="30" t="str">
        <f>IF(Z10="","",MIN(FIND({0,1,2,3,4,5,6,7,8,9},Z10 &amp; "0123456789")))</f>
        <v/>
      </c>
    </row>
    <row r="11" spans="1:25" ht="21.9" customHeight="1" x14ac:dyDescent="0.3">
      <c r="A11" s="57"/>
      <c r="B11" s="57" t="s">
        <v>64</v>
      </c>
      <c r="C11" s="53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9"/>
      <c r="X11" s="30" t="str">
        <f t="shared" si="0"/>
        <v/>
      </c>
      <c r="Y11" s="30" t="str">
        <f>IF(Z11="","",MIN(FIND({0,1,2,3,4,5,6,7,8,9},Z11 &amp; "0123456789")))</f>
        <v/>
      </c>
    </row>
    <row r="12" spans="1:25" ht="21.9" customHeight="1" x14ac:dyDescent="0.3">
      <c r="A12" s="54"/>
      <c r="B12" s="55" t="s">
        <v>65</v>
      </c>
      <c r="C12" s="56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9"/>
      <c r="X12" s="30" t="str">
        <f t="shared" si="0"/>
        <v/>
      </c>
      <c r="Y12" s="30" t="str">
        <f>IF(Z12="","",MIN(FIND({0,1,2,3,4,5,6,7,8,9},Z12 &amp; "0123456789")))</f>
        <v/>
      </c>
    </row>
    <row r="13" spans="1:25" ht="21.9" customHeight="1" x14ac:dyDescent="0.3">
      <c r="A13" s="57"/>
      <c r="B13" s="57" t="s">
        <v>66</v>
      </c>
      <c r="C13" s="53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9"/>
      <c r="X13" s="30" t="str">
        <f t="shared" si="0"/>
        <v/>
      </c>
      <c r="Y13" s="30" t="str">
        <f>IF(Z13="","",MIN(FIND({0,1,2,3,4,5,6,7,8,9},Z13 &amp; "0123456789")))</f>
        <v/>
      </c>
    </row>
    <row r="14" spans="1:25" ht="21.9" customHeight="1" x14ac:dyDescent="0.3">
      <c r="A14" s="57"/>
      <c r="B14" s="57" t="s">
        <v>67</v>
      </c>
      <c r="C14" s="53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9"/>
      <c r="X14" s="30" t="str">
        <f t="shared" si="0"/>
        <v/>
      </c>
      <c r="Y14" s="30" t="str">
        <f>IF(Z14="","",MIN(FIND({0,1,2,3,4,5,6,7,8,9},Z14 &amp; "0123456789")))</f>
        <v/>
      </c>
    </row>
    <row r="15" spans="1:25" ht="21.9" customHeight="1" x14ac:dyDescent="0.3">
      <c r="A15" s="57"/>
      <c r="B15" s="57" t="s">
        <v>68</v>
      </c>
      <c r="C15" s="53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9"/>
      <c r="X15" s="30" t="str">
        <f t="shared" si="0"/>
        <v/>
      </c>
      <c r="Y15" s="30" t="str">
        <f>IF(Z15="","",MIN(FIND({0,1,2,3,4,5,6,7,8,9},Z15 &amp; "0123456789")))</f>
        <v/>
      </c>
    </row>
    <row r="16" spans="1:25" ht="21.9" customHeight="1" x14ac:dyDescent="0.3">
      <c r="A16" s="54"/>
      <c r="B16" s="55" t="s">
        <v>69</v>
      </c>
      <c r="C16" s="56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9"/>
      <c r="X16" s="30" t="str">
        <f t="shared" si="0"/>
        <v/>
      </c>
      <c r="Y16" s="30" t="str">
        <f>IF(Z16="","",MIN(FIND({0,1,2,3,4,5,6,7,8,9},Z16 &amp; "0123456789")))</f>
        <v/>
      </c>
    </row>
    <row r="17" spans="1:25" ht="21.9" customHeight="1" x14ac:dyDescent="0.3">
      <c r="A17" s="57"/>
      <c r="B17" s="57" t="s">
        <v>63</v>
      </c>
      <c r="C17" s="5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9"/>
      <c r="X17" s="30" t="str">
        <f t="shared" si="0"/>
        <v/>
      </c>
      <c r="Y17" s="30" t="str">
        <f>IF(Z17="","",MIN(FIND({0,1,2,3,4,5,6,7,8,9},Z17 &amp; "0123456789")))</f>
        <v/>
      </c>
    </row>
    <row r="18" spans="1:25" ht="21.9" customHeight="1" x14ac:dyDescent="0.3">
      <c r="A18" s="57"/>
      <c r="B18" s="57" t="s">
        <v>70</v>
      </c>
      <c r="C18" s="53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9"/>
      <c r="X18" s="30" t="str">
        <f t="shared" si="0"/>
        <v/>
      </c>
      <c r="Y18" s="30" t="str">
        <f>IF(Z18="","",MIN(FIND({0,1,2,3,4,5,6,7,8,9},Z18 &amp; "0123456789")))</f>
        <v/>
      </c>
    </row>
    <row r="19" spans="1:25" ht="21.9" customHeight="1" x14ac:dyDescent="0.3">
      <c r="A19" s="57"/>
      <c r="B19" s="57" t="s">
        <v>71</v>
      </c>
      <c r="C19" s="53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9"/>
      <c r="X19" s="30" t="str">
        <f t="shared" si="0"/>
        <v/>
      </c>
      <c r="Y19" s="30" t="str">
        <f>IF(Z19="","",MIN(FIND({0,1,2,3,4,5,6,7,8,9},Z19 &amp; "0123456789")))</f>
        <v/>
      </c>
    </row>
    <row r="20" spans="1:25" ht="21.9" customHeight="1" x14ac:dyDescent="0.3">
      <c r="A20" s="57"/>
      <c r="B20" s="57" t="s">
        <v>72</v>
      </c>
      <c r="C20" s="53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9"/>
      <c r="X20" s="30" t="str">
        <f t="shared" si="0"/>
        <v/>
      </c>
      <c r="Y20" s="30" t="str">
        <f>IF(Z20="","",MIN(FIND({0,1,2,3,4,5,6,7,8,9},Z20 &amp; "0123456789")))</f>
        <v/>
      </c>
    </row>
    <row r="21" spans="1:25" ht="21.9" customHeight="1" x14ac:dyDescent="0.3">
      <c r="A21" s="57"/>
      <c r="B21" s="57" t="s">
        <v>73</v>
      </c>
      <c r="C21" s="53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9"/>
      <c r="X21" s="30" t="str">
        <f t="shared" si="0"/>
        <v/>
      </c>
      <c r="Y21" s="30" t="str">
        <f>IF(Z21="","",MIN(FIND({0,1,2,3,4,5,6,7,8,9},Z21 &amp; "0123456789")))</f>
        <v/>
      </c>
    </row>
    <row r="22" spans="1:25" ht="21.9" customHeight="1" x14ac:dyDescent="0.3">
      <c r="A22" s="57"/>
      <c r="B22" s="57" t="s">
        <v>74</v>
      </c>
      <c r="C22" s="53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9"/>
      <c r="X22" s="30" t="str">
        <f t="shared" si="0"/>
        <v/>
      </c>
      <c r="Y22" s="30" t="str">
        <f>IF(Z22="","",MIN(FIND({0,1,2,3,4,5,6,7,8,9},Z22 &amp; "0123456789")))</f>
        <v/>
      </c>
    </row>
    <row r="23" spans="1:25" ht="21.9" customHeight="1" x14ac:dyDescent="0.3">
      <c r="A23" s="57"/>
      <c r="B23" s="57" t="s">
        <v>75</v>
      </c>
      <c r="C23" s="53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9"/>
      <c r="X23" s="30" t="str">
        <f t="shared" si="0"/>
        <v/>
      </c>
      <c r="Y23" s="30" t="str">
        <f>IF(Z23="","",MIN(FIND({0,1,2,3,4,5,6,7,8,9},Z23 &amp; "0123456789")))</f>
        <v/>
      </c>
    </row>
    <row r="24" spans="1:25" ht="21.9" customHeight="1" x14ac:dyDescent="0.3">
      <c r="A24" s="57"/>
      <c r="B24" s="57" t="s">
        <v>76</v>
      </c>
      <c r="C24" s="53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9"/>
      <c r="X24" s="30" t="str">
        <f t="shared" si="0"/>
        <v/>
      </c>
      <c r="Y24" s="30" t="str">
        <f>IF(Z24="","",MIN(FIND({0,1,2,3,4,5,6,7,8,9},Z24 &amp; "0123456789")))</f>
        <v/>
      </c>
    </row>
    <row r="25" spans="1:25" ht="21.9" customHeight="1" x14ac:dyDescent="0.3">
      <c r="A25" s="57"/>
      <c r="B25" s="57" t="s">
        <v>77</v>
      </c>
      <c r="C25" s="59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9"/>
      <c r="X25" s="30" t="str">
        <f t="shared" ref="X25:X65" si="1">IF(Y25="","",VALUE(RIGHT(Z25,LEN(Z25) -Y25+1)))</f>
        <v/>
      </c>
      <c r="Y25" s="30" t="str">
        <f>IF(Z25="","",MIN(FIND({0,1,2,3,4,5,6,7,8,9},Z25 &amp; "0123456789")))</f>
        <v/>
      </c>
    </row>
    <row r="26" spans="1:25" ht="21.9" customHeight="1" thickBot="1" x14ac:dyDescent="0.35">
      <c r="A26" s="36"/>
      <c r="X26" s="30" t="str">
        <f t="shared" si="1"/>
        <v/>
      </c>
      <c r="Y26" s="30" t="str">
        <f>IF(Z26="","",MIN(FIND({0,1,2,3,4,5,6,7,8,9},Z26 &amp; "0123456789")))</f>
        <v/>
      </c>
    </row>
    <row r="27" spans="1:25" ht="15" customHeight="1" x14ac:dyDescent="0.3">
      <c r="B27" s="74" t="s">
        <v>22</v>
      </c>
      <c r="C27" s="44" t="s">
        <v>0</v>
      </c>
      <c r="D27" s="71" t="s">
        <v>1</v>
      </c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3"/>
      <c r="X27" s="30" t="str">
        <f t="shared" si="1"/>
        <v/>
      </c>
      <c r="Y27" s="30" t="str">
        <f>IF(Z27="","",MIN(FIND({0,1,2,3,4,5,6,7,8,9},Z27 &amp; "0123456789")))</f>
        <v/>
      </c>
    </row>
    <row r="28" spans="1:25" ht="15.75" customHeight="1" thickBot="1" x14ac:dyDescent="0.35">
      <c r="B28" s="75"/>
      <c r="C28" s="45"/>
      <c r="D28" s="45" t="s">
        <v>2</v>
      </c>
      <c r="E28" s="45" t="s">
        <v>3</v>
      </c>
      <c r="F28" s="45" t="s">
        <v>4</v>
      </c>
      <c r="G28" s="45" t="s">
        <v>5</v>
      </c>
      <c r="H28" s="45" t="s">
        <v>6</v>
      </c>
      <c r="I28" s="45" t="s">
        <v>7</v>
      </c>
      <c r="J28" s="45" t="s">
        <v>8</v>
      </c>
      <c r="K28" s="45" t="s">
        <v>9</v>
      </c>
      <c r="L28" s="45" t="s">
        <v>10</v>
      </c>
      <c r="M28" s="45" t="s">
        <v>11</v>
      </c>
      <c r="N28" s="45" t="s">
        <v>12</v>
      </c>
      <c r="O28" s="45" t="s">
        <v>13</v>
      </c>
      <c r="P28" s="45" t="s">
        <v>14</v>
      </c>
      <c r="Q28" s="45" t="s">
        <v>15</v>
      </c>
      <c r="R28" s="45" t="s">
        <v>16</v>
      </c>
      <c r="S28" s="45" t="s">
        <v>17</v>
      </c>
      <c r="T28" s="45" t="s">
        <v>18</v>
      </c>
      <c r="U28" s="45" t="s">
        <v>19</v>
      </c>
      <c r="V28" s="45" t="s">
        <v>20</v>
      </c>
      <c r="W28" s="37" t="s">
        <v>21</v>
      </c>
      <c r="X28" s="30" t="str">
        <f t="shared" si="1"/>
        <v/>
      </c>
      <c r="Y28" s="30" t="str">
        <f>IF(Z28="","",MIN(FIND({0,1,2,3,4,5,6,7,8,9},Z28 &amp; "0123456789")))</f>
        <v/>
      </c>
    </row>
    <row r="29" spans="1:25" ht="15.6" thickTop="1" thickBot="1" x14ac:dyDescent="0.35">
      <c r="B29" s="76"/>
      <c r="C29" s="38" t="str">
        <f>CONCATENATE(D29," ",E29," ",F29," ",G29," ",H29," ",I29," ",J29," ",K29," ",L29," ",M29," ",N29," ",O29," ",P29," ",Q29," ",R29," ",S29," ",T29," ",U29," ",V29," ",W29)</f>
        <v xml:space="preserve">                   </v>
      </c>
      <c r="D29" s="39"/>
      <c r="E29" s="39"/>
      <c r="F29" s="39"/>
      <c r="G29" s="40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41"/>
      <c r="X29" s="30" t="str">
        <f t="shared" si="1"/>
        <v/>
      </c>
      <c r="Y29" s="30" t="str">
        <f>IF(Z29="","",MIN(FIND({0,1,2,3,4,5,6,7,8,9},Z29 &amp; "0123456789")))</f>
        <v/>
      </c>
    </row>
    <row r="30" spans="1:25" ht="15" thickBot="1" x14ac:dyDescent="0.35">
      <c r="B30" s="30"/>
      <c r="C30" s="35"/>
      <c r="W30" s="29"/>
      <c r="X30" s="30" t="str">
        <f t="shared" si="1"/>
        <v/>
      </c>
      <c r="Y30" s="30" t="str">
        <f>IF(Z30="","",MIN(FIND({0,1,2,3,4,5,6,7,8,9},Z30 &amp; "0123456789")))</f>
        <v/>
      </c>
    </row>
    <row r="31" spans="1:25" x14ac:dyDescent="0.3">
      <c r="B31" s="74" t="s">
        <v>23</v>
      </c>
      <c r="C31" s="44" t="s">
        <v>0</v>
      </c>
      <c r="D31" s="71" t="s">
        <v>1</v>
      </c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3"/>
      <c r="X31" s="30" t="str">
        <f t="shared" si="1"/>
        <v/>
      </c>
      <c r="Y31" s="30" t="str">
        <f>IF(Z31="","",MIN(FIND({0,1,2,3,4,5,6,7,8,9},Z31 &amp; "0123456789")))</f>
        <v/>
      </c>
    </row>
    <row r="32" spans="1:25" ht="15" thickBot="1" x14ac:dyDescent="0.35">
      <c r="B32" s="75"/>
      <c r="C32" s="45"/>
      <c r="D32" s="45" t="s">
        <v>2</v>
      </c>
      <c r="E32" s="45" t="s">
        <v>3</v>
      </c>
      <c r="F32" s="45" t="s">
        <v>4</v>
      </c>
      <c r="G32" s="45" t="s">
        <v>5</v>
      </c>
      <c r="H32" s="45" t="s">
        <v>6</v>
      </c>
      <c r="I32" s="45" t="s">
        <v>7</v>
      </c>
      <c r="J32" s="45" t="s">
        <v>8</v>
      </c>
      <c r="K32" s="45" t="s">
        <v>9</v>
      </c>
      <c r="L32" s="45" t="s">
        <v>10</v>
      </c>
      <c r="M32" s="45" t="s">
        <v>11</v>
      </c>
      <c r="N32" s="45" t="s">
        <v>12</v>
      </c>
      <c r="O32" s="45" t="s">
        <v>13</v>
      </c>
      <c r="P32" s="45" t="s">
        <v>14</v>
      </c>
      <c r="Q32" s="45" t="s">
        <v>15</v>
      </c>
      <c r="R32" s="45" t="s">
        <v>16</v>
      </c>
      <c r="S32" s="45" t="s">
        <v>17</v>
      </c>
      <c r="T32" s="45" t="s">
        <v>18</v>
      </c>
      <c r="U32" s="45" t="s">
        <v>19</v>
      </c>
      <c r="V32" s="45" t="s">
        <v>20</v>
      </c>
      <c r="W32" s="37" t="s">
        <v>21</v>
      </c>
      <c r="X32" s="30" t="str">
        <f t="shared" si="1"/>
        <v/>
      </c>
      <c r="Y32" s="30" t="str">
        <f>IF(Z32="","",MIN(FIND({0,1,2,3,4,5,6,7,8,9},Z32 &amp; "0123456789")))</f>
        <v/>
      </c>
    </row>
    <row r="33" spans="2:25" ht="15.6" thickTop="1" thickBot="1" x14ac:dyDescent="0.35">
      <c r="B33" s="76"/>
      <c r="C33" s="38" t="str">
        <f>CONCATENATE(D33," ",E33," ",F33," ",G33," ",H33," ",I33," ",J33," ",K33," ",L33," ",M33," ",N33," ",O33," ",P33," ",Q33," ",R33," ",S33," ",T33," ",U33," ",V33," ",W33)</f>
        <v xml:space="preserve">                   </v>
      </c>
      <c r="D33" s="39"/>
      <c r="E33" s="39"/>
      <c r="F33" s="39"/>
      <c r="G33" s="40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41"/>
      <c r="X33" s="30" t="str">
        <f t="shared" si="1"/>
        <v/>
      </c>
      <c r="Y33" s="30" t="str">
        <f>IF(Z33="","",MIN(FIND({0,1,2,3,4,5,6,7,8,9},Z33 &amp; "0123456789")))</f>
        <v/>
      </c>
    </row>
    <row r="34" spans="2:25" ht="15" thickBot="1" x14ac:dyDescent="0.35">
      <c r="B34" s="30"/>
      <c r="C34" s="35"/>
      <c r="W34" s="29"/>
      <c r="X34" s="30" t="str">
        <f t="shared" si="1"/>
        <v/>
      </c>
      <c r="Y34" s="30" t="str">
        <f>IF(Z34="","",MIN(FIND({0,1,2,3,4,5,6,7,8,9},Z34 &amp; "0123456789")))</f>
        <v/>
      </c>
    </row>
    <row r="35" spans="2:25" x14ac:dyDescent="0.3">
      <c r="B35" s="74" t="s">
        <v>24</v>
      </c>
      <c r="C35" s="44" t="s">
        <v>0</v>
      </c>
      <c r="D35" s="71" t="s">
        <v>1</v>
      </c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3"/>
      <c r="X35" s="30" t="str">
        <f t="shared" si="1"/>
        <v/>
      </c>
      <c r="Y35" s="30" t="str">
        <f>IF(Z35="","",MIN(FIND({0,1,2,3,4,5,6,7,8,9},Z35 &amp; "0123456789")))</f>
        <v/>
      </c>
    </row>
    <row r="36" spans="2:25" ht="15" thickBot="1" x14ac:dyDescent="0.35">
      <c r="B36" s="75"/>
      <c r="C36" s="45"/>
      <c r="D36" s="45" t="s">
        <v>2</v>
      </c>
      <c r="E36" s="45" t="s">
        <v>3</v>
      </c>
      <c r="F36" s="45" t="s">
        <v>4</v>
      </c>
      <c r="G36" s="45" t="s">
        <v>5</v>
      </c>
      <c r="H36" s="45" t="s">
        <v>6</v>
      </c>
      <c r="I36" s="45" t="s">
        <v>7</v>
      </c>
      <c r="J36" s="45" t="s">
        <v>8</v>
      </c>
      <c r="K36" s="45" t="s">
        <v>9</v>
      </c>
      <c r="L36" s="45" t="s">
        <v>10</v>
      </c>
      <c r="M36" s="45" t="s">
        <v>11</v>
      </c>
      <c r="N36" s="45" t="s">
        <v>12</v>
      </c>
      <c r="O36" s="45" t="s">
        <v>13</v>
      </c>
      <c r="P36" s="45" t="s">
        <v>14</v>
      </c>
      <c r="Q36" s="45" t="s">
        <v>15</v>
      </c>
      <c r="R36" s="45" t="s">
        <v>16</v>
      </c>
      <c r="S36" s="45" t="s">
        <v>17</v>
      </c>
      <c r="T36" s="45" t="s">
        <v>18</v>
      </c>
      <c r="U36" s="45" t="s">
        <v>19</v>
      </c>
      <c r="V36" s="45" t="s">
        <v>20</v>
      </c>
      <c r="W36" s="37" t="s">
        <v>21</v>
      </c>
      <c r="X36" s="30" t="str">
        <f t="shared" si="1"/>
        <v/>
      </c>
      <c r="Y36" s="30" t="str">
        <f>IF(Z36="","",MIN(FIND({0,1,2,3,4,5,6,7,8,9},Z36 &amp; "0123456789")))</f>
        <v/>
      </c>
    </row>
    <row r="37" spans="2:25" ht="15.6" thickTop="1" thickBot="1" x14ac:dyDescent="0.35">
      <c r="B37" s="76"/>
      <c r="C37" s="38" t="str">
        <f>CONCATENATE(D37," ",E37," ",F37," ",G37," ",H37," ",I37," ",J37," ",K37," ",L37," ",M37," ",N37," ",O37," ",P37," ",Q37," ",R37," ",S37," ",T37," ",U37," ",V37," ",W37)</f>
        <v xml:space="preserve">                   </v>
      </c>
      <c r="D37" s="39"/>
      <c r="E37" s="39"/>
      <c r="F37" s="39"/>
      <c r="G37" s="40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41"/>
      <c r="X37" s="30" t="str">
        <f t="shared" si="1"/>
        <v/>
      </c>
      <c r="Y37" s="30" t="str">
        <f>IF(Z37="","",MIN(FIND({0,1,2,3,4,5,6,7,8,9},Z37 &amp; "0123456789")))</f>
        <v/>
      </c>
    </row>
    <row r="38" spans="2:25" ht="15" thickBot="1" x14ac:dyDescent="0.35">
      <c r="B38" s="30"/>
      <c r="C38" s="35"/>
      <c r="W38" s="29"/>
      <c r="X38" s="30" t="str">
        <f t="shared" si="1"/>
        <v/>
      </c>
      <c r="Y38" s="30" t="str">
        <f>IF(Z38="","",MIN(FIND({0,1,2,3,4,5,6,7,8,9},Z38 &amp; "0123456789")))</f>
        <v/>
      </c>
    </row>
    <row r="39" spans="2:25" x14ac:dyDescent="0.3">
      <c r="B39" s="74" t="s">
        <v>25</v>
      </c>
      <c r="C39" s="44" t="s">
        <v>0</v>
      </c>
      <c r="D39" s="71" t="s">
        <v>1</v>
      </c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3"/>
      <c r="X39" s="30" t="str">
        <f t="shared" si="1"/>
        <v/>
      </c>
      <c r="Y39" s="30" t="str">
        <f>IF(Z39="","",MIN(FIND({0,1,2,3,4,5,6,7,8,9},Z39 &amp; "0123456789")))</f>
        <v/>
      </c>
    </row>
    <row r="40" spans="2:25" ht="15" thickBot="1" x14ac:dyDescent="0.35">
      <c r="B40" s="75"/>
      <c r="C40" s="45"/>
      <c r="D40" s="45" t="s">
        <v>2</v>
      </c>
      <c r="E40" s="45" t="s">
        <v>3</v>
      </c>
      <c r="F40" s="45" t="s">
        <v>4</v>
      </c>
      <c r="G40" s="45" t="s">
        <v>5</v>
      </c>
      <c r="H40" s="45" t="s">
        <v>6</v>
      </c>
      <c r="I40" s="45" t="s">
        <v>7</v>
      </c>
      <c r="J40" s="45" t="s">
        <v>8</v>
      </c>
      <c r="K40" s="45" t="s">
        <v>9</v>
      </c>
      <c r="L40" s="45" t="s">
        <v>10</v>
      </c>
      <c r="M40" s="45" t="s">
        <v>11</v>
      </c>
      <c r="N40" s="45" t="s">
        <v>12</v>
      </c>
      <c r="O40" s="45" t="s">
        <v>13</v>
      </c>
      <c r="P40" s="45" t="s">
        <v>14</v>
      </c>
      <c r="Q40" s="45" t="s">
        <v>15</v>
      </c>
      <c r="R40" s="45" t="s">
        <v>16</v>
      </c>
      <c r="S40" s="45" t="s">
        <v>17</v>
      </c>
      <c r="T40" s="45" t="s">
        <v>18</v>
      </c>
      <c r="U40" s="45" t="s">
        <v>19</v>
      </c>
      <c r="V40" s="45" t="s">
        <v>20</v>
      </c>
      <c r="W40" s="37" t="s">
        <v>21</v>
      </c>
      <c r="X40" s="30" t="str">
        <f t="shared" si="1"/>
        <v/>
      </c>
      <c r="Y40" s="30" t="str">
        <f>IF(Z40="","",MIN(FIND({0,1,2,3,4,5,6,7,8,9},Z40 &amp; "0123456789")))</f>
        <v/>
      </c>
    </row>
    <row r="41" spans="2:25" ht="15.6" thickTop="1" thickBot="1" x14ac:dyDescent="0.35">
      <c r="B41" s="76"/>
      <c r="C41" s="38" t="str">
        <f>CONCATENATE(D41," ",E41," ",F41," ",G41," ",H41," ",I41," ",J41," ",K41," ",L41," ",M41," ",N41," ",O41," ",P41," ",Q41," ",R41," ",S41," ",T41," ",U41," ",V41," ",W41)</f>
        <v xml:space="preserve">                   </v>
      </c>
      <c r="D41" s="39"/>
      <c r="E41" s="39"/>
      <c r="F41" s="39"/>
      <c r="G41" s="40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41"/>
      <c r="X41" s="30" t="str">
        <f t="shared" si="1"/>
        <v/>
      </c>
      <c r="Y41" s="30" t="str">
        <f>IF(Z41="","",MIN(FIND({0,1,2,3,4,5,6,7,8,9},Z41 &amp; "0123456789")))</f>
        <v/>
      </c>
    </row>
    <row r="42" spans="2:25" ht="15" thickBot="1" x14ac:dyDescent="0.35">
      <c r="B42" s="30"/>
      <c r="C42" s="35"/>
      <c r="W42" s="29"/>
      <c r="X42" s="30" t="str">
        <f t="shared" si="1"/>
        <v/>
      </c>
      <c r="Y42" s="30" t="str">
        <f>IF(Z42="","",MIN(FIND({0,1,2,3,4,5,6,7,8,9},Z42 &amp; "0123456789")))</f>
        <v/>
      </c>
    </row>
    <row r="43" spans="2:25" x14ac:dyDescent="0.3">
      <c r="B43" s="74" t="s">
        <v>26</v>
      </c>
      <c r="C43" s="44" t="s">
        <v>0</v>
      </c>
      <c r="D43" s="71" t="s">
        <v>1</v>
      </c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3"/>
      <c r="X43" s="30" t="str">
        <f t="shared" si="1"/>
        <v/>
      </c>
      <c r="Y43" s="30" t="str">
        <f>IF(Z43="","",MIN(FIND({0,1,2,3,4,5,6,7,8,9},Z43 &amp; "0123456789")))</f>
        <v/>
      </c>
    </row>
    <row r="44" spans="2:25" ht="15" thickBot="1" x14ac:dyDescent="0.35">
      <c r="B44" s="75"/>
      <c r="C44" s="45"/>
      <c r="D44" s="45" t="s">
        <v>2</v>
      </c>
      <c r="E44" s="45" t="s">
        <v>3</v>
      </c>
      <c r="F44" s="45" t="s">
        <v>4</v>
      </c>
      <c r="G44" s="45" t="s">
        <v>5</v>
      </c>
      <c r="H44" s="45" t="s">
        <v>6</v>
      </c>
      <c r="I44" s="45" t="s">
        <v>7</v>
      </c>
      <c r="J44" s="45" t="s">
        <v>8</v>
      </c>
      <c r="K44" s="45" t="s">
        <v>9</v>
      </c>
      <c r="L44" s="45" t="s">
        <v>10</v>
      </c>
      <c r="M44" s="45" t="s">
        <v>11</v>
      </c>
      <c r="N44" s="45" t="s">
        <v>12</v>
      </c>
      <c r="O44" s="45" t="s">
        <v>13</v>
      </c>
      <c r="P44" s="45" t="s">
        <v>14</v>
      </c>
      <c r="Q44" s="45" t="s">
        <v>15</v>
      </c>
      <c r="R44" s="45" t="s">
        <v>16</v>
      </c>
      <c r="S44" s="45" t="s">
        <v>17</v>
      </c>
      <c r="T44" s="45" t="s">
        <v>18</v>
      </c>
      <c r="U44" s="45" t="s">
        <v>19</v>
      </c>
      <c r="V44" s="45" t="s">
        <v>20</v>
      </c>
      <c r="W44" s="37" t="s">
        <v>21</v>
      </c>
      <c r="X44" s="30" t="str">
        <f t="shared" si="1"/>
        <v/>
      </c>
      <c r="Y44" s="30" t="str">
        <f>IF(Z44="","",MIN(FIND({0,1,2,3,4,5,6,7,8,9},Z44 &amp; "0123456789")))</f>
        <v/>
      </c>
    </row>
    <row r="45" spans="2:25" ht="15.6" thickTop="1" thickBot="1" x14ac:dyDescent="0.35">
      <c r="B45" s="76"/>
      <c r="C45" s="38" t="str">
        <f>CONCATENATE(D45," ",E45," ",F45," ",G45," ",H45," ",I45," ",J45," ",K45," ",L45," ",M45," ",N45," ",O45," ",P45," ",Q45," ",R45," ",S45," ",T45," ",U45," ",V45," ",W45)</f>
        <v xml:space="preserve">                   </v>
      </c>
      <c r="D45" s="39"/>
      <c r="E45" s="39"/>
      <c r="F45" s="39"/>
      <c r="G45" s="40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41"/>
      <c r="X45" s="30" t="str">
        <f t="shared" si="1"/>
        <v/>
      </c>
      <c r="Y45" s="30" t="str">
        <f>IF(Z45="","",MIN(FIND({0,1,2,3,4,5,6,7,8,9},Z45 &amp; "0123456789")))</f>
        <v/>
      </c>
    </row>
    <row r="46" spans="2:25" ht="15" thickBot="1" x14ac:dyDescent="0.35">
      <c r="B46" s="30"/>
      <c r="C46" s="35"/>
      <c r="W46" s="29"/>
      <c r="X46" s="30" t="str">
        <f t="shared" si="1"/>
        <v/>
      </c>
      <c r="Y46" s="30" t="str">
        <f>IF(Z46="","",MIN(FIND({0,1,2,3,4,5,6,7,8,9},Z46 &amp; "0123456789")))</f>
        <v/>
      </c>
    </row>
    <row r="47" spans="2:25" x14ac:dyDescent="0.3">
      <c r="B47" s="74" t="s">
        <v>27</v>
      </c>
      <c r="C47" s="44" t="s">
        <v>0</v>
      </c>
      <c r="D47" s="71" t="s">
        <v>1</v>
      </c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3"/>
      <c r="X47" s="30" t="str">
        <f t="shared" si="1"/>
        <v/>
      </c>
      <c r="Y47" s="30" t="str">
        <f>IF(Z47="","",MIN(FIND({0,1,2,3,4,5,6,7,8,9},Z47 &amp; "0123456789")))</f>
        <v/>
      </c>
    </row>
    <row r="48" spans="2:25" ht="15" thickBot="1" x14ac:dyDescent="0.35">
      <c r="B48" s="75"/>
      <c r="C48" s="45"/>
      <c r="D48" s="45" t="s">
        <v>2</v>
      </c>
      <c r="E48" s="45" t="s">
        <v>3</v>
      </c>
      <c r="F48" s="45" t="s">
        <v>4</v>
      </c>
      <c r="G48" s="45" t="s">
        <v>5</v>
      </c>
      <c r="H48" s="45" t="s">
        <v>6</v>
      </c>
      <c r="I48" s="45" t="s">
        <v>7</v>
      </c>
      <c r="J48" s="45" t="s">
        <v>8</v>
      </c>
      <c r="K48" s="45" t="s">
        <v>9</v>
      </c>
      <c r="L48" s="45" t="s">
        <v>10</v>
      </c>
      <c r="M48" s="45" t="s">
        <v>11</v>
      </c>
      <c r="N48" s="45" t="s">
        <v>12</v>
      </c>
      <c r="O48" s="45" t="s">
        <v>13</v>
      </c>
      <c r="P48" s="45" t="s">
        <v>14</v>
      </c>
      <c r="Q48" s="45" t="s">
        <v>15</v>
      </c>
      <c r="R48" s="45" t="s">
        <v>16</v>
      </c>
      <c r="S48" s="45" t="s">
        <v>17</v>
      </c>
      <c r="T48" s="45" t="s">
        <v>18</v>
      </c>
      <c r="U48" s="45" t="s">
        <v>19</v>
      </c>
      <c r="V48" s="45" t="s">
        <v>20</v>
      </c>
      <c r="W48" s="37" t="s">
        <v>21</v>
      </c>
      <c r="X48" s="30" t="str">
        <f t="shared" si="1"/>
        <v/>
      </c>
      <c r="Y48" s="30" t="str">
        <f>IF(Z48="","",MIN(FIND({0,1,2,3,4,5,6,7,8,9},Z48 &amp; "0123456789")))</f>
        <v/>
      </c>
    </row>
    <row r="49" spans="2:25" ht="15.6" thickTop="1" thickBot="1" x14ac:dyDescent="0.35">
      <c r="B49" s="76"/>
      <c r="C49" s="38" t="str">
        <f>CONCATENATE(D49," ",E49," ",F49," ",G49," ",H49," ",I49," ",J49," ",K49," ",L49," ",M49," ",N49," ",O49," ",P49," ",Q49," ",R49," ",S49," ",T49," ",U49," ",V49," ",W49)</f>
        <v xml:space="preserve">                   </v>
      </c>
      <c r="D49" s="39"/>
      <c r="E49" s="39"/>
      <c r="F49" s="39"/>
      <c r="G49" s="40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41"/>
      <c r="X49" s="30" t="str">
        <f t="shared" si="1"/>
        <v/>
      </c>
      <c r="Y49" s="30" t="str">
        <f>IF(Z49="","",MIN(FIND({0,1,2,3,4,5,6,7,8,9},Z49 &amp; "0123456789")))</f>
        <v/>
      </c>
    </row>
    <row r="50" spans="2:25" ht="15" thickBot="1" x14ac:dyDescent="0.35">
      <c r="B50" s="30"/>
      <c r="C50" s="35"/>
      <c r="W50" s="29"/>
      <c r="X50" s="30" t="str">
        <f t="shared" si="1"/>
        <v/>
      </c>
      <c r="Y50" s="30" t="str">
        <f>IF(Z50="","",MIN(FIND({0,1,2,3,4,5,6,7,8,9},Z50 &amp; "0123456789")))</f>
        <v/>
      </c>
    </row>
    <row r="51" spans="2:25" x14ac:dyDescent="0.3">
      <c r="B51" s="74" t="s">
        <v>28</v>
      </c>
      <c r="C51" s="44" t="s">
        <v>0</v>
      </c>
      <c r="D51" s="71" t="s">
        <v>1</v>
      </c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3"/>
      <c r="X51" s="30" t="str">
        <f t="shared" si="1"/>
        <v/>
      </c>
      <c r="Y51" s="30" t="str">
        <f>IF(Z51="","",MIN(FIND({0,1,2,3,4,5,6,7,8,9},Z51 &amp; "0123456789")))</f>
        <v/>
      </c>
    </row>
    <row r="52" spans="2:25" ht="15" thickBot="1" x14ac:dyDescent="0.35">
      <c r="B52" s="75"/>
      <c r="C52" s="45"/>
      <c r="D52" s="45" t="s">
        <v>2</v>
      </c>
      <c r="E52" s="45" t="s">
        <v>3</v>
      </c>
      <c r="F52" s="45" t="s">
        <v>4</v>
      </c>
      <c r="G52" s="45" t="s">
        <v>5</v>
      </c>
      <c r="H52" s="45" t="s">
        <v>6</v>
      </c>
      <c r="I52" s="45" t="s">
        <v>7</v>
      </c>
      <c r="J52" s="45" t="s">
        <v>8</v>
      </c>
      <c r="K52" s="45" t="s">
        <v>9</v>
      </c>
      <c r="L52" s="45" t="s">
        <v>10</v>
      </c>
      <c r="M52" s="45" t="s">
        <v>11</v>
      </c>
      <c r="N52" s="45" t="s">
        <v>12</v>
      </c>
      <c r="O52" s="45" t="s">
        <v>13</v>
      </c>
      <c r="P52" s="45" t="s">
        <v>14</v>
      </c>
      <c r="Q52" s="45" t="s">
        <v>15</v>
      </c>
      <c r="R52" s="45" t="s">
        <v>16</v>
      </c>
      <c r="S52" s="45" t="s">
        <v>17</v>
      </c>
      <c r="T52" s="45" t="s">
        <v>18</v>
      </c>
      <c r="U52" s="45" t="s">
        <v>19</v>
      </c>
      <c r="V52" s="45" t="s">
        <v>20</v>
      </c>
      <c r="W52" s="37" t="s">
        <v>21</v>
      </c>
      <c r="X52" s="30" t="str">
        <f t="shared" si="1"/>
        <v/>
      </c>
      <c r="Y52" s="30" t="str">
        <f>IF(Z52="","",MIN(FIND({0,1,2,3,4,5,6,7,8,9},Z52 &amp; "0123456789")))</f>
        <v/>
      </c>
    </row>
    <row r="53" spans="2:25" ht="15.6" thickTop="1" thickBot="1" x14ac:dyDescent="0.35">
      <c r="B53" s="76"/>
      <c r="C53" s="38" t="str">
        <f>CONCATENATE(D53," ",E53," ",F53," ",G53," ",H53," ",I53," ",J53," ",K53," ",L53," ",M53," ",N53," ",O53," ",P53," ",Q53," ",R53," ",S53," ",T53," ",U53," ",V53," ",W53)</f>
        <v xml:space="preserve">                   </v>
      </c>
      <c r="D53" s="39"/>
      <c r="E53" s="39"/>
      <c r="F53" s="39"/>
      <c r="G53" s="40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41"/>
      <c r="X53" s="30" t="str">
        <f t="shared" si="1"/>
        <v/>
      </c>
      <c r="Y53" s="30" t="str">
        <f>IF(Z53="","",MIN(FIND({0,1,2,3,4,5,6,7,8,9},Z53 &amp; "0123456789")))</f>
        <v/>
      </c>
    </row>
    <row r="54" spans="2:25" ht="15" thickBot="1" x14ac:dyDescent="0.35">
      <c r="B54" s="30"/>
      <c r="C54" s="35"/>
      <c r="W54" s="29"/>
      <c r="X54" s="30" t="str">
        <f t="shared" si="1"/>
        <v/>
      </c>
      <c r="Y54" s="30" t="str">
        <f>IF(Z54="","",MIN(FIND({0,1,2,3,4,5,6,7,8,9},Z54 &amp; "0123456789")))</f>
        <v/>
      </c>
    </row>
    <row r="55" spans="2:25" x14ac:dyDescent="0.3">
      <c r="B55" s="74" t="s">
        <v>29</v>
      </c>
      <c r="C55" s="44" t="s">
        <v>0</v>
      </c>
      <c r="D55" s="71" t="s">
        <v>1</v>
      </c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3"/>
      <c r="X55" s="30" t="str">
        <f t="shared" si="1"/>
        <v/>
      </c>
      <c r="Y55" s="30" t="str">
        <f>IF(Z55="","",MIN(FIND({0,1,2,3,4,5,6,7,8,9},Z55 &amp; "0123456789")))</f>
        <v/>
      </c>
    </row>
    <row r="56" spans="2:25" ht="15" thickBot="1" x14ac:dyDescent="0.35">
      <c r="B56" s="75"/>
      <c r="C56" s="45"/>
      <c r="D56" s="45" t="s">
        <v>2</v>
      </c>
      <c r="E56" s="45" t="s">
        <v>3</v>
      </c>
      <c r="F56" s="45" t="s">
        <v>4</v>
      </c>
      <c r="G56" s="45" t="s">
        <v>5</v>
      </c>
      <c r="H56" s="45" t="s">
        <v>6</v>
      </c>
      <c r="I56" s="45" t="s">
        <v>7</v>
      </c>
      <c r="J56" s="45" t="s">
        <v>8</v>
      </c>
      <c r="K56" s="45" t="s">
        <v>9</v>
      </c>
      <c r="L56" s="45" t="s">
        <v>10</v>
      </c>
      <c r="M56" s="45" t="s">
        <v>11</v>
      </c>
      <c r="N56" s="45" t="s">
        <v>12</v>
      </c>
      <c r="O56" s="45" t="s">
        <v>13</v>
      </c>
      <c r="P56" s="45" t="s">
        <v>14</v>
      </c>
      <c r="Q56" s="45" t="s">
        <v>15</v>
      </c>
      <c r="R56" s="45" t="s">
        <v>16</v>
      </c>
      <c r="S56" s="45" t="s">
        <v>17</v>
      </c>
      <c r="T56" s="45" t="s">
        <v>18</v>
      </c>
      <c r="U56" s="45" t="s">
        <v>19</v>
      </c>
      <c r="V56" s="45" t="s">
        <v>20</v>
      </c>
      <c r="W56" s="37" t="s">
        <v>21</v>
      </c>
      <c r="X56" s="30" t="str">
        <f t="shared" si="1"/>
        <v/>
      </c>
      <c r="Y56" s="30" t="str">
        <f>IF(Z56="","",MIN(FIND({0,1,2,3,4,5,6,7,8,9},Z56 &amp; "0123456789")))</f>
        <v/>
      </c>
    </row>
    <row r="57" spans="2:25" ht="15.6" thickTop="1" thickBot="1" x14ac:dyDescent="0.35">
      <c r="B57" s="76"/>
      <c r="C57" s="38" t="str">
        <f>CONCATENATE(D57," ",E57," ",F57," ",G57," ",H57," ",I57," ",J57," ",K57," ",L57," ",M57," ",N57," ",O57," ",P57," ",Q57," ",R57," ",S57," ",T57," ",U57," ",V57," ",W57)</f>
        <v xml:space="preserve">                   </v>
      </c>
      <c r="D57" s="39"/>
      <c r="E57" s="39"/>
      <c r="F57" s="39"/>
      <c r="G57" s="40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41"/>
      <c r="X57" s="30" t="str">
        <f t="shared" si="1"/>
        <v/>
      </c>
      <c r="Y57" s="30" t="str">
        <f>IF(Z57="","",MIN(FIND({0,1,2,3,4,5,6,7,8,9},Z57 &amp; "0123456789")))</f>
        <v/>
      </c>
    </row>
    <row r="58" spans="2:25" ht="15" thickBot="1" x14ac:dyDescent="0.35">
      <c r="B58" s="30"/>
      <c r="C58" s="35"/>
      <c r="W58" s="29"/>
      <c r="X58" s="30" t="str">
        <f t="shared" si="1"/>
        <v/>
      </c>
      <c r="Y58" s="30" t="str">
        <f>IF(Z58="","",MIN(FIND({0,1,2,3,4,5,6,7,8,9},Z58 &amp; "0123456789")))</f>
        <v/>
      </c>
    </row>
    <row r="59" spans="2:25" x14ac:dyDescent="0.3">
      <c r="B59" s="74" t="s">
        <v>30</v>
      </c>
      <c r="C59" s="44" t="s">
        <v>0</v>
      </c>
      <c r="D59" s="71" t="s">
        <v>1</v>
      </c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3"/>
      <c r="X59" s="30" t="str">
        <f t="shared" si="1"/>
        <v/>
      </c>
      <c r="Y59" s="30" t="str">
        <f>IF(Z59="","",MIN(FIND({0,1,2,3,4,5,6,7,8,9},Z59 &amp; "0123456789")))</f>
        <v/>
      </c>
    </row>
    <row r="60" spans="2:25" ht="15" thickBot="1" x14ac:dyDescent="0.35">
      <c r="B60" s="75"/>
      <c r="C60" s="45"/>
      <c r="D60" s="45" t="s">
        <v>2</v>
      </c>
      <c r="E60" s="45" t="s">
        <v>3</v>
      </c>
      <c r="F60" s="45" t="s">
        <v>4</v>
      </c>
      <c r="G60" s="45" t="s">
        <v>5</v>
      </c>
      <c r="H60" s="45" t="s">
        <v>6</v>
      </c>
      <c r="I60" s="45" t="s">
        <v>7</v>
      </c>
      <c r="J60" s="45" t="s">
        <v>8</v>
      </c>
      <c r="K60" s="45" t="s">
        <v>9</v>
      </c>
      <c r="L60" s="45" t="s">
        <v>10</v>
      </c>
      <c r="M60" s="45" t="s">
        <v>11</v>
      </c>
      <c r="N60" s="45" t="s">
        <v>12</v>
      </c>
      <c r="O60" s="45" t="s">
        <v>13</v>
      </c>
      <c r="P60" s="45" t="s">
        <v>14</v>
      </c>
      <c r="Q60" s="45" t="s">
        <v>15</v>
      </c>
      <c r="R60" s="45" t="s">
        <v>16</v>
      </c>
      <c r="S60" s="45" t="s">
        <v>17</v>
      </c>
      <c r="T60" s="45" t="s">
        <v>18</v>
      </c>
      <c r="U60" s="45" t="s">
        <v>19</v>
      </c>
      <c r="V60" s="45" t="s">
        <v>20</v>
      </c>
      <c r="W60" s="37" t="s">
        <v>21</v>
      </c>
      <c r="X60" s="30" t="str">
        <f t="shared" si="1"/>
        <v/>
      </c>
      <c r="Y60" s="30" t="str">
        <f>IF(Z60="","",MIN(FIND({0,1,2,3,4,5,6,7,8,9},Z60 &amp; "0123456789")))</f>
        <v/>
      </c>
    </row>
    <row r="61" spans="2:25" ht="15.6" thickTop="1" thickBot="1" x14ac:dyDescent="0.35">
      <c r="B61" s="76"/>
      <c r="C61" s="38" t="str">
        <f>CONCATENATE(D61," ",E61," ",F61," ",G61," ",H61," ",I61," ",J61," ",K61," ",L61," ",M61," ",N61," ",O61," ",P61," ",Q61," ",R61," ",S61," ",T61," ",U61," ",V61," ",W61)</f>
        <v xml:space="preserve">                   </v>
      </c>
      <c r="D61" s="39"/>
      <c r="E61" s="39"/>
      <c r="F61" s="39"/>
      <c r="G61" s="40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41"/>
      <c r="X61" s="30" t="str">
        <f t="shared" si="1"/>
        <v/>
      </c>
      <c r="Y61" s="30" t="str">
        <f>IF(Z61="","",MIN(FIND({0,1,2,3,4,5,6,7,8,9},Z61 &amp; "0123456789")))</f>
        <v/>
      </c>
    </row>
    <row r="62" spans="2:25" ht="15" thickBot="1" x14ac:dyDescent="0.35">
      <c r="B62" s="30"/>
      <c r="C62" s="35"/>
      <c r="W62" s="29"/>
      <c r="X62" s="30" t="str">
        <f t="shared" si="1"/>
        <v/>
      </c>
      <c r="Y62" s="30" t="str">
        <f>IF(Z62="","",MIN(FIND({0,1,2,3,4,5,6,7,8,9},Z62 &amp; "0123456789")))</f>
        <v/>
      </c>
    </row>
    <row r="63" spans="2:25" x14ac:dyDescent="0.3">
      <c r="B63" s="74" t="s">
        <v>31</v>
      </c>
      <c r="C63" s="44" t="s">
        <v>0</v>
      </c>
      <c r="D63" s="71" t="s">
        <v>1</v>
      </c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3"/>
      <c r="X63" s="30" t="str">
        <f t="shared" si="1"/>
        <v/>
      </c>
      <c r="Y63" s="30" t="str">
        <f>IF(Z63="","",MIN(FIND({0,1,2,3,4,5,6,7,8,9},Z63 &amp; "0123456789")))</f>
        <v/>
      </c>
    </row>
    <row r="64" spans="2:25" ht="15" thickBot="1" x14ac:dyDescent="0.35">
      <c r="B64" s="75"/>
      <c r="C64" s="45"/>
      <c r="D64" s="45" t="s">
        <v>2</v>
      </c>
      <c r="E64" s="45" t="s">
        <v>3</v>
      </c>
      <c r="F64" s="45" t="s">
        <v>4</v>
      </c>
      <c r="G64" s="45" t="s">
        <v>5</v>
      </c>
      <c r="H64" s="45" t="s">
        <v>6</v>
      </c>
      <c r="I64" s="45" t="s">
        <v>7</v>
      </c>
      <c r="J64" s="45" t="s">
        <v>8</v>
      </c>
      <c r="K64" s="45" t="s">
        <v>9</v>
      </c>
      <c r="L64" s="45" t="s">
        <v>10</v>
      </c>
      <c r="M64" s="45" t="s">
        <v>11</v>
      </c>
      <c r="N64" s="45" t="s">
        <v>12</v>
      </c>
      <c r="O64" s="45" t="s">
        <v>13</v>
      </c>
      <c r="P64" s="45" t="s">
        <v>14</v>
      </c>
      <c r="Q64" s="45" t="s">
        <v>15</v>
      </c>
      <c r="R64" s="45" t="s">
        <v>16</v>
      </c>
      <c r="S64" s="45" t="s">
        <v>17</v>
      </c>
      <c r="T64" s="45" t="s">
        <v>18</v>
      </c>
      <c r="U64" s="45" t="s">
        <v>19</v>
      </c>
      <c r="V64" s="45" t="s">
        <v>20</v>
      </c>
      <c r="W64" s="37" t="s">
        <v>21</v>
      </c>
      <c r="X64" s="30" t="str">
        <f t="shared" si="1"/>
        <v/>
      </c>
      <c r="Y64" s="30" t="str">
        <f>IF(Z64="","",MIN(FIND({0,1,2,3,4,5,6,7,8,9},Z64 &amp; "0123456789")))</f>
        <v/>
      </c>
    </row>
    <row r="65" spans="2:25" ht="15.6" thickTop="1" thickBot="1" x14ac:dyDescent="0.35">
      <c r="B65" s="76"/>
      <c r="C65" s="38" t="str">
        <f>CONCATENATE(D65," ",E65," ",F65," ",G65," ",H65," ",I65," ",J65," ",K65," ",L65," ",M65," ",N65," ",O65," ",P65," ",Q65," ",R65," ",S65," ",T65," ",U65," ",V65," ",W65)</f>
        <v xml:space="preserve">                   </v>
      </c>
      <c r="D65" s="39"/>
      <c r="E65" s="39"/>
      <c r="F65" s="39"/>
      <c r="G65" s="40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41"/>
      <c r="X65" s="30" t="str">
        <f t="shared" si="1"/>
        <v/>
      </c>
      <c r="Y65" s="30" t="str">
        <f>IF(Z65="","",MIN(FIND({0,1,2,3,4,5,6,7,8,9},Z65 &amp; "0123456789")))</f>
        <v/>
      </c>
    </row>
    <row r="66" spans="2:25" ht="15" thickBot="1" x14ac:dyDescent="0.35">
      <c r="B66" s="30"/>
      <c r="C66" s="35"/>
      <c r="W66" s="29"/>
      <c r="X66" s="30" t="str">
        <f t="shared" ref="X66:X129" si="2">IF(Y66="","",VALUE(RIGHT(Z66,LEN(Z66) -Y66+1)))</f>
        <v/>
      </c>
      <c r="Y66" s="30" t="str">
        <f>IF(Z66="","",MIN(FIND({0,1,2,3,4,5,6,7,8,9},Z66 &amp; "0123456789")))</f>
        <v/>
      </c>
    </row>
    <row r="67" spans="2:25" x14ac:dyDescent="0.3">
      <c r="B67" s="74" t="s">
        <v>32</v>
      </c>
      <c r="C67" s="44" t="s">
        <v>0</v>
      </c>
      <c r="D67" s="71" t="s">
        <v>1</v>
      </c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3"/>
      <c r="X67" s="30" t="str">
        <f t="shared" si="2"/>
        <v/>
      </c>
      <c r="Y67" s="30" t="str">
        <f>IF(Z67="","",MIN(FIND({0,1,2,3,4,5,6,7,8,9},Z67 &amp; "0123456789")))</f>
        <v/>
      </c>
    </row>
    <row r="68" spans="2:25" ht="15" thickBot="1" x14ac:dyDescent="0.35">
      <c r="B68" s="75"/>
      <c r="C68" s="45"/>
      <c r="D68" s="45" t="s">
        <v>2</v>
      </c>
      <c r="E68" s="45" t="s">
        <v>3</v>
      </c>
      <c r="F68" s="45" t="s">
        <v>4</v>
      </c>
      <c r="G68" s="45" t="s">
        <v>5</v>
      </c>
      <c r="H68" s="45" t="s">
        <v>6</v>
      </c>
      <c r="I68" s="45" t="s">
        <v>7</v>
      </c>
      <c r="J68" s="45" t="s">
        <v>8</v>
      </c>
      <c r="K68" s="45" t="s">
        <v>9</v>
      </c>
      <c r="L68" s="45" t="s">
        <v>10</v>
      </c>
      <c r="M68" s="45" t="s">
        <v>11</v>
      </c>
      <c r="N68" s="45" t="s">
        <v>12</v>
      </c>
      <c r="O68" s="45" t="s">
        <v>13</v>
      </c>
      <c r="P68" s="45" t="s">
        <v>14</v>
      </c>
      <c r="Q68" s="45" t="s">
        <v>15</v>
      </c>
      <c r="R68" s="45" t="s">
        <v>16</v>
      </c>
      <c r="S68" s="45" t="s">
        <v>17</v>
      </c>
      <c r="T68" s="45" t="s">
        <v>18</v>
      </c>
      <c r="U68" s="45" t="s">
        <v>19</v>
      </c>
      <c r="V68" s="45" t="s">
        <v>20</v>
      </c>
      <c r="W68" s="37" t="s">
        <v>21</v>
      </c>
      <c r="X68" s="30" t="str">
        <f t="shared" si="2"/>
        <v/>
      </c>
      <c r="Y68" s="30" t="str">
        <f>IF(Z68="","",MIN(FIND({0,1,2,3,4,5,6,7,8,9},Z68 &amp; "0123456789")))</f>
        <v/>
      </c>
    </row>
    <row r="69" spans="2:25" ht="15.6" thickTop="1" thickBot="1" x14ac:dyDescent="0.35">
      <c r="B69" s="76"/>
      <c r="C69" s="38" t="str">
        <f>CONCATENATE(D69," ",E69," ",F69," ",G69," ",H69," ",I69," ",J69," ",K69," ",L69," ",M69," ",N69," ",O69," ",P69," ",Q69," ",R69," ",S69," ",T69," ",U69," ",V69," ",W69)</f>
        <v xml:space="preserve">                   </v>
      </c>
      <c r="D69" s="39"/>
      <c r="E69" s="39"/>
      <c r="F69" s="39"/>
      <c r="G69" s="40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41"/>
      <c r="X69" s="30" t="str">
        <f t="shared" si="2"/>
        <v/>
      </c>
      <c r="Y69" s="30" t="str">
        <f>IF(Z69="","",MIN(FIND({0,1,2,3,4,5,6,7,8,9},Z69 &amp; "0123456789")))</f>
        <v/>
      </c>
    </row>
    <row r="70" spans="2:25" ht="15" thickBot="1" x14ac:dyDescent="0.35">
      <c r="B70" s="30"/>
      <c r="C70" s="35"/>
      <c r="W70" s="29"/>
      <c r="X70" s="30" t="str">
        <f t="shared" si="2"/>
        <v/>
      </c>
      <c r="Y70" s="30" t="str">
        <f>IF(Z70="","",MIN(FIND({0,1,2,3,4,5,6,7,8,9},Z70 &amp; "0123456789")))</f>
        <v/>
      </c>
    </row>
    <row r="71" spans="2:25" x14ac:dyDescent="0.3">
      <c r="B71" s="74" t="s">
        <v>33</v>
      </c>
      <c r="C71" s="44" t="s">
        <v>0</v>
      </c>
      <c r="D71" s="71" t="s">
        <v>1</v>
      </c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3"/>
      <c r="X71" s="30" t="str">
        <f t="shared" si="2"/>
        <v/>
      </c>
      <c r="Y71" s="30" t="str">
        <f>IF(Z71="","",MIN(FIND({0,1,2,3,4,5,6,7,8,9},Z71 &amp; "0123456789")))</f>
        <v/>
      </c>
    </row>
    <row r="72" spans="2:25" ht="15" thickBot="1" x14ac:dyDescent="0.35">
      <c r="B72" s="75"/>
      <c r="C72" s="45"/>
      <c r="D72" s="45" t="s">
        <v>2</v>
      </c>
      <c r="E72" s="45" t="s">
        <v>3</v>
      </c>
      <c r="F72" s="45" t="s">
        <v>4</v>
      </c>
      <c r="G72" s="45" t="s">
        <v>5</v>
      </c>
      <c r="H72" s="45" t="s">
        <v>6</v>
      </c>
      <c r="I72" s="45" t="s">
        <v>7</v>
      </c>
      <c r="J72" s="45" t="s">
        <v>8</v>
      </c>
      <c r="K72" s="45" t="s">
        <v>9</v>
      </c>
      <c r="L72" s="45" t="s">
        <v>10</v>
      </c>
      <c r="M72" s="45" t="s">
        <v>11</v>
      </c>
      <c r="N72" s="45" t="s">
        <v>12</v>
      </c>
      <c r="O72" s="45" t="s">
        <v>13</v>
      </c>
      <c r="P72" s="45" t="s">
        <v>14</v>
      </c>
      <c r="Q72" s="45" t="s">
        <v>15</v>
      </c>
      <c r="R72" s="45" t="s">
        <v>16</v>
      </c>
      <c r="S72" s="45" t="s">
        <v>17</v>
      </c>
      <c r="T72" s="45" t="s">
        <v>18</v>
      </c>
      <c r="U72" s="45" t="s">
        <v>19</v>
      </c>
      <c r="V72" s="45" t="s">
        <v>20</v>
      </c>
      <c r="W72" s="37" t="s">
        <v>21</v>
      </c>
      <c r="X72" s="30" t="str">
        <f t="shared" si="2"/>
        <v/>
      </c>
      <c r="Y72" s="30" t="str">
        <f>IF(Z72="","",MIN(FIND({0,1,2,3,4,5,6,7,8,9},Z72 &amp; "0123456789")))</f>
        <v/>
      </c>
    </row>
    <row r="73" spans="2:25" ht="15.6" thickTop="1" thickBot="1" x14ac:dyDescent="0.35">
      <c r="B73" s="76"/>
      <c r="C73" s="38" t="str">
        <f>CONCATENATE(D73," ",E73," ",F73," ",G73," ",H73," ",I73," ",J73," ",K73," ",L73," ",M73," ",N73," ",O73," ",P73," ",Q73," ",R73," ",S73," ",T73," ",U73," ",V73," ",W73)</f>
        <v xml:space="preserve">                   </v>
      </c>
      <c r="D73" s="39"/>
      <c r="E73" s="39"/>
      <c r="F73" s="39"/>
      <c r="G73" s="40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41"/>
      <c r="X73" s="30" t="str">
        <f t="shared" si="2"/>
        <v/>
      </c>
      <c r="Y73" s="30" t="str">
        <f>IF(Z73="","",MIN(FIND({0,1,2,3,4,5,6,7,8,9},Z73 &amp; "0123456789")))</f>
        <v/>
      </c>
    </row>
    <row r="74" spans="2:25" ht="15" thickBot="1" x14ac:dyDescent="0.35">
      <c r="B74" s="30"/>
      <c r="C74" s="35"/>
      <c r="W74" s="29"/>
      <c r="X74" s="30" t="str">
        <f t="shared" si="2"/>
        <v/>
      </c>
      <c r="Y74" s="30" t="str">
        <f>IF(Z74="","",MIN(FIND({0,1,2,3,4,5,6,7,8,9},Z74 &amp; "0123456789")))</f>
        <v/>
      </c>
    </row>
    <row r="75" spans="2:25" x14ac:dyDescent="0.3">
      <c r="B75" s="74" t="s">
        <v>34</v>
      </c>
      <c r="C75" s="44" t="s">
        <v>0</v>
      </c>
      <c r="D75" s="71" t="s">
        <v>1</v>
      </c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3"/>
      <c r="X75" s="30" t="str">
        <f t="shared" si="2"/>
        <v/>
      </c>
      <c r="Y75" s="30" t="str">
        <f>IF(Z75="","",MIN(FIND({0,1,2,3,4,5,6,7,8,9},Z75 &amp; "0123456789")))</f>
        <v/>
      </c>
    </row>
    <row r="76" spans="2:25" ht="15" thickBot="1" x14ac:dyDescent="0.35">
      <c r="B76" s="75"/>
      <c r="C76" s="45"/>
      <c r="D76" s="45" t="s">
        <v>2</v>
      </c>
      <c r="E76" s="45" t="s">
        <v>3</v>
      </c>
      <c r="F76" s="45" t="s">
        <v>4</v>
      </c>
      <c r="G76" s="45" t="s">
        <v>5</v>
      </c>
      <c r="H76" s="45" t="s">
        <v>6</v>
      </c>
      <c r="I76" s="45" t="s">
        <v>7</v>
      </c>
      <c r="J76" s="45" t="s">
        <v>8</v>
      </c>
      <c r="K76" s="45" t="s">
        <v>9</v>
      </c>
      <c r="L76" s="45" t="s">
        <v>10</v>
      </c>
      <c r="M76" s="45" t="s">
        <v>11</v>
      </c>
      <c r="N76" s="45" t="s">
        <v>12</v>
      </c>
      <c r="O76" s="45" t="s">
        <v>13</v>
      </c>
      <c r="P76" s="45" t="s">
        <v>14</v>
      </c>
      <c r="Q76" s="45" t="s">
        <v>15</v>
      </c>
      <c r="R76" s="45" t="s">
        <v>16</v>
      </c>
      <c r="S76" s="45" t="s">
        <v>17</v>
      </c>
      <c r="T76" s="45" t="s">
        <v>18</v>
      </c>
      <c r="U76" s="45" t="s">
        <v>19</v>
      </c>
      <c r="V76" s="45" t="s">
        <v>20</v>
      </c>
      <c r="W76" s="37" t="s">
        <v>21</v>
      </c>
      <c r="X76" s="30" t="str">
        <f t="shared" si="2"/>
        <v/>
      </c>
      <c r="Y76" s="30" t="str">
        <f>IF(Z76="","",MIN(FIND({0,1,2,3,4,5,6,7,8,9},Z76 &amp; "0123456789")))</f>
        <v/>
      </c>
    </row>
    <row r="77" spans="2:25" ht="15.6" thickTop="1" thickBot="1" x14ac:dyDescent="0.35">
      <c r="B77" s="76"/>
      <c r="C77" s="38" t="str">
        <f>CONCATENATE(D77," ",E77," ",F77," ",G77," ",H77," ",I77," ",J77," ",K77," ",L77," ",M77," ",N77," ",O77," ",P77," ",Q77," ",R77," ",S77," ",T77," ",U77," ",V77," ",W77)</f>
        <v xml:space="preserve">                   </v>
      </c>
      <c r="D77" s="39"/>
      <c r="E77" s="39"/>
      <c r="F77" s="39"/>
      <c r="G77" s="40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41"/>
      <c r="X77" s="30" t="str">
        <f t="shared" si="2"/>
        <v/>
      </c>
      <c r="Y77" s="30" t="str">
        <f>IF(Z77="","",MIN(FIND({0,1,2,3,4,5,6,7,8,9},Z77 &amp; "0123456789")))</f>
        <v/>
      </c>
    </row>
    <row r="78" spans="2:25" ht="15" thickBot="1" x14ac:dyDescent="0.35">
      <c r="B78" s="30"/>
      <c r="C78" s="35"/>
      <c r="W78" s="29"/>
      <c r="X78" s="30" t="str">
        <f t="shared" si="2"/>
        <v/>
      </c>
      <c r="Y78" s="30" t="str">
        <f>IF(Z78="","",MIN(FIND({0,1,2,3,4,5,6,7,8,9},Z78 &amp; "0123456789")))</f>
        <v/>
      </c>
    </row>
    <row r="79" spans="2:25" x14ac:dyDescent="0.3">
      <c r="B79" s="74" t="s">
        <v>35</v>
      </c>
      <c r="C79" s="44" t="s">
        <v>0</v>
      </c>
      <c r="D79" s="71" t="s">
        <v>1</v>
      </c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3"/>
      <c r="X79" s="30" t="str">
        <f t="shared" si="2"/>
        <v/>
      </c>
      <c r="Y79" s="30" t="str">
        <f>IF(Z79="","",MIN(FIND({0,1,2,3,4,5,6,7,8,9},Z79 &amp; "0123456789")))</f>
        <v/>
      </c>
    </row>
    <row r="80" spans="2:25" ht="15" thickBot="1" x14ac:dyDescent="0.35">
      <c r="B80" s="75"/>
      <c r="C80" s="45"/>
      <c r="D80" s="45" t="s">
        <v>2</v>
      </c>
      <c r="E80" s="45" t="s">
        <v>3</v>
      </c>
      <c r="F80" s="45" t="s">
        <v>4</v>
      </c>
      <c r="G80" s="45" t="s">
        <v>5</v>
      </c>
      <c r="H80" s="45" t="s">
        <v>6</v>
      </c>
      <c r="I80" s="45" t="s">
        <v>7</v>
      </c>
      <c r="J80" s="45" t="s">
        <v>8</v>
      </c>
      <c r="K80" s="45" t="s">
        <v>9</v>
      </c>
      <c r="L80" s="45" t="s">
        <v>10</v>
      </c>
      <c r="M80" s="45" t="s">
        <v>11</v>
      </c>
      <c r="N80" s="45" t="s">
        <v>12</v>
      </c>
      <c r="O80" s="45" t="s">
        <v>13</v>
      </c>
      <c r="P80" s="45" t="s">
        <v>14</v>
      </c>
      <c r="Q80" s="45" t="s">
        <v>15</v>
      </c>
      <c r="R80" s="45" t="s">
        <v>16</v>
      </c>
      <c r="S80" s="45" t="s">
        <v>17</v>
      </c>
      <c r="T80" s="45" t="s">
        <v>18</v>
      </c>
      <c r="U80" s="45" t="s">
        <v>19</v>
      </c>
      <c r="V80" s="45" t="s">
        <v>20</v>
      </c>
      <c r="W80" s="37" t="s">
        <v>21</v>
      </c>
      <c r="X80" s="30" t="str">
        <f t="shared" si="2"/>
        <v/>
      </c>
      <c r="Y80" s="30" t="str">
        <f>IF(Z80="","",MIN(FIND({0,1,2,3,4,5,6,7,8,9},Z80 &amp; "0123456789")))</f>
        <v/>
      </c>
    </row>
    <row r="81" spans="2:25" ht="15.6" thickTop="1" thickBot="1" x14ac:dyDescent="0.35">
      <c r="B81" s="76"/>
      <c r="C81" s="38" t="str">
        <f>CONCATENATE(D81," ",E81," ",F81," ",G81," ",H81," ",I81," ",J81," ",K81," ",L81," ",M81," ",N81," ",O81," ",P81," ",Q81," ",R81," ",S81," ",T81," ",U81," ",V81," ",W81)</f>
        <v xml:space="preserve">                   </v>
      </c>
      <c r="D81" s="39"/>
      <c r="E81" s="39"/>
      <c r="F81" s="39"/>
      <c r="G81" s="40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41"/>
      <c r="X81" s="30" t="str">
        <f t="shared" si="2"/>
        <v/>
      </c>
      <c r="Y81" s="30" t="str">
        <f>IF(Z81="","",MIN(FIND({0,1,2,3,4,5,6,7,8,9},Z81 &amp; "0123456789")))</f>
        <v/>
      </c>
    </row>
    <row r="82" spans="2:25" x14ac:dyDescent="0.3">
      <c r="X82" s="30" t="str">
        <f t="shared" si="2"/>
        <v/>
      </c>
      <c r="Y82" s="30" t="str">
        <f>IF(Z82="","",MIN(FIND({0,1,2,3,4,5,6,7,8,9},Z82 &amp; "0123456789")))</f>
        <v/>
      </c>
    </row>
    <row r="83" spans="2:25" x14ac:dyDescent="0.3">
      <c r="X83" s="30" t="str">
        <f t="shared" si="2"/>
        <v/>
      </c>
      <c r="Y83" s="30" t="str">
        <f>IF(Z83="","",MIN(FIND({0,1,2,3,4,5,6,7,8,9},Z83 &amp; "0123456789")))</f>
        <v/>
      </c>
    </row>
    <row r="84" spans="2:25" x14ac:dyDescent="0.3">
      <c r="X84" s="30" t="str">
        <f t="shared" si="2"/>
        <v/>
      </c>
      <c r="Y84" s="30" t="str">
        <f>IF(Z84="","",MIN(FIND({0,1,2,3,4,5,6,7,8,9},Z84 &amp; "0123456789")))</f>
        <v/>
      </c>
    </row>
    <row r="85" spans="2:25" x14ac:dyDescent="0.3">
      <c r="X85" s="30" t="str">
        <f t="shared" si="2"/>
        <v/>
      </c>
      <c r="Y85" s="30" t="str">
        <f>IF(Z85="","",MIN(FIND({0,1,2,3,4,5,6,7,8,9},Z85 &amp; "0123456789")))</f>
        <v/>
      </c>
    </row>
    <row r="86" spans="2:25" x14ac:dyDescent="0.3">
      <c r="X86" s="30" t="str">
        <f t="shared" si="2"/>
        <v/>
      </c>
      <c r="Y86" s="30" t="str">
        <f>IF(Z86="","",MIN(FIND({0,1,2,3,4,5,6,7,8,9},Z86 &amp; "0123456789")))</f>
        <v/>
      </c>
    </row>
    <row r="87" spans="2:25" x14ac:dyDescent="0.3">
      <c r="X87" s="30" t="str">
        <f t="shared" si="2"/>
        <v/>
      </c>
      <c r="Y87" s="30" t="str">
        <f>IF(Z87="","",MIN(FIND({0,1,2,3,4,5,6,7,8,9},Z87 &amp; "0123456789")))</f>
        <v/>
      </c>
    </row>
    <row r="88" spans="2:25" x14ac:dyDescent="0.3">
      <c r="X88" s="30" t="str">
        <f t="shared" si="2"/>
        <v/>
      </c>
      <c r="Y88" s="30" t="str">
        <f>IF(Z88="","",MIN(FIND({0,1,2,3,4,5,6,7,8,9},Z88 &amp; "0123456789")))</f>
        <v/>
      </c>
    </row>
    <row r="89" spans="2:25" x14ac:dyDescent="0.3">
      <c r="X89" s="30" t="str">
        <f t="shared" si="2"/>
        <v/>
      </c>
      <c r="Y89" s="30" t="str">
        <f>IF(Z89="","",MIN(FIND({0,1,2,3,4,5,6,7,8,9},Z89 &amp; "0123456789")))</f>
        <v/>
      </c>
    </row>
    <row r="90" spans="2:25" x14ac:dyDescent="0.3">
      <c r="X90" s="30" t="str">
        <f t="shared" si="2"/>
        <v/>
      </c>
      <c r="Y90" s="30" t="str">
        <f>IF(Z90="","",MIN(FIND({0,1,2,3,4,5,6,7,8,9},Z90 &amp; "0123456789")))</f>
        <v/>
      </c>
    </row>
    <row r="91" spans="2:25" x14ac:dyDescent="0.3">
      <c r="X91" s="30" t="str">
        <f t="shared" si="2"/>
        <v/>
      </c>
      <c r="Y91" s="30" t="str">
        <f>IF(Z91="","",MIN(FIND({0,1,2,3,4,5,6,7,8,9},Z91 &amp; "0123456789")))</f>
        <v/>
      </c>
    </row>
    <row r="92" spans="2:25" x14ac:dyDescent="0.3">
      <c r="X92" s="30" t="str">
        <f t="shared" si="2"/>
        <v/>
      </c>
      <c r="Y92" s="30" t="str">
        <f>IF(Z92="","",MIN(FIND({0,1,2,3,4,5,6,7,8,9},Z92 &amp; "0123456789")))</f>
        <v/>
      </c>
    </row>
    <row r="93" spans="2:25" x14ac:dyDescent="0.3">
      <c r="X93" s="30" t="str">
        <f t="shared" si="2"/>
        <v/>
      </c>
      <c r="Y93" s="30" t="str">
        <f>IF(Z93="","",MIN(FIND({0,1,2,3,4,5,6,7,8,9},Z93 &amp; "0123456789")))</f>
        <v/>
      </c>
    </row>
    <row r="94" spans="2:25" x14ac:dyDescent="0.3">
      <c r="X94" s="30" t="str">
        <f t="shared" si="2"/>
        <v/>
      </c>
      <c r="Y94" s="30" t="str">
        <f>IF(Z94="","",MIN(FIND({0,1,2,3,4,5,6,7,8,9},Z94 &amp; "0123456789")))</f>
        <v/>
      </c>
    </row>
    <row r="95" spans="2:25" x14ac:dyDescent="0.3">
      <c r="X95" s="30" t="str">
        <f t="shared" si="2"/>
        <v/>
      </c>
      <c r="Y95" s="30" t="str">
        <f>IF(Z95="","",MIN(FIND({0,1,2,3,4,5,6,7,8,9},Z95 &amp; "0123456789")))</f>
        <v/>
      </c>
    </row>
    <row r="96" spans="2:25" x14ac:dyDescent="0.3">
      <c r="X96" s="30" t="str">
        <f t="shared" si="2"/>
        <v/>
      </c>
      <c r="Y96" s="30" t="str">
        <f>IF(Z96="","",MIN(FIND({0,1,2,3,4,5,6,7,8,9},Z96 &amp; "0123456789")))</f>
        <v/>
      </c>
    </row>
    <row r="97" spans="24:25" x14ac:dyDescent="0.3">
      <c r="X97" s="30" t="str">
        <f t="shared" si="2"/>
        <v/>
      </c>
      <c r="Y97" s="30" t="str">
        <f>IF(Z97="","",MIN(FIND({0,1,2,3,4,5,6,7,8,9},Z97 &amp; "0123456789")))</f>
        <v/>
      </c>
    </row>
    <row r="98" spans="24:25" x14ac:dyDescent="0.3">
      <c r="X98" s="30" t="str">
        <f t="shared" si="2"/>
        <v/>
      </c>
      <c r="Y98" s="30" t="str">
        <f>IF(Z98="","",MIN(FIND({0,1,2,3,4,5,6,7,8,9},Z98 &amp; "0123456789")))</f>
        <v/>
      </c>
    </row>
    <row r="99" spans="24:25" x14ac:dyDescent="0.3">
      <c r="X99" s="30" t="str">
        <f t="shared" si="2"/>
        <v/>
      </c>
      <c r="Y99" s="30" t="str">
        <f>IF(Z99="","",MIN(FIND({0,1,2,3,4,5,6,7,8,9},Z99 &amp; "0123456789")))</f>
        <v/>
      </c>
    </row>
    <row r="100" spans="24:25" x14ac:dyDescent="0.3">
      <c r="X100" s="30" t="str">
        <f t="shared" si="2"/>
        <v/>
      </c>
      <c r="Y100" s="30" t="str">
        <f>IF(Z100="","",MIN(FIND({0,1,2,3,4,5,6,7,8,9},Z100 &amp; "0123456789")))</f>
        <v/>
      </c>
    </row>
    <row r="101" spans="24:25" x14ac:dyDescent="0.3">
      <c r="X101" s="30" t="str">
        <f t="shared" si="2"/>
        <v/>
      </c>
      <c r="Y101" s="30" t="str">
        <f>IF(Z101="","",MIN(FIND({0,1,2,3,4,5,6,7,8,9},Z101 &amp; "0123456789")))</f>
        <v/>
      </c>
    </row>
    <row r="102" spans="24:25" x14ac:dyDescent="0.3">
      <c r="X102" s="30" t="str">
        <f t="shared" si="2"/>
        <v/>
      </c>
      <c r="Y102" s="30" t="str">
        <f>IF(Z102="","",MIN(FIND({0,1,2,3,4,5,6,7,8,9},Z102 &amp; "0123456789")))</f>
        <v/>
      </c>
    </row>
    <row r="103" spans="24:25" x14ac:dyDescent="0.3">
      <c r="X103" s="30" t="str">
        <f t="shared" si="2"/>
        <v/>
      </c>
      <c r="Y103" s="30" t="str">
        <f>IF(Z103="","",MIN(FIND({0,1,2,3,4,5,6,7,8,9},Z103 &amp; "0123456789")))</f>
        <v/>
      </c>
    </row>
    <row r="104" spans="24:25" x14ac:dyDescent="0.3">
      <c r="X104" s="30" t="str">
        <f t="shared" si="2"/>
        <v/>
      </c>
      <c r="Y104" s="30" t="str">
        <f>IF(Z104="","",MIN(FIND({0,1,2,3,4,5,6,7,8,9},Z104 &amp; "0123456789")))</f>
        <v/>
      </c>
    </row>
    <row r="105" spans="24:25" x14ac:dyDescent="0.3">
      <c r="X105" s="30" t="str">
        <f t="shared" si="2"/>
        <v/>
      </c>
      <c r="Y105" s="30" t="str">
        <f>IF(Z105="","",MIN(FIND({0,1,2,3,4,5,6,7,8,9},Z105 &amp; "0123456789")))</f>
        <v/>
      </c>
    </row>
    <row r="106" spans="24:25" x14ac:dyDescent="0.3">
      <c r="X106" s="30" t="str">
        <f t="shared" si="2"/>
        <v/>
      </c>
      <c r="Y106" s="30" t="str">
        <f>IF(Z106="","",MIN(FIND({0,1,2,3,4,5,6,7,8,9},Z106 &amp; "0123456789")))</f>
        <v/>
      </c>
    </row>
    <row r="107" spans="24:25" x14ac:dyDescent="0.3">
      <c r="X107" s="30" t="str">
        <f t="shared" si="2"/>
        <v/>
      </c>
      <c r="Y107" s="30" t="str">
        <f>IF(Z107="","",MIN(FIND({0,1,2,3,4,5,6,7,8,9},Z107 &amp; "0123456789")))</f>
        <v/>
      </c>
    </row>
    <row r="108" spans="24:25" x14ac:dyDescent="0.3">
      <c r="X108" s="30" t="str">
        <f t="shared" si="2"/>
        <v/>
      </c>
      <c r="Y108" s="30" t="str">
        <f>IF(Z108="","",MIN(FIND({0,1,2,3,4,5,6,7,8,9},Z108 &amp; "0123456789")))</f>
        <v/>
      </c>
    </row>
    <row r="109" spans="24:25" x14ac:dyDescent="0.3">
      <c r="X109" s="30" t="str">
        <f t="shared" si="2"/>
        <v/>
      </c>
      <c r="Y109" s="30" t="str">
        <f>IF(Z109="","",MIN(FIND({0,1,2,3,4,5,6,7,8,9},Z109 &amp; "0123456789")))</f>
        <v/>
      </c>
    </row>
    <row r="110" spans="24:25" x14ac:dyDescent="0.3">
      <c r="X110" s="30" t="str">
        <f t="shared" si="2"/>
        <v/>
      </c>
      <c r="Y110" s="30" t="str">
        <f>IF(Z110="","",MIN(FIND({0,1,2,3,4,5,6,7,8,9},Z110 &amp; "0123456789")))</f>
        <v/>
      </c>
    </row>
    <row r="111" spans="24:25" x14ac:dyDescent="0.3">
      <c r="X111" s="30" t="str">
        <f t="shared" si="2"/>
        <v/>
      </c>
      <c r="Y111" s="30" t="str">
        <f>IF(Z111="","",MIN(FIND({0,1,2,3,4,5,6,7,8,9},Z111 &amp; "0123456789")))</f>
        <v/>
      </c>
    </row>
    <row r="112" spans="24:25" x14ac:dyDescent="0.3">
      <c r="X112" s="30" t="str">
        <f t="shared" si="2"/>
        <v/>
      </c>
      <c r="Y112" s="30" t="str">
        <f>IF(Z112="","",MIN(FIND({0,1,2,3,4,5,6,7,8,9},Z112 &amp; "0123456789")))</f>
        <v/>
      </c>
    </row>
    <row r="113" spans="24:25" x14ac:dyDescent="0.3">
      <c r="X113" s="30" t="str">
        <f t="shared" si="2"/>
        <v/>
      </c>
      <c r="Y113" s="30" t="str">
        <f>IF(Z113="","",MIN(FIND({0,1,2,3,4,5,6,7,8,9},Z113 &amp; "0123456789")))</f>
        <v/>
      </c>
    </row>
    <row r="114" spans="24:25" x14ac:dyDescent="0.3">
      <c r="X114" s="30" t="str">
        <f t="shared" si="2"/>
        <v/>
      </c>
      <c r="Y114" s="30" t="str">
        <f>IF(Z114="","",MIN(FIND({0,1,2,3,4,5,6,7,8,9},Z114 &amp; "0123456789")))</f>
        <v/>
      </c>
    </row>
    <row r="115" spans="24:25" x14ac:dyDescent="0.3">
      <c r="X115" s="30" t="str">
        <f t="shared" si="2"/>
        <v/>
      </c>
      <c r="Y115" s="30" t="str">
        <f>IF(Z115="","",MIN(FIND({0,1,2,3,4,5,6,7,8,9},Z115 &amp; "0123456789")))</f>
        <v/>
      </c>
    </row>
    <row r="116" spans="24:25" x14ac:dyDescent="0.3">
      <c r="X116" s="30" t="str">
        <f t="shared" si="2"/>
        <v/>
      </c>
      <c r="Y116" s="30" t="str">
        <f>IF(Z116="","",MIN(FIND({0,1,2,3,4,5,6,7,8,9},Z116 &amp; "0123456789")))</f>
        <v/>
      </c>
    </row>
    <row r="117" spans="24:25" x14ac:dyDescent="0.3">
      <c r="X117" s="30" t="str">
        <f t="shared" si="2"/>
        <v/>
      </c>
      <c r="Y117" s="30" t="str">
        <f>IF(Z117="","",MIN(FIND({0,1,2,3,4,5,6,7,8,9},Z117 &amp; "0123456789")))</f>
        <v/>
      </c>
    </row>
    <row r="118" spans="24:25" x14ac:dyDescent="0.3">
      <c r="X118" s="30" t="str">
        <f t="shared" si="2"/>
        <v/>
      </c>
      <c r="Y118" s="30" t="str">
        <f>IF(Z118="","",MIN(FIND({0,1,2,3,4,5,6,7,8,9},Z118 &amp; "0123456789")))</f>
        <v/>
      </c>
    </row>
    <row r="119" spans="24:25" x14ac:dyDescent="0.3">
      <c r="X119" s="30" t="str">
        <f t="shared" si="2"/>
        <v/>
      </c>
      <c r="Y119" s="30" t="str">
        <f>IF(Z119="","",MIN(FIND({0,1,2,3,4,5,6,7,8,9},Z119 &amp; "0123456789")))</f>
        <v/>
      </c>
    </row>
    <row r="120" spans="24:25" x14ac:dyDescent="0.3">
      <c r="X120" s="30" t="str">
        <f t="shared" si="2"/>
        <v/>
      </c>
      <c r="Y120" s="30" t="str">
        <f>IF(Z120="","",MIN(FIND({0,1,2,3,4,5,6,7,8,9},Z120 &amp; "0123456789")))</f>
        <v/>
      </c>
    </row>
    <row r="121" spans="24:25" x14ac:dyDescent="0.3">
      <c r="X121" s="30" t="str">
        <f t="shared" si="2"/>
        <v/>
      </c>
      <c r="Y121" s="30" t="str">
        <f>IF(Z121="","",MIN(FIND({0,1,2,3,4,5,6,7,8,9},Z121 &amp; "0123456789")))</f>
        <v/>
      </c>
    </row>
    <row r="122" spans="24:25" x14ac:dyDescent="0.3">
      <c r="X122" s="30" t="str">
        <f t="shared" si="2"/>
        <v/>
      </c>
      <c r="Y122" s="30" t="str">
        <f>IF(Z122="","",MIN(FIND({0,1,2,3,4,5,6,7,8,9},Z122 &amp; "0123456789")))</f>
        <v/>
      </c>
    </row>
    <row r="123" spans="24:25" x14ac:dyDescent="0.3">
      <c r="X123" s="30" t="str">
        <f t="shared" si="2"/>
        <v/>
      </c>
      <c r="Y123" s="30" t="str">
        <f>IF(Z123="","",MIN(FIND({0,1,2,3,4,5,6,7,8,9},Z123 &amp; "0123456789")))</f>
        <v/>
      </c>
    </row>
    <row r="124" spans="24:25" x14ac:dyDescent="0.3">
      <c r="X124" s="30" t="str">
        <f t="shared" si="2"/>
        <v/>
      </c>
      <c r="Y124" s="30" t="str">
        <f>IF(Z124="","",MIN(FIND({0,1,2,3,4,5,6,7,8,9},Z124 &amp; "0123456789")))</f>
        <v/>
      </c>
    </row>
    <row r="125" spans="24:25" x14ac:dyDescent="0.3">
      <c r="X125" s="30" t="str">
        <f t="shared" si="2"/>
        <v/>
      </c>
      <c r="Y125" s="30" t="str">
        <f>IF(Z125="","",MIN(FIND({0,1,2,3,4,5,6,7,8,9},Z125 &amp; "0123456789")))</f>
        <v/>
      </c>
    </row>
    <row r="126" spans="24:25" x14ac:dyDescent="0.3">
      <c r="X126" s="30" t="str">
        <f t="shared" si="2"/>
        <v/>
      </c>
      <c r="Y126" s="30" t="str">
        <f>IF(Z126="","",MIN(FIND({0,1,2,3,4,5,6,7,8,9},Z126 &amp; "0123456789")))</f>
        <v/>
      </c>
    </row>
    <row r="127" spans="24:25" x14ac:dyDescent="0.3">
      <c r="X127" s="30" t="str">
        <f t="shared" si="2"/>
        <v/>
      </c>
      <c r="Y127" s="30" t="str">
        <f>IF(Z127="","",MIN(FIND({0,1,2,3,4,5,6,7,8,9},Z127 &amp; "0123456789")))</f>
        <v/>
      </c>
    </row>
    <row r="128" spans="24:25" x14ac:dyDescent="0.3">
      <c r="X128" s="30" t="str">
        <f t="shared" si="2"/>
        <v/>
      </c>
      <c r="Y128" s="30" t="str">
        <f>IF(Z128="","",MIN(FIND({0,1,2,3,4,5,6,7,8,9},Z128 &amp; "0123456789")))</f>
        <v/>
      </c>
    </row>
    <row r="129" spans="24:25" x14ac:dyDescent="0.3">
      <c r="X129" s="30" t="str">
        <f t="shared" si="2"/>
        <v/>
      </c>
      <c r="Y129" s="30" t="str">
        <f>IF(Z129="","",MIN(FIND({0,1,2,3,4,5,6,7,8,9},Z129 &amp; "0123456789")))</f>
        <v/>
      </c>
    </row>
    <row r="130" spans="24:25" x14ac:dyDescent="0.3">
      <c r="X130" s="30" t="str">
        <f t="shared" ref="X130:X193" si="3">IF(Y130="","",VALUE(RIGHT(Z130,LEN(Z130) -Y130+1)))</f>
        <v/>
      </c>
      <c r="Y130" s="30" t="str">
        <f>IF(Z130="","",MIN(FIND({0,1,2,3,4,5,6,7,8,9},Z130 &amp; "0123456789")))</f>
        <v/>
      </c>
    </row>
    <row r="131" spans="24:25" x14ac:dyDescent="0.3">
      <c r="X131" s="30" t="str">
        <f t="shared" si="3"/>
        <v/>
      </c>
      <c r="Y131" s="30" t="str">
        <f>IF(Z131="","",MIN(FIND({0,1,2,3,4,5,6,7,8,9},Z131 &amp; "0123456789")))</f>
        <v/>
      </c>
    </row>
    <row r="132" spans="24:25" x14ac:dyDescent="0.3">
      <c r="X132" s="30" t="str">
        <f t="shared" si="3"/>
        <v/>
      </c>
      <c r="Y132" s="30" t="str">
        <f>IF(Z132="","",MIN(FIND({0,1,2,3,4,5,6,7,8,9},Z132 &amp; "0123456789")))</f>
        <v/>
      </c>
    </row>
    <row r="133" spans="24:25" x14ac:dyDescent="0.3">
      <c r="X133" s="30" t="str">
        <f t="shared" si="3"/>
        <v/>
      </c>
      <c r="Y133" s="30" t="str">
        <f>IF(Z133="","",MIN(FIND({0,1,2,3,4,5,6,7,8,9},Z133 &amp; "0123456789")))</f>
        <v/>
      </c>
    </row>
    <row r="134" spans="24:25" x14ac:dyDescent="0.3">
      <c r="X134" s="30" t="str">
        <f t="shared" si="3"/>
        <v/>
      </c>
      <c r="Y134" s="30" t="str">
        <f>IF(Z134="","",MIN(FIND({0,1,2,3,4,5,6,7,8,9},Z134 &amp; "0123456789")))</f>
        <v/>
      </c>
    </row>
    <row r="135" spans="24:25" x14ac:dyDescent="0.3">
      <c r="X135" s="30" t="str">
        <f t="shared" si="3"/>
        <v/>
      </c>
      <c r="Y135" s="30" t="str">
        <f>IF(Z135="","",MIN(FIND({0,1,2,3,4,5,6,7,8,9},Z135 &amp; "0123456789")))</f>
        <v/>
      </c>
    </row>
    <row r="136" spans="24:25" x14ac:dyDescent="0.3">
      <c r="X136" s="30" t="str">
        <f t="shared" si="3"/>
        <v/>
      </c>
      <c r="Y136" s="30" t="str">
        <f>IF(Z136="","",MIN(FIND({0,1,2,3,4,5,6,7,8,9},Z136 &amp; "0123456789")))</f>
        <v/>
      </c>
    </row>
    <row r="137" spans="24:25" x14ac:dyDescent="0.3">
      <c r="X137" s="30" t="str">
        <f t="shared" si="3"/>
        <v/>
      </c>
      <c r="Y137" s="30" t="str">
        <f>IF(Z137="","",MIN(FIND({0,1,2,3,4,5,6,7,8,9},Z137 &amp; "0123456789")))</f>
        <v/>
      </c>
    </row>
    <row r="138" spans="24:25" x14ac:dyDescent="0.3">
      <c r="X138" s="30" t="str">
        <f t="shared" si="3"/>
        <v/>
      </c>
      <c r="Y138" s="30" t="str">
        <f>IF(Z138="","",MIN(FIND({0,1,2,3,4,5,6,7,8,9},Z138 &amp; "0123456789")))</f>
        <v/>
      </c>
    </row>
    <row r="139" spans="24:25" x14ac:dyDescent="0.3">
      <c r="X139" s="30" t="str">
        <f t="shared" si="3"/>
        <v/>
      </c>
      <c r="Y139" s="30" t="str">
        <f>IF(Z139="","",MIN(FIND({0,1,2,3,4,5,6,7,8,9},Z139 &amp; "0123456789")))</f>
        <v/>
      </c>
    </row>
    <row r="140" spans="24:25" x14ac:dyDescent="0.3">
      <c r="X140" s="30" t="str">
        <f t="shared" si="3"/>
        <v/>
      </c>
      <c r="Y140" s="30" t="str">
        <f>IF(Z140="","",MIN(FIND({0,1,2,3,4,5,6,7,8,9},Z140 &amp; "0123456789")))</f>
        <v/>
      </c>
    </row>
    <row r="141" spans="24:25" x14ac:dyDescent="0.3">
      <c r="X141" s="30" t="str">
        <f t="shared" si="3"/>
        <v/>
      </c>
      <c r="Y141" s="30" t="str">
        <f>IF(Z141="","",MIN(FIND({0,1,2,3,4,5,6,7,8,9},Z141 &amp; "0123456789")))</f>
        <v/>
      </c>
    </row>
    <row r="142" spans="24:25" x14ac:dyDescent="0.3">
      <c r="X142" s="30" t="str">
        <f t="shared" si="3"/>
        <v/>
      </c>
      <c r="Y142" s="30" t="str">
        <f>IF(Z142="","",MIN(FIND({0,1,2,3,4,5,6,7,8,9},Z142 &amp; "0123456789")))</f>
        <v/>
      </c>
    </row>
    <row r="143" spans="24:25" x14ac:dyDescent="0.3">
      <c r="X143" s="30" t="str">
        <f t="shared" si="3"/>
        <v/>
      </c>
      <c r="Y143" s="30" t="str">
        <f>IF(Z143="","",MIN(FIND({0,1,2,3,4,5,6,7,8,9},Z143 &amp; "0123456789")))</f>
        <v/>
      </c>
    </row>
    <row r="144" spans="24:25" x14ac:dyDescent="0.3">
      <c r="X144" s="30" t="str">
        <f t="shared" si="3"/>
        <v/>
      </c>
      <c r="Y144" s="30" t="str">
        <f>IF(Z144="","",MIN(FIND({0,1,2,3,4,5,6,7,8,9},Z144 &amp; "0123456789")))</f>
        <v/>
      </c>
    </row>
    <row r="145" spans="24:25" x14ac:dyDescent="0.3">
      <c r="X145" s="30" t="str">
        <f t="shared" si="3"/>
        <v/>
      </c>
      <c r="Y145" s="30" t="str">
        <f>IF(Z145="","",MIN(FIND({0,1,2,3,4,5,6,7,8,9},Z145 &amp; "0123456789")))</f>
        <v/>
      </c>
    </row>
    <row r="146" spans="24:25" x14ac:dyDescent="0.3">
      <c r="X146" s="30" t="str">
        <f t="shared" si="3"/>
        <v/>
      </c>
      <c r="Y146" s="30" t="str">
        <f>IF(Z146="","",MIN(FIND({0,1,2,3,4,5,6,7,8,9},Z146 &amp; "0123456789")))</f>
        <v/>
      </c>
    </row>
    <row r="147" spans="24:25" x14ac:dyDescent="0.3">
      <c r="X147" s="30" t="str">
        <f t="shared" si="3"/>
        <v/>
      </c>
      <c r="Y147" s="30" t="str">
        <f>IF(Z147="","",MIN(FIND({0,1,2,3,4,5,6,7,8,9},Z147 &amp; "0123456789")))</f>
        <v/>
      </c>
    </row>
    <row r="148" spans="24:25" x14ac:dyDescent="0.3">
      <c r="X148" s="30" t="str">
        <f t="shared" si="3"/>
        <v/>
      </c>
      <c r="Y148" s="30" t="str">
        <f>IF(Z148="","",MIN(FIND({0,1,2,3,4,5,6,7,8,9},Z148 &amp; "0123456789")))</f>
        <v/>
      </c>
    </row>
    <row r="149" spans="24:25" x14ac:dyDescent="0.3">
      <c r="X149" s="30" t="str">
        <f t="shared" si="3"/>
        <v/>
      </c>
      <c r="Y149" s="30" t="str">
        <f>IF(Z149="","",MIN(FIND({0,1,2,3,4,5,6,7,8,9},Z149 &amp; "0123456789")))</f>
        <v/>
      </c>
    </row>
    <row r="150" spans="24:25" x14ac:dyDescent="0.3">
      <c r="X150" s="30" t="str">
        <f t="shared" si="3"/>
        <v/>
      </c>
      <c r="Y150" s="30" t="str">
        <f>IF(Z150="","",MIN(FIND({0,1,2,3,4,5,6,7,8,9},Z150 &amp; "0123456789")))</f>
        <v/>
      </c>
    </row>
    <row r="151" spans="24:25" x14ac:dyDescent="0.3">
      <c r="X151" s="30" t="str">
        <f t="shared" si="3"/>
        <v/>
      </c>
      <c r="Y151" s="30" t="str">
        <f>IF(Z151="","",MIN(FIND({0,1,2,3,4,5,6,7,8,9},Z151 &amp; "0123456789")))</f>
        <v/>
      </c>
    </row>
    <row r="152" spans="24:25" x14ac:dyDescent="0.3">
      <c r="X152" s="30" t="str">
        <f t="shared" si="3"/>
        <v/>
      </c>
      <c r="Y152" s="30" t="str">
        <f>IF(Z152="","",MIN(FIND({0,1,2,3,4,5,6,7,8,9},Z152 &amp; "0123456789")))</f>
        <v/>
      </c>
    </row>
    <row r="153" spans="24:25" x14ac:dyDescent="0.3">
      <c r="X153" s="30" t="str">
        <f t="shared" si="3"/>
        <v/>
      </c>
      <c r="Y153" s="30" t="str">
        <f>IF(Z153="","",MIN(FIND({0,1,2,3,4,5,6,7,8,9},Z153 &amp; "0123456789")))</f>
        <v/>
      </c>
    </row>
    <row r="154" spans="24:25" x14ac:dyDescent="0.3">
      <c r="X154" s="30" t="str">
        <f t="shared" si="3"/>
        <v/>
      </c>
      <c r="Y154" s="30" t="str">
        <f>IF(Z154="","",MIN(FIND({0,1,2,3,4,5,6,7,8,9},Z154 &amp; "0123456789")))</f>
        <v/>
      </c>
    </row>
    <row r="155" spans="24:25" x14ac:dyDescent="0.3">
      <c r="X155" s="30" t="str">
        <f t="shared" si="3"/>
        <v/>
      </c>
      <c r="Y155" s="30" t="str">
        <f>IF(Z155="","",MIN(FIND({0,1,2,3,4,5,6,7,8,9},Z155 &amp; "0123456789")))</f>
        <v/>
      </c>
    </row>
    <row r="156" spans="24:25" x14ac:dyDescent="0.3">
      <c r="X156" s="30" t="str">
        <f t="shared" si="3"/>
        <v/>
      </c>
      <c r="Y156" s="30" t="str">
        <f>IF(Z156="","",MIN(FIND({0,1,2,3,4,5,6,7,8,9},Z156 &amp; "0123456789")))</f>
        <v/>
      </c>
    </row>
    <row r="157" spans="24:25" x14ac:dyDescent="0.3">
      <c r="X157" s="30" t="str">
        <f t="shared" si="3"/>
        <v/>
      </c>
      <c r="Y157" s="30" t="str">
        <f>IF(Z157="","",MIN(FIND({0,1,2,3,4,5,6,7,8,9},Z157 &amp; "0123456789")))</f>
        <v/>
      </c>
    </row>
    <row r="158" spans="24:25" x14ac:dyDescent="0.3">
      <c r="X158" s="30" t="str">
        <f t="shared" si="3"/>
        <v/>
      </c>
      <c r="Y158" s="30" t="str">
        <f>IF(Z158="","",MIN(FIND({0,1,2,3,4,5,6,7,8,9},Z158 &amp; "0123456789")))</f>
        <v/>
      </c>
    </row>
    <row r="159" spans="24:25" x14ac:dyDescent="0.3">
      <c r="X159" s="30" t="str">
        <f t="shared" si="3"/>
        <v/>
      </c>
      <c r="Y159" s="30" t="str">
        <f>IF(Z159="","",MIN(FIND({0,1,2,3,4,5,6,7,8,9},Z159 &amp; "0123456789")))</f>
        <v/>
      </c>
    </row>
    <row r="160" spans="24:25" x14ac:dyDescent="0.3">
      <c r="X160" s="30" t="str">
        <f t="shared" si="3"/>
        <v/>
      </c>
      <c r="Y160" s="30" t="str">
        <f>IF(Z160="","",MIN(FIND({0,1,2,3,4,5,6,7,8,9},Z160 &amp; "0123456789")))</f>
        <v/>
      </c>
    </row>
    <row r="161" spans="24:25" x14ac:dyDescent="0.3">
      <c r="X161" s="30" t="str">
        <f t="shared" si="3"/>
        <v/>
      </c>
      <c r="Y161" s="30" t="str">
        <f>IF(Z161="","",MIN(FIND({0,1,2,3,4,5,6,7,8,9},Z161 &amp; "0123456789")))</f>
        <v/>
      </c>
    </row>
    <row r="162" spans="24:25" x14ac:dyDescent="0.3">
      <c r="X162" s="30" t="str">
        <f t="shared" si="3"/>
        <v/>
      </c>
      <c r="Y162" s="30" t="str">
        <f>IF(Z162="","",MIN(FIND({0,1,2,3,4,5,6,7,8,9},Z162 &amp; "0123456789")))</f>
        <v/>
      </c>
    </row>
    <row r="163" spans="24:25" x14ac:dyDescent="0.3">
      <c r="X163" s="30" t="str">
        <f t="shared" si="3"/>
        <v/>
      </c>
      <c r="Y163" s="30" t="str">
        <f>IF(Z163="","",MIN(FIND({0,1,2,3,4,5,6,7,8,9},Z163 &amp; "0123456789")))</f>
        <v/>
      </c>
    </row>
    <row r="164" spans="24:25" x14ac:dyDescent="0.3">
      <c r="X164" s="30" t="str">
        <f t="shared" si="3"/>
        <v/>
      </c>
      <c r="Y164" s="30" t="str">
        <f>IF(Z164="","",MIN(FIND({0,1,2,3,4,5,6,7,8,9},Z164 &amp; "0123456789")))</f>
        <v/>
      </c>
    </row>
    <row r="165" spans="24:25" x14ac:dyDescent="0.3">
      <c r="X165" s="30" t="str">
        <f t="shared" si="3"/>
        <v/>
      </c>
      <c r="Y165" s="30" t="str">
        <f>IF(Z165="","",MIN(FIND({0,1,2,3,4,5,6,7,8,9},Z165 &amp; "0123456789")))</f>
        <v/>
      </c>
    </row>
    <row r="166" spans="24:25" x14ac:dyDescent="0.3">
      <c r="X166" s="30" t="str">
        <f t="shared" si="3"/>
        <v/>
      </c>
      <c r="Y166" s="30" t="str">
        <f>IF(Z166="","",MIN(FIND({0,1,2,3,4,5,6,7,8,9},Z166 &amp; "0123456789")))</f>
        <v/>
      </c>
    </row>
    <row r="167" spans="24:25" x14ac:dyDescent="0.3">
      <c r="X167" s="30" t="str">
        <f t="shared" si="3"/>
        <v/>
      </c>
      <c r="Y167" s="30" t="str">
        <f>IF(Z167="","",MIN(FIND({0,1,2,3,4,5,6,7,8,9},Z167 &amp; "0123456789")))</f>
        <v/>
      </c>
    </row>
    <row r="168" spans="24:25" x14ac:dyDescent="0.3">
      <c r="X168" s="30" t="str">
        <f t="shared" si="3"/>
        <v/>
      </c>
      <c r="Y168" s="30" t="str">
        <f>IF(Z168="","",MIN(FIND({0,1,2,3,4,5,6,7,8,9},Z168 &amp; "0123456789")))</f>
        <v/>
      </c>
    </row>
    <row r="169" spans="24:25" x14ac:dyDescent="0.3">
      <c r="X169" s="30" t="str">
        <f t="shared" si="3"/>
        <v/>
      </c>
      <c r="Y169" s="30" t="str">
        <f>IF(Z169="","",MIN(FIND({0,1,2,3,4,5,6,7,8,9},Z169 &amp; "0123456789")))</f>
        <v/>
      </c>
    </row>
    <row r="170" spans="24:25" x14ac:dyDescent="0.3">
      <c r="X170" s="30" t="str">
        <f t="shared" si="3"/>
        <v/>
      </c>
      <c r="Y170" s="30" t="str">
        <f>IF(Z170="","",MIN(FIND({0,1,2,3,4,5,6,7,8,9},Z170 &amp; "0123456789")))</f>
        <v/>
      </c>
    </row>
    <row r="171" spans="24:25" x14ac:dyDescent="0.3">
      <c r="X171" s="30" t="str">
        <f t="shared" si="3"/>
        <v/>
      </c>
      <c r="Y171" s="30" t="str">
        <f>IF(Z171="","",MIN(FIND({0,1,2,3,4,5,6,7,8,9},Z171 &amp; "0123456789")))</f>
        <v/>
      </c>
    </row>
    <row r="172" spans="24:25" x14ac:dyDescent="0.3">
      <c r="X172" s="30" t="str">
        <f t="shared" si="3"/>
        <v/>
      </c>
      <c r="Y172" s="30" t="str">
        <f>IF(Z172="","",MIN(FIND({0,1,2,3,4,5,6,7,8,9},Z172 &amp; "0123456789")))</f>
        <v/>
      </c>
    </row>
    <row r="173" spans="24:25" x14ac:dyDescent="0.3">
      <c r="X173" s="30" t="str">
        <f t="shared" si="3"/>
        <v/>
      </c>
      <c r="Y173" s="30" t="str">
        <f>IF(Z173="","",MIN(FIND({0,1,2,3,4,5,6,7,8,9},Z173 &amp; "0123456789")))</f>
        <v/>
      </c>
    </row>
    <row r="174" spans="24:25" x14ac:dyDescent="0.3">
      <c r="X174" s="30" t="str">
        <f t="shared" si="3"/>
        <v/>
      </c>
      <c r="Y174" s="30" t="str">
        <f>IF(Z174="","",MIN(FIND({0,1,2,3,4,5,6,7,8,9},Z174 &amp; "0123456789")))</f>
        <v/>
      </c>
    </row>
    <row r="175" spans="24:25" x14ac:dyDescent="0.3">
      <c r="X175" s="30" t="str">
        <f t="shared" si="3"/>
        <v/>
      </c>
      <c r="Y175" s="30" t="str">
        <f>IF(Z175="","",MIN(FIND({0,1,2,3,4,5,6,7,8,9},Z175 &amp; "0123456789")))</f>
        <v/>
      </c>
    </row>
    <row r="176" spans="24:25" x14ac:dyDescent="0.3">
      <c r="X176" s="30" t="str">
        <f t="shared" si="3"/>
        <v/>
      </c>
      <c r="Y176" s="30" t="str">
        <f>IF(Z176="","",MIN(FIND({0,1,2,3,4,5,6,7,8,9},Z176 &amp; "0123456789")))</f>
        <v/>
      </c>
    </row>
    <row r="177" spans="24:25" x14ac:dyDescent="0.3">
      <c r="X177" s="30" t="str">
        <f t="shared" si="3"/>
        <v/>
      </c>
      <c r="Y177" s="30" t="str">
        <f>IF(Z177="","",MIN(FIND({0,1,2,3,4,5,6,7,8,9},Z177 &amp; "0123456789")))</f>
        <v/>
      </c>
    </row>
    <row r="178" spans="24:25" x14ac:dyDescent="0.3">
      <c r="X178" s="30" t="str">
        <f t="shared" si="3"/>
        <v/>
      </c>
      <c r="Y178" s="30" t="str">
        <f>IF(Z178="","",MIN(FIND({0,1,2,3,4,5,6,7,8,9},Z178 &amp; "0123456789")))</f>
        <v/>
      </c>
    </row>
    <row r="179" spans="24:25" x14ac:dyDescent="0.3">
      <c r="X179" s="30" t="str">
        <f t="shared" si="3"/>
        <v/>
      </c>
      <c r="Y179" s="30" t="str">
        <f>IF(Z179="","",MIN(FIND({0,1,2,3,4,5,6,7,8,9},Z179 &amp; "0123456789")))</f>
        <v/>
      </c>
    </row>
    <row r="180" spans="24:25" x14ac:dyDescent="0.3">
      <c r="X180" s="30" t="str">
        <f t="shared" si="3"/>
        <v/>
      </c>
      <c r="Y180" s="30" t="str">
        <f>IF(Z180="","",MIN(FIND({0,1,2,3,4,5,6,7,8,9},Z180 &amp; "0123456789")))</f>
        <v/>
      </c>
    </row>
    <row r="181" spans="24:25" x14ac:dyDescent="0.3">
      <c r="X181" s="30" t="str">
        <f t="shared" si="3"/>
        <v/>
      </c>
      <c r="Y181" s="30" t="str">
        <f>IF(Z181="","",MIN(FIND({0,1,2,3,4,5,6,7,8,9},Z181 &amp; "0123456789")))</f>
        <v/>
      </c>
    </row>
    <row r="182" spans="24:25" x14ac:dyDescent="0.3">
      <c r="X182" s="30" t="str">
        <f t="shared" si="3"/>
        <v/>
      </c>
      <c r="Y182" s="30" t="str">
        <f>IF(Z182="","",MIN(FIND({0,1,2,3,4,5,6,7,8,9},Z182 &amp; "0123456789")))</f>
        <v/>
      </c>
    </row>
    <row r="183" spans="24:25" x14ac:dyDescent="0.3">
      <c r="X183" s="30" t="str">
        <f t="shared" si="3"/>
        <v/>
      </c>
      <c r="Y183" s="30" t="str">
        <f>IF(Z183="","",MIN(FIND({0,1,2,3,4,5,6,7,8,9},Z183 &amp; "0123456789")))</f>
        <v/>
      </c>
    </row>
    <row r="184" spans="24:25" x14ac:dyDescent="0.3">
      <c r="X184" s="30" t="str">
        <f t="shared" si="3"/>
        <v/>
      </c>
      <c r="Y184" s="30" t="str">
        <f>IF(Z184="","",MIN(FIND({0,1,2,3,4,5,6,7,8,9},Z184 &amp; "0123456789")))</f>
        <v/>
      </c>
    </row>
    <row r="185" spans="24:25" x14ac:dyDescent="0.3">
      <c r="X185" s="30" t="str">
        <f t="shared" si="3"/>
        <v/>
      </c>
      <c r="Y185" s="30" t="str">
        <f>IF(Z185="","",MIN(FIND({0,1,2,3,4,5,6,7,8,9},Z185 &amp; "0123456789")))</f>
        <v/>
      </c>
    </row>
    <row r="186" spans="24:25" x14ac:dyDescent="0.3">
      <c r="X186" s="30" t="str">
        <f t="shared" si="3"/>
        <v/>
      </c>
      <c r="Y186" s="30" t="str">
        <f>IF(Z186="","",MIN(FIND({0,1,2,3,4,5,6,7,8,9},Z186 &amp; "0123456789")))</f>
        <v/>
      </c>
    </row>
    <row r="187" spans="24:25" x14ac:dyDescent="0.3">
      <c r="X187" s="30" t="str">
        <f t="shared" si="3"/>
        <v/>
      </c>
      <c r="Y187" s="30" t="str">
        <f>IF(Z187="","",MIN(FIND({0,1,2,3,4,5,6,7,8,9},Z187 &amp; "0123456789")))</f>
        <v/>
      </c>
    </row>
    <row r="188" spans="24:25" x14ac:dyDescent="0.3">
      <c r="X188" s="30" t="str">
        <f t="shared" si="3"/>
        <v/>
      </c>
      <c r="Y188" s="30" t="str">
        <f>IF(Z188="","",MIN(FIND({0,1,2,3,4,5,6,7,8,9},Z188 &amp; "0123456789")))</f>
        <v/>
      </c>
    </row>
    <row r="189" spans="24:25" x14ac:dyDescent="0.3">
      <c r="X189" s="30" t="str">
        <f t="shared" si="3"/>
        <v/>
      </c>
      <c r="Y189" s="30" t="str">
        <f>IF(Z189="","",MIN(FIND({0,1,2,3,4,5,6,7,8,9},Z189 &amp; "0123456789")))</f>
        <v/>
      </c>
    </row>
    <row r="190" spans="24:25" x14ac:dyDescent="0.3">
      <c r="X190" s="30" t="str">
        <f t="shared" si="3"/>
        <v/>
      </c>
      <c r="Y190" s="30" t="str">
        <f>IF(Z190="","",MIN(FIND({0,1,2,3,4,5,6,7,8,9},Z190 &amp; "0123456789")))</f>
        <v/>
      </c>
    </row>
    <row r="191" spans="24:25" x14ac:dyDescent="0.3">
      <c r="X191" s="30" t="str">
        <f t="shared" si="3"/>
        <v/>
      </c>
      <c r="Y191" s="30" t="str">
        <f>IF(Z191="","",MIN(FIND({0,1,2,3,4,5,6,7,8,9},Z191 &amp; "0123456789")))</f>
        <v/>
      </c>
    </row>
    <row r="192" spans="24:25" x14ac:dyDescent="0.3">
      <c r="X192" s="30" t="str">
        <f t="shared" si="3"/>
        <v/>
      </c>
      <c r="Y192" s="30" t="str">
        <f>IF(Z192="","",MIN(FIND({0,1,2,3,4,5,6,7,8,9},Z192 &amp; "0123456789")))</f>
        <v/>
      </c>
    </row>
    <row r="193" spans="24:25" x14ac:dyDescent="0.3">
      <c r="X193" s="30" t="str">
        <f t="shared" si="3"/>
        <v/>
      </c>
      <c r="Y193" s="30" t="str">
        <f>IF(Z193="","",MIN(FIND({0,1,2,3,4,5,6,7,8,9},Z193 &amp; "0123456789")))</f>
        <v/>
      </c>
    </row>
    <row r="194" spans="24:25" x14ac:dyDescent="0.3">
      <c r="X194" s="30" t="str">
        <f t="shared" ref="X194:X257" si="4">IF(Y194="","",VALUE(RIGHT(Z194,LEN(Z194) -Y194+1)))</f>
        <v/>
      </c>
      <c r="Y194" s="30" t="str">
        <f>IF(Z194="","",MIN(FIND({0,1,2,3,4,5,6,7,8,9},Z194 &amp; "0123456789")))</f>
        <v/>
      </c>
    </row>
    <row r="195" spans="24:25" x14ac:dyDescent="0.3">
      <c r="X195" s="30" t="str">
        <f t="shared" si="4"/>
        <v/>
      </c>
      <c r="Y195" s="30" t="str">
        <f>IF(Z195="","",MIN(FIND({0,1,2,3,4,5,6,7,8,9},Z195 &amp; "0123456789")))</f>
        <v/>
      </c>
    </row>
    <row r="196" spans="24:25" x14ac:dyDescent="0.3">
      <c r="X196" s="30" t="str">
        <f t="shared" si="4"/>
        <v/>
      </c>
      <c r="Y196" s="30" t="str">
        <f>IF(Z196="","",MIN(FIND({0,1,2,3,4,5,6,7,8,9},Z196 &amp; "0123456789")))</f>
        <v/>
      </c>
    </row>
    <row r="197" spans="24:25" x14ac:dyDescent="0.3">
      <c r="X197" s="30" t="str">
        <f t="shared" si="4"/>
        <v/>
      </c>
      <c r="Y197" s="30" t="str">
        <f>IF(Z197="","",MIN(FIND({0,1,2,3,4,5,6,7,8,9},Z197 &amp; "0123456789")))</f>
        <v/>
      </c>
    </row>
    <row r="198" spans="24:25" x14ac:dyDescent="0.3">
      <c r="X198" s="30" t="str">
        <f t="shared" si="4"/>
        <v/>
      </c>
      <c r="Y198" s="30" t="str">
        <f>IF(Z198="","",MIN(FIND({0,1,2,3,4,5,6,7,8,9},Z198 &amp; "0123456789")))</f>
        <v/>
      </c>
    </row>
    <row r="199" spans="24:25" x14ac:dyDescent="0.3">
      <c r="X199" s="30" t="str">
        <f t="shared" si="4"/>
        <v/>
      </c>
      <c r="Y199" s="30" t="str">
        <f>IF(Z199="","",MIN(FIND({0,1,2,3,4,5,6,7,8,9},Z199 &amp; "0123456789")))</f>
        <v/>
      </c>
    </row>
    <row r="200" spans="24:25" x14ac:dyDescent="0.3">
      <c r="X200" s="30" t="str">
        <f t="shared" si="4"/>
        <v/>
      </c>
      <c r="Y200" s="30" t="str">
        <f>IF(Z200="","",MIN(FIND({0,1,2,3,4,5,6,7,8,9},Z200 &amp; "0123456789")))</f>
        <v/>
      </c>
    </row>
    <row r="201" spans="24:25" x14ac:dyDescent="0.3">
      <c r="X201" s="30" t="str">
        <f t="shared" si="4"/>
        <v/>
      </c>
      <c r="Y201" s="30" t="str">
        <f>IF(Z201="","",MIN(FIND({0,1,2,3,4,5,6,7,8,9},Z201 &amp; "0123456789")))</f>
        <v/>
      </c>
    </row>
    <row r="202" spans="24:25" x14ac:dyDescent="0.3">
      <c r="X202" s="30" t="str">
        <f t="shared" si="4"/>
        <v/>
      </c>
      <c r="Y202" s="30" t="str">
        <f>IF(Z202="","",MIN(FIND({0,1,2,3,4,5,6,7,8,9},Z202 &amp; "0123456789")))</f>
        <v/>
      </c>
    </row>
    <row r="203" spans="24:25" x14ac:dyDescent="0.3">
      <c r="X203" s="30" t="str">
        <f t="shared" si="4"/>
        <v/>
      </c>
      <c r="Y203" s="30" t="str">
        <f>IF(Z203="","",MIN(FIND({0,1,2,3,4,5,6,7,8,9},Z203 &amp; "0123456789")))</f>
        <v/>
      </c>
    </row>
    <row r="204" spans="24:25" x14ac:dyDescent="0.3">
      <c r="X204" s="30" t="str">
        <f t="shared" si="4"/>
        <v/>
      </c>
      <c r="Y204" s="30" t="str">
        <f>IF(Z204="","",MIN(FIND({0,1,2,3,4,5,6,7,8,9},Z204 &amp; "0123456789")))</f>
        <v/>
      </c>
    </row>
    <row r="205" spans="24:25" x14ac:dyDescent="0.3">
      <c r="X205" s="30" t="str">
        <f t="shared" si="4"/>
        <v/>
      </c>
      <c r="Y205" s="30" t="str">
        <f>IF(Z205="","",MIN(FIND({0,1,2,3,4,5,6,7,8,9},Z205 &amp; "0123456789")))</f>
        <v/>
      </c>
    </row>
    <row r="206" spans="24:25" x14ac:dyDescent="0.3">
      <c r="X206" s="30" t="str">
        <f t="shared" si="4"/>
        <v/>
      </c>
      <c r="Y206" s="30" t="str">
        <f>IF(Z206="","",MIN(FIND({0,1,2,3,4,5,6,7,8,9},Z206 &amp; "0123456789")))</f>
        <v/>
      </c>
    </row>
    <row r="207" spans="24:25" x14ac:dyDescent="0.3">
      <c r="X207" s="30" t="str">
        <f t="shared" si="4"/>
        <v/>
      </c>
      <c r="Y207" s="30" t="str">
        <f>IF(Z207="","",MIN(FIND({0,1,2,3,4,5,6,7,8,9},Z207 &amp; "0123456789")))</f>
        <v/>
      </c>
    </row>
    <row r="208" spans="24:25" x14ac:dyDescent="0.3">
      <c r="X208" s="30" t="str">
        <f t="shared" si="4"/>
        <v/>
      </c>
      <c r="Y208" s="30" t="str">
        <f>IF(Z208="","",MIN(FIND({0,1,2,3,4,5,6,7,8,9},Z208 &amp; "0123456789")))</f>
        <v/>
      </c>
    </row>
    <row r="209" spans="24:25" x14ac:dyDescent="0.3">
      <c r="X209" s="30" t="str">
        <f t="shared" si="4"/>
        <v/>
      </c>
      <c r="Y209" s="30" t="str">
        <f>IF(Z209="","",MIN(FIND({0,1,2,3,4,5,6,7,8,9},Z209 &amp; "0123456789")))</f>
        <v/>
      </c>
    </row>
    <row r="210" spans="24:25" x14ac:dyDescent="0.3">
      <c r="X210" s="30" t="str">
        <f t="shared" si="4"/>
        <v/>
      </c>
      <c r="Y210" s="30" t="str">
        <f>IF(Z210="","",MIN(FIND({0,1,2,3,4,5,6,7,8,9},Z210 &amp; "0123456789")))</f>
        <v/>
      </c>
    </row>
    <row r="211" spans="24:25" x14ac:dyDescent="0.3">
      <c r="X211" s="30" t="str">
        <f t="shared" si="4"/>
        <v/>
      </c>
      <c r="Y211" s="30" t="str">
        <f>IF(Z211="","",MIN(FIND({0,1,2,3,4,5,6,7,8,9},Z211 &amp; "0123456789")))</f>
        <v/>
      </c>
    </row>
    <row r="212" spans="24:25" x14ac:dyDescent="0.3">
      <c r="X212" s="30" t="str">
        <f t="shared" si="4"/>
        <v/>
      </c>
      <c r="Y212" s="30" t="str">
        <f>IF(Z212="","",MIN(FIND({0,1,2,3,4,5,6,7,8,9},Z212 &amp; "0123456789")))</f>
        <v/>
      </c>
    </row>
    <row r="213" spans="24:25" x14ac:dyDescent="0.3">
      <c r="X213" s="30" t="str">
        <f t="shared" si="4"/>
        <v/>
      </c>
      <c r="Y213" s="30" t="str">
        <f>IF(Z213="","",MIN(FIND({0,1,2,3,4,5,6,7,8,9},Z213 &amp; "0123456789")))</f>
        <v/>
      </c>
    </row>
    <row r="214" spans="24:25" x14ac:dyDescent="0.3">
      <c r="X214" s="30" t="str">
        <f t="shared" si="4"/>
        <v/>
      </c>
      <c r="Y214" s="30" t="str">
        <f>IF(Z214="","",MIN(FIND({0,1,2,3,4,5,6,7,8,9},Z214 &amp; "0123456789")))</f>
        <v/>
      </c>
    </row>
    <row r="215" spans="24:25" x14ac:dyDescent="0.3">
      <c r="X215" s="30" t="str">
        <f t="shared" si="4"/>
        <v/>
      </c>
      <c r="Y215" s="30" t="str">
        <f>IF(Z215="","",MIN(FIND({0,1,2,3,4,5,6,7,8,9},Z215 &amp; "0123456789")))</f>
        <v/>
      </c>
    </row>
    <row r="216" spans="24:25" x14ac:dyDescent="0.3">
      <c r="X216" s="30" t="str">
        <f t="shared" si="4"/>
        <v/>
      </c>
      <c r="Y216" s="30" t="str">
        <f>IF(Z216="","",MIN(FIND({0,1,2,3,4,5,6,7,8,9},Z216 &amp; "0123456789")))</f>
        <v/>
      </c>
    </row>
    <row r="217" spans="24:25" x14ac:dyDescent="0.3">
      <c r="X217" s="30" t="str">
        <f t="shared" si="4"/>
        <v/>
      </c>
      <c r="Y217" s="30" t="str">
        <f>IF(Z217="","",MIN(FIND({0,1,2,3,4,5,6,7,8,9},Z217 &amp; "0123456789")))</f>
        <v/>
      </c>
    </row>
    <row r="218" spans="24:25" x14ac:dyDescent="0.3">
      <c r="X218" s="30" t="str">
        <f t="shared" si="4"/>
        <v/>
      </c>
      <c r="Y218" s="30" t="str">
        <f>IF(Z218="","",MIN(FIND({0,1,2,3,4,5,6,7,8,9},Z218 &amp; "0123456789")))</f>
        <v/>
      </c>
    </row>
    <row r="219" spans="24:25" x14ac:dyDescent="0.3">
      <c r="X219" s="30" t="str">
        <f t="shared" si="4"/>
        <v/>
      </c>
      <c r="Y219" s="30" t="str">
        <f>IF(Z219="","",MIN(FIND({0,1,2,3,4,5,6,7,8,9},Z219 &amp; "0123456789")))</f>
        <v/>
      </c>
    </row>
    <row r="220" spans="24:25" x14ac:dyDescent="0.3">
      <c r="X220" s="30" t="str">
        <f t="shared" si="4"/>
        <v/>
      </c>
      <c r="Y220" s="30" t="str">
        <f>IF(Z220="","",MIN(FIND({0,1,2,3,4,5,6,7,8,9},Z220 &amp; "0123456789")))</f>
        <v/>
      </c>
    </row>
    <row r="221" spans="24:25" x14ac:dyDescent="0.3">
      <c r="X221" s="30" t="str">
        <f t="shared" si="4"/>
        <v/>
      </c>
      <c r="Y221" s="30" t="str">
        <f>IF(Z221="","",MIN(FIND({0,1,2,3,4,5,6,7,8,9},Z221 &amp; "0123456789")))</f>
        <v/>
      </c>
    </row>
    <row r="222" spans="24:25" x14ac:dyDescent="0.3">
      <c r="X222" s="30" t="str">
        <f t="shared" si="4"/>
        <v/>
      </c>
      <c r="Y222" s="30" t="str">
        <f>IF(Z222="","",MIN(FIND({0,1,2,3,4,5,6,7,8,9},Z222 &amp; "0123456789")))</f>
        <v/>
      </c>
    </row>
    <row r="223" spans="24:25" x14ac:dyDescent="0.3">
      <c r="X223" s="30" t="str">
        <f t="shared" si="4"/>
        <v/>
      </c>
      <c r="Y223" s="30" t="str">
        <f>IF(Z223="","",MIN(FIND({0,1,2,3,4,5,6,7,8,9},Z223 &amp; "0123456789")))</f>
        <v/>
      </c>
    </row>
    <row r="224" spans="24:25" x14ac:dyDescent="0.3">
      <c r="X224" s="30" t="str">
        <f t="shared" si="4"/>
        <v/>
      </c>
      <c r="Y224" s="30" t="str">
        <f>IF(Z224="","",MIN(FIND({0,1,2,3,4,5,6,7,8,9},Z224 &amp; "0123456789")))</f>
        <v/>
      </c>
    </row>
    <row r="225" spans="24:25" x14ac:dyDescent="0.3">
      <c r="X225" s="30" t="str">
        <f t="shared" si="4"/>
        <v/>
      </c>
      <c r="Y225" s="30" t="str">
        <f>IF(Z225="","",MIN(FIND({0,1,2,3,4,5,6,7,8,9},Z225 &amp; "0123456789")))</f>
        <v/>
      </c>
    </row>
    <row r="226" spans="24:25" x14ac:dyDescent="0.3">
      <c r="X226" s="30" t="str">
        <f t="shared" si="4"/>
        <v/>
      </c>
      <c r="Y226" s="30" t="str">
        <f>IF(Z226="","",MIN(FIND({0,1,2,3,4,5,6,7,8,9},Z226 &amp; "0123456789")))</f>
        <v/>
      </c>
    </row>
    <row r="227" spans="24:25" x14ac:dyDescent="0.3">
      <c r="X227" s="30" t="str">
        <f t="shared" si="4"/>
        <v/>
      </c>
      <c r="Y227" s="30" t="str">
        <f>IF(Z227="","",MIN(FIND({0,1,2,3,4,5,6,7,8,9},Z227 &amp; "0123456789")))</f>
        <v/>
      </c>
    </row>
    <row r="228" spans="24:25" x14ac:dyDescent="0.3">
      <c r="X228" s="30" t="str">
        <f t="shared" si="4"/>
        <v/>
      </c>
      <c r="Y228" s="30" t="str">
        <f>IF(Z228="","",MIN(FIND({0,1,2,3,4,5,6,7,8,9},Z228 &amp; "0123456789")))</f>
        <v/>
      </c>
    </row>
    <row r="229" spans="24:25" x14ac:dyDescent="0.3">
      <c r="X229" s="30" t="str">
        <f t="shared" si="4"/>
        <v/>
      </c>
      <c r="Y229" s="30" t="str">
        <f>IF(Z229="","",MIN(FIND({0,1,2,3,4,5,6,7,8,9},Z229 &amp; "0123456789")))</f>
        <v/>
      </c>
    </row>
    <row r="230" spans="24:25" x14ac:dyDescent="0.3">
      <c r="X230" s="30" t="str">
        <f t="shared" si="4"/>
        <v/>
      </c>
      <c r="Y230" s="30" t="str">
        <f>IF(Z230="","",MIN(FIND({0,1,2,3,4,5,6,7,8,9},Z230 &amp; "0123456789")))</f>
        <v/>
      </c>
    </row>
    <row r="231" spans="24:25" x14ac:dyDescent="0.3">
      <c r="X231" s="30" t="str">
        <f t="shared" si="4"/>
        <v/>
      </c>
      <c r="Y231" s="30" t="str">
        <f>IF(Z231="","",MIN(FIND({0,1,2,3,4,5,6,7,8,9},Z231 &amp; "0123456789")))</f>
        <v/>
      </c>
    </row>
    <row r="232" spans="24:25" x14ac:dyDescent="0.3">
      <c r="X232" s="30" t="str">
        <f t="shared" si="4"/>
        <v/>
      </c>
      <c r="Y232" s="30" t="str">
        <f>IF(Z232="","",MIN(FIND({0,1,2,3,4,5,6,7,8,9},Z232 &amp; "0123456789")))</f>
        <v/>
      </c>
    </row>
    <row r="233" spans="24:25" x14ac:dyDescent="0.3">
      <c r="X233" s="30" t="str">
        <f t="shared" si="4"/>
        <v/>
      </c>
      <c r="Y233" s="30" t="str">
        <f>IF(Z233="","",MIN(FIND({0,1,2,3,4,5,6,7,8,9},Z233 &amp; "0123456789")))</f>
        <v/>
      </c>
    </row>
    <row r="234" spans="24:25" x14ac:dyDescent="0.3">
      <c r="X234" s="30" t="str">
        <f t="shared" si="4"/>
        <v/>
      </c>
      <c r="Y234" s="30" t="str">
        <f>IF(Z234="","",MIN(FIND({0,1,2,3,4,5,6,7,8,9},Z234 &amp; "0123456789")))</f>
        <v/>
      </c>
    </row>
    <row r="235" spans="24:25" x14ac:dyDescent="0.3">
      <c r="X235" s="30" t="str">
        <f t="shared" si="4"/>
        <v/>
      </c>
      <c r="Y235" s="30" t="str">
        <f>IF(Z235="","",MIN(FIND({0,1,2,3,4,5,6,7,8,9},Z235 &amp; "0123456789")))</f>
        <v/>
      </c>
    </row>
    <row r="236" spans="24:25" x14ac:dyDescent="0.3">
      <c r="X236" s="30" t="str">
        <f t="shared" si="4"/>
        <v/>
      </c>
      <c r="Y236" s="30" t="str">
        <f>IF(Z236="","",MIN(FIND({0,1,2,3,4,5,6,7,8,9},Z236 &amp; "0123456789")))</f>
        <v/>
      </c>
    </row>
    <row r="237" spans="24:25" x14ac:dyDescent="0.3">
      <c r="X237" s="30" t="str">
        <f t="shared" si="4"/>
        <v/>
      </c>
      <c r="Y237" s="30" t="str">
        <f>IF(Z237="","",MIN(FIND({0,1,2,3,4,5,6,7,8,9},Z237 &amp; "0123456789")))</f>
        <v/>
      </c>
    </row>
    <row r="238" spans="24:25" x14ac:dyDescent="0.3">
      <c r="X238" s="30" t="str">
        <f t="shared" si="4"/>
        <v/>
      </c>
      <c r="Y238" s="30" t="str">
        <f>IF(Z238="","",MIN(FIND({0,1,2,3,4,5,6,7,8,9},Z238 &amp; "0123456789")))</f>
        <v/>
      </c>
    </row>
    <row r="239" spans="24:25" x14ac:dyDescent="0.3">
      <c r="X239" s="30" t="str">
        <f t="shared" si="4"/>
        <v/>
      </c>
      <c r="Y239" s="30" t="str">
        <f>IF(Z239="","",MIN(FIND({0,1,2,3,4,5,6,7,8,9},Z239 &amp; "0123456789")))</f>
        <v/>
      </c>
    </row>
    <row r="240" spans="24:25" x14ac:dyDescent="0.3">
      <c r="X240" s="30" t="str">
        <f t="shared" si="4"/>
        <v/>
      </c>
      <c r="Y240" s="30" t="str">
        <f>IF(Z240="","",MIN(FIND({0,1,2,3,4,5,6,7,8,9},Z240 &amp; "0123456789")))</f>
        <v/>
      </c>
    </row>
    <row r="241" spans="24:25" x14ac:dyDescent="0.3">
      <c r="X241" s="30" t="str">
        <f t="shared" si="4"/>
        <v/>
      </c>
      <c r="Y241" s="30" t="str">
        <f>IF(Z241="","",MIN(FIND({0,1,2,3,4,5,6,7,8,9},Z241 &amp; "0123456789")))</f>
        <v/>
      </c>
    </row>
    <row r="242" spans="24:25" x14ac:dyDescent="0.3">
      <c r="X242" s="30" t="str">
        <f t="shared" si="4"/>
        <v/>
      </c>
      <c r="Y242" s="30" t="str">
        <f>IF(Z242="","",MIN(FIND({0,1,2,3,4,5,6,7,8,9},Z242 &amp; "0123456789")))</f>
        <v/>
      </c>
    </row>
    <row r="243" spans="24:25" x14ac:dyDescent="0.3">
      <c r="X243" s="30" t="str">
        <f t="shared" si="4"/>
        <v/>
      </c>
      <c r="Y243" s="30" t="str">
        <f>IF(Z243="","",MIN(FIND({0,1,2,3,4,5,6,7,8,9},Z243 &amp; "0123456789")))</f>
        <v/>
      </c>
    </row>
    <row r="244" spans="24:25" x14ac:dyDescent="0.3">
      <c r="X244" s="30" t="str">
        <f t="shared" si="4"/>
        <v/>
      </c>
      <c r="Y244" s="30" t="str">
        <f>IF(Z244="","",MIN(FIND({0,1,2,3,4,5,6,7,8,9},Z244 &amp; "0123456789")))</f>
        <v/>
      </c>
    </row>
    <row r="245" spans="24:25" x14ac:dyDescent="0.3">
      <c r="X245" s="30" t="str">
        <f t="shared" si="4"/>
        <v/>
      </c>
      <c r="Y245" s="30" t="str">
        <f>IF(Z245="","",MIN(FIND({0,1,2,3,4,5,6,7,8,9},Z245 &amp; "0123456789")))</f>
        <v/>
      </c>
    </row>
    <row r="246" spans="24:25" x14ac:dyDescent="0.3">
      <c r="X246" s="30" t="str">
        <f t="shared" si="4"/>
        <v/>
      </c>
      <c r="Y246" s="30" t="str">
        <f>IF(Z246="","",MIN(FIND({0,1,2,3,4,5,6,7,8,9},Z246 &amp; "0123456789")))</f>
        <v/>
      </c>
    </row>
    <row r="247" spans="24:25" x14ac:dyDescent="0.3">
      <c r="X247" s="30" t="str">
        <f t="shared" si="4"/>
        <v/>
      </c>
      <c r="Y247" s="30" t="str">
        <f>IF(Z247="","",MIN(FIND({0,1,2,3,4,5,6,7,8,9},Z247 &amp; "0123456789")))</f>
        <v/>
      </c>
    </row>
    <row r="248" spans="24:25" x14ac:dyDescent="0.3">
      <c r="X248" s="30" t="str">
        <f t="shared" si="4"/>
        <v/>
      </c>
      <c r="Y248" s="30" t="str">
        <f>IF(Z248="","",MIN(FIND({0,1,2,3,4,5,6,7,8,9},Z248 &amp; "0123456789")))</f>
        <v/>
      </c>
    </row>
    <row r="249" spans="24:25" x14ac:dyDescent="0.3">
      <c r="X249" s="30" t="str">
        <f t="shared" si="4"/>
        <v/>
      </c>
      <c r="Y249" s="30" t="str">
        <f>IF(Z249="","",MIN(FIND({0,1,2,3,4,5,6,7,8,9},Z249 &amp; "0123456789")))</f>
        <v/>
      </c>
    </row>
    <row r="250" spans="24:25" x14ac:dyDescent="0.3">
      <c r="X250" s="30" t="str">
        <f t="shared" si="4"/>
        <v/>
      </c>
      <c r="Y250" s="30" t="str">
        <f>IF(Z250="","",MIN(FIND({0,1,2,3,4,5,6,7,8,9},Z250 &amp; "0123456789")))</f>
        <v/>
      </c>
    </row>
    <row r="251" spans="24:25" x14ac:dyDescent="0.3">
      <c r="X251" s="30" t="str">
        <f t="shared" si="4"/>
        <v/>
      </c>
      <c r="Y251" s="30" t="str">
        <f>IF(Z251="","",MIN(FIND({0,1,2,3,4,5,6,7,8,9},Z251 &amp; "0123456789")))</f>
        <v/>
      </c>
    </row>
    <row r="252" spans="24:25" x14ac:dyDescent="0.3">
      <c r="X252" s="30" t="str">
        <f t="shared" si="4"/>
        <v/>
      </c>
      <c r="Y252" s="30" t="str">
        <f>IF(Z252="","",MIN(FIND({0,1,2,3,4,5,6,7,8,9},Z252 &amp; "0123456789")))</f>
        <v/>
      </c>
    </row>
    <row r="253" spans="24:25" x14ac:dyDescent="0.3">
      <c r="X253" s="30" t="str">
        <f t="shared" si="4"/>
        <v/>
      </c>
      <c r="Y253" s="30" t="str">
        <f>IF(Z253="","",MIN(FIND({0,1,2,3,4,5,6,7,8,9},Z253 &amp; "0123456789")))</f>
        <v/>
      </c>
    </row>
    <row r="254" spans="24:25" x14ac:dyDescent="0.3">
      <c r="X254" s="30" t="str">
        <f t="shared" si="4"/>
        <v/>
      </c>
      <c r="Y254" s="30" t="str">
        <f>IF(Z254="","",MIN(FIND({0,1,2,3,4,5,6,7,8,9},Z254 &amp; "0123456789")))</f>
        <v/>
      </c>
    </row>
    <row r="255" spans="24:25" x14ac:dyDescent="0.3">
      <c r="X255" s="30" t="str">
        <f t="shared" si="4"/>
        <v/>
      </c>
      <c r="Y255" s="30" t="str">
        <f>IF(Z255="","",MIN(FIND({0,1,2,3,4,5,6,7,8,9},Z255 &amp; "0123456789")))</f>
        <v/>
      </c>
    </row>
    <row r="256" spans="24:25" x14ac:dyDescent="0.3">
      <c r="X256" s="30" t="str">
        <f t="shared" si="4"/>
        <v/>
      </c>
      <c r="Y256" s="30" t="str">
        <f>IF(Z256="","",MIN(FIND({0,1,2,3,4,5,6,7,8,9},Z256 &amp; "0123456789")))</f>
        <v/>
      </c>
    </row>
    <row r="257" spans="24:25" x14ac:dyDescent="0.3">
      <c r="X257" s="30" t="str">
        <f t="shared" si="4"/>
        <v/>
      </c>
      <c r="Y257" s="30" t="str">
        <f>IF(Z257="","",MIN(FIND({0,1,2,3,4,5,6,7,8,9},Z257 &amp; "0123456789")))</f>
        <v/>
      </c>
    </row>
    <row r="258" spans="24:25" x14ac:dyDescent="0.3">
      <c r="X258" s="30" t="str">
        <f t="shared" ref="X258:X321" si="5">IF(Y258="","",VALUE(RIGHT(Z258,LEN(Z258) -Y258+1)))</f>
        <v/>
      </c>
      <c r="Y258" s="30" t="str">
        <f>IF(Z258="","",MIN(FIND({0,1,2,3,4,5,6,7,8,9},Z258 &amp; "0123456789")))</f>
        <v/>
      </c>
    </row>
    <row r="259" spans="24:25" x14ac:dyDescent="0.3">
      <c r="X259" s="30" t="str">
        <f t="shared" si="5"/>
        <v/>
      </c>
      <c r="Y259" s="30" t="str">
        <f>IF(Z259="","",MIN(FIND({0,1,2,3,4,5,6,7,8,9},Z259 &amp; "0123456789")))</f>
        <v/>
      </c>
    </row>
    <row r="260" spans="24:25" x14ac:dyDescent="0.3">
      <c r="X260" s="30" t="str">
        <f t="shared" si="5"/>
        <v/>
      </c>
      <c r="Y260" s="30" t="str">
        <f>IF(Z260="","",MIN(FIND({0,1,2,3,4,5,6,7,8,9},Z260 &amp; "0123456789")))</f>
        <v/>
      </c>
    </row>
    <row r="261" spans="24:25" x14ac:dyDescent="0.3">
      <c r="X261" s="30" t="str">
        <f t="shared" si="5"/>
        <v/>
      </c>
      <c r="Y261" s="30" t="str">
        <f>IF(Z261="","",MIN(FIND({0,1,2,3,4,5,6,7,8,9},Z261 &amp; "0123456789")))</f>
        <v/>
      </c>
    </row>
    <row r="262" spans="24:25" x14ac:dyDescent="0.3">
      <c r="X262" s="30" t="str">
        <f t="shared" si="5"/>
        <v/>
      </c>
      <c r="Y262" s="30" t="str">
        <f>IF(Z262="","",MIN(FIND({0,1,2,3,4,5,6,7,8,9},Z262 &amp; "0123456789")))</f>
        <v/>
      </c>
    </row>
    <row r="263" spans="24:25" x14ac:dyDescent="0.3">
      <c r="X263" s="30" t="str">
        <f t="shared" si="5"/>
        <v/>
      </c>
      <c r="Y263" s="30" t="str">
        <f>IF(Z263="","",MIN(FIND({0,1,2,3,4,5,6,7,8,9},Z263 &amp; "0123456789")))</f>
        <v/>
      </c>
    </row>
    <row r="264" spans="24:25" x14ac:dyDescent="0.3">
      <c r="X264" s="30" t="str">
        <f t="shared" si="5"/>
        <v/>
      </c>
      <c r="Y264" s="30" t="str">
        <f>IF(Z264="","",MIN(FIND({0,1,2,3,4,5,6,7,8,9},Z264 &amp; "0123456789")))</f>
        <v/>
      </c>
    </row>
    <row r="265" spans="24:25" x14ac:dyDescent="0.3">
      <c r="X265" s="30" t="str">
        <f t="shared" si="5"/>
        <v/>
      </c>
      <c r="Y265" s="30" t="str">
        <f>IF(Z265="","",MIN(FIND({0,1,2,3,4,5,6,7,8,9},Z265 &amp; "0123456789")))</f>
        <v/>
      </c>
    </row>
    <row r="266" spans="24:25" x14ac:dyDescent="0.3">
      <c r="X266" s="30" t="str">
        <f t="shared" si="5"/>
        <v/>
      </c>
      <c r="Y266" s="30" t="str">
        <f>IF(Z266="","",MIN(FIND({0,1,2,3,4,5,6,7,8,9},Z266 &amp; "0123456789")))</f>
        <v/>
      </c>
    </row>
    <row r="267" spans="24:25" x14ac:dyDescent="0.3">
      <c r="X267" s="30" t="str">
        <f t="shared" si="5"/>
        <v/>
      </c>
      <c r="Y267" s="30" t="str">
        <f>IF(Z267="","",MIN(FIND({0,1,2,3,4,5,6,7,8,9},Z267 &amp; "0123456789")))</f>
        <v/>
      </c>
    </row>
    <row r="268" spans="24:25" x14ac:dyDescent="0.3">
      <c r="X268" s="30" t="str">
        <f t="shared" si="5"/>
        <v/>
      </c>
      <c r="Y268" s="30" t="str">
        <f>IF(Z268="","",MIN(FIND({0,1,2,3,4,5,6,7,8,9},Z268 &amp; "0123456789")))</f>
        <v/>
      </c>
    </row>
    <row r="269" spans="24:25" x14ac:dyDescent="0.3">
      <c r="X269" s="30" t="str">
        <f t="shared" si="5"/>
        <v/>
      </c>
      <c r="Y269" s="30" t="str">
        <f>IF(Z269="","",MIN(FIND({0,1,2,3,4,5,6,7,8,9},Z269 &amp; "0123456789")))</f>
        <v/>
      </c>
    </row>
    <row r="270" spans="24:25" x14ac:dyDescent="0.3">
      <c r="X270" s="30" t="str">
        <f t="shared" si="5"/>
        <v/>
      </c>
      <c r="Y270" s="30" t="str">
        <f>IF(Z270="","",MIN(FIND({0,1,2,3,4,5,6,7,8,9},Z270 &amp; "0123456789")))</f>
        <v/>
      </c>
    </row>
    <row r="271" spans="24:25" x14ac:dyDescent="0.3">
      <c r="X271" s="30" t="str">
        <f t="shared" si="5"/>
        <v/>
      </c>
      <c r="Y271" s="30" t="str">
        <f>IF(Z271="","",MIN(FIND({0,1,2,3,4,5,6,7,8,9},Z271 &amp; "0123456789")))</f>
        <v/>
      </c>
    </row>
    <row r="272" spans="24:25" x14ac:dyDescent="0.3">
      <c r="X272" s="30" t="str">
        <f t="shared" si="5"/>
        <v/>
      </c>
      <c r="Y272" s="30" t="str">
        <f>IF(Z272="","",MIN(FIND({0,1,2,3,4,5,6,7,8,9},Z272 &amp; "0123456789")))</f>
        <v/>
      </c>
    </row>
    <row r="273" spans="24:25" x14ac:dyDescent="0.3">
      <c r="X273" s="30" t="str">
        <f t="shared" si="5"/>
        <v/>
      </c>
      <c r="Y273" s="30" t="str">
        <f>IF(Z273="","",MIN(FIND({0,1,2,3,4,5,6,7,8,9},Z273 &amp; "0123456789")))</f>
        <v/>
      </c>
    </row>
    <row r="274" spans="24:25" x14ac:dyDescent="0.3">
      <c r="X274" s="30" t="str">
        <f t="shared" si="5"/>
        <v/>
      </c>
      <c r="Y274" s="30" t="str">
        <f>IF(Z274="","",MIN(FIND({0,1,2,3,4,5,6,7,8,9},Z274 &amp; "0123456789")))</f>
        <v/>
      </c>
    </row>
    <row r="275" spans="24:25" x14ac:dyDescent="0.3">
      <c r="X275" s="30" t="str">
        <f t="shared" si="5"/>
        <v/>
      </c>
      <c r="Y275" s="30" t="str">
        <f>IF(Z275="","",MIN(FIND({0,1,2,3,4,5,6,7,8,9},Z275 &amp; "0123456789")))</f>
        <v/>
      </c>
    </row>
    <row r="276" spans="24:25" x14ac:dyDescent="0.3">
      <c r="X276" s="30" t="str">
        <f t="shared" si="5"/>
        <v/>
      </c>
      <c r="Y276" s="30" t="str">
        <f>IF(Z276="","",MIN(FIND({0,1,2,3,4,5,6,7,8,9},Z276 &amp; "0123456789")))</f>
        <v/>
      </c>
    </row>
    <row r="277" spans="24:25" x14ac:dyDescent="0.3">
      <c r="X277" s="30" t="str">
        <f t="shared" si="5"/>
        <v/>
      </c>
      <c r="Y277" s="30" t="str">
        <f>IF(Z277="","",MIN(FIND({0,1,2,3,4,5,6,7,8,9},Z277 &amp; "0123456789")))</f>
        <v/>
      </c>
    </row>
    <row r="278" spans="24:25" x14ac:dyDescent="0.3">
      <c r="X278" s="30" t="str">
        <f t="shared" si="5"/>
        <v/>
      </c>
      <c r="Y278" s="30" t="str">
        <f>IF(Z278="","",MIN(FIND({0,1,2,3,4,5,6,7,8,9},Z278 &amp; "0123456789")))</f>
        <v/>
      </c>
    </row>
    <row r="279" spans="24:25" x14ac:dyDescent="0.3">
      <c r="X279" s="30" t="str">
        <f t="shared" si="5"/>
        <v/>
      </c>
      <c r="Y279" s="30" t="str">
        <f>IF(Z279="","",MIN(FIND({0,1,2,3,4,5,6,7,8,9},Z279 &amp; "0123456789")))</f>
        <v/>
      </c>
    </row>
    <row r="280" spans="24:25" x14ac:dyDescent="0.3">
      <c r="X280" s="30" t="str">
        <f t="shared" si="5"/>
        <v/>
      </c>
      <c r="Y280" s="30" t="str">
        <f>IF(Z280="","",MIN(FIND({0,1,2,3,4,5,6,7,8,9},Z280 &amp; "0123456789")))</f>
        <v/>
      </c>
    </row>
    <row r="281" spans="24:25" x14ac:dyDescent="0.3">
      <c r="X281" s="30" t="str">
        <f t="shared" si="5"/>
        <v/>
      </c>
      <c r="Y281" s="30" t="str">
        <f>IF(Z281="","",MIN(FIND({0,1,2,3,4,5,6,7,8,9},Z281 &amp; "0123456789")))</f>
        <v/>
      </c>
    </row>
    <row r="282" spans="24:25" x14ac:dyDescent="0.3">
      <c r="X282" s="30" t="str">
        <f t="shared" si="5"/>
        <v/>
      </c>
      <c r="Y282" s="30" t="str">
        <f>IF(Z282="","",MIN(FIND({0,1,2,3,4,5,6,7,8,9},Z282 &amp; "0123456789")))</f>
        <v/>
      </c>
    </row>
    <row r="283" spans="24:25" x14ac:dyDescent="0.3">
      <c r="X283" s="30" t="str">
        <f t="shared" si="5"/>
        <v/>
      </c>
      <c r="Y283" s="30" t="str">
        <f>IF(Z283="","",MIN(FIND({0,1,2,3,4,5,6,7,8,9},Z283 &amp; "0123456789")))</f>
        <v/>
      </c>
    </row>
    <row r="284" spans="24:25" x14ac:dyDescent="0.3">
      <c r="X284" s="30" t="str">
        <f t="shared" si="5"/>
        <v/>
      </c>
      <c r="Y284" s="30" t="str">
        <f>IF(Z284="","",MIN(FIND({0,1,2,3,4,5,6,7,8,9},Z284 &amp; "0123456789")))</f>
        <v/>
      </c>
    </row>
    <row r="285" spans="24:25" x14ac:dyDescent="0.3">
      <c r="X285" s="30" t="str">
        <f t="shared" si="5"/>
        <v/>
      </c>
      <c r="Y285" s="30" t="str">
        <f>IF(Z285="","",MIN(FIND({0,1,2,3,4,5,6,7,8,9},Z285 &amp; "0123456789")))</f>
        <v/>
      </c>
    </row>
    <row r="286" spans="24:25" x14ac:dyDescent="0.3">
      <c r="X286" s="30" t="str">
        <f t="shared" si="5"/>
        <v/>
      </c>
      <c r="Y286" s="30" t="str">
        <f>IF(Z286="","",MIN(FIND({0,1,2,3,4,5,6,7,8,9},Z286 &amp; "0123456789")))</f>
        <v/>
      </c>
    </row>
    <row r="287" spans="24:25" x14ac:dyDescent="0.3">
      <c r="X287" s="30" t="str">
        <f t="shared" si="5"/>
        <v/>
      </c>
      <c r="Y287" s="30" t="str">
        <f>IF(Z287="","",MIN(FIND({0,1,2,3,4,5,6,7,8,9},Z287 &amp; "0123456789")))</f>
        <v/>
      </c>
    </row>
    <row r="288" spans="24:25" x14ac:dyDescent="0.3">
      <c r="X288" s="30" t="str">
        <f t="shared" si="5"/>
        <v/>
      </c>
      <c r="Y288" s="30" t="str">
        <f>IF(Z288="","",MIN(FIND({0,1,2,3,4,5,6,7,8,9},Z288 &amp; "0123456789")))</f>
        <v/>
      </c>
    </row>
    <row r="289" spans="24:25" x14ac:dyDescent="0.3">
      <c r="X289" s="30" t="str">
        <f t="shared" si="5"/>
        <v/>
      </c>
      <c r="Y289" s="30" t="str">
        <f>IF(Z289="","",MIN(FIND({0,1,2,3,4,5,6,7,8,9},Z289 &amp; "0123456789")))</f>
        <v/>
      </c>
    </row>
    <row r="290" spans="24:25" x14ac:dyDescent="0.3">
      <c r="X290" s="30" t="str">
        <f t="shared" si="5"/>
        <v/>
      </c>
      <c r="Y290" s="30" t="str">
        <f>IF(Z290="","",MIN(FIND({0,1,2,3,4,5,6,7,8,9},Z290 &amp; "0123456789")))</f>
        <v/>
      </c>
    </row>
    <row r="291" spans="24:25" x14ac:dyDescent="0.3">
      <c r="X291" s="30" t="str">
        <f t="shared" si="5"/>
        <v/>
      </c>
      <c r="Y291" s="30" t="str">
        <f>IF(Z291="","",MIN(FIND({0,1,2,3,4,5,6,7,8,9},Z291 &amp; "0123456789")))</f>
        <v/>
      </c>
    </row>
    <row r="292" spans="24:25" x14ac:dyDescent="0.3">
      <c r="X292" s="30" t="str">
        <f t="shared" si="5"/>
        <v/>
      </c>
      <c r="Y292" s="30" t="str">
        <f>IF(Z292="","",MIN(FIND({0,1,2,3,4,5,6,7,8,9},Z292 &amp; "0123456789")))</f>
        <v/>
      </c>
    </row>
    <row r="293" spans="24:25" x14ac:dyDescent="0.3">
      <c r="X293" s="30" t="str">
        <f t="shared" si="5"/>
        <v/>
      </c>
      <c r="Y293" s="30" t="str">
        <f>IF(Z293="","",MIN(FIND({0,1,2,3,4,5,6,7,8,9},Z293 &amp; "0123456789")))</f>
        <v/>
      </c>
    </row>
    <row r="294" spans="24:25" x14ac:dyDescent="0.3">
      <c r="X294" s="30" t="str">
        <f t="shared" si="5"/>
        <v/>
      </c>
      <c r="Y294" s="30" t="str">
        <f>IF(Z294="","",MIN(FIND({0,1,2,3,4,5,6,7,8,9},Z294 &amp; "0123456789")))</f>
        <v/>
      </c>
    </row>
    <row r="295" spans="24:25" x14ac:dyDescent="0.3">
      <c r="X295" s="30" t="str">
        <f t="shared" si="5"/>
        <v/>
      </c>
      <c r="Y295" s="30" t="str">
        <f>IF(Z295="","",MIN(FIND({0,1,2,3,4,5,6,7,8,9},Z295 &amp; "0123456789")))</f>
        <v/>
      </c>
    </row>
    <row r="296" spans="24:25" x14ac:dyDescent="0.3">
      <c r="X296" s="30" t="str">
        <f t="shared" si="5"/>
        <v/>
      </c>
      <c r="Y296" s="30" t="str">
        <f>IF(Z296="","",MIN(FIND({0,1,2,3,4,5,6,7,8,9},Z296 &amp; "0123456789")))</f>
        <v/>
      </c>
    </row>
    <row r="297" spans="24:25" x14ac:dyDescent="0.3">
      <c r="X297" s="30" t="str">
        <f t="shared" si="5"/>
        <v/>
      </c>
      <c r="Y297" s="30" t="str">
        <f>IF(Z297="","",MIN(FIND({0,1,2,3,4,5,6,7,8,9},Z297 &amp; "0123456789")))</f>
        <v/>
      </c>
    </row>
    <row r="298" spans="24:25" x14ac:dyDescent="0.3">
      <c r="X298" s="30" t="str">
        <f t="shared" si="5"/>
        <v/>
      </c>
      <c r="Y298" s="30" t="str">
        <f>IF(Z298="","",MIN(FIND({0,1,2,3,4,5,6,7,8,9},Z298 &amp; "0123456789")))</f>
        <v/>
      </c>
    </row>
    <row r="299" spans="24:25" x14ac:dyDescent="0.3">
      <c r="X299" s="30" t="str">
        <f t="shared" si="5"/>
        <v/>
      </c>
      <c r="Y299" s="30" t="str">
        <f>IF(Z299="","",MIN(FIND({0,1,2,3,4,5,6,7,8,9},Z299 &amp; "0123456789")))</f>
        <v/>
      </c>
    </row>
    <row r="300" spans="24:25" x14ac:dyDescent="0.3">
      <c r="X300" s="30" t="str">
        <f t="shared" si="5"/>
        <v/>
      </c>
      <c r="Y300" s="30" t="str">
        <f>IF(Z300="","",MIN(FIND({0,1,2,3,4,5,6,7,8,9},Z300 &amp; "0123456789")))</f>
        <v/>
      </c>
    </row>
    <row r="301" spans="24:25" x14ac:dyDescent="0.3">
      <c r="X301" s="30" t="str">
        <f t="shared" si="5"/>
        <v/>
      </c>
      <c r="Y301" s="30" t="str">
        <f>IF(Z301="","",MIN(FIND({0,1,2,3,4,5,6,7,8,9},Z301 &amp; "0123456789")))</f>
        <v/>
      </c>
    </row>
    <row r="302" spans="24:25" x14ac:dyDescent="0.3">
      <c r="X302" s="30" t="str">
        <f t="shared" si="5"/>
        <v/>
      </c>
      <c r="Y302" s="30" t="str">
        <f>IF(Z302="","",MIN(FIND({0,1,2,3,4,5,6,7,8,9},Z302 &amp; "0123456789")))</f>
        <v/>
      </c>
    </row>
    <row r="303" spans="24:25" x14ac:dyDescent="0.3">
      <c r="X303" s="30" t="str">
        <f t="shared" si="5"/>
        <v/>
      </c>
      <c r="Y303" s="30" t="str">
        <f>IF(Z303="","",MIN(FIND({0,1,2,3,4,5,6,7,8,9},Z303 &amp; "0123456789")))</f>
        <v/>
      </c>
    </row>
    <row r="304" spans="24:25" x14ac:dyDescent="0.3">
      <c r="X304" s="30" t="str">
        <f t="shared" si="5"/>
        <v/>
      </c>
      <c r="Y304" s="30" t="str">
        <f>IF(Z304="","",MIN(FIND({0,1,2,3,4,5,6,7,8,9},Z304 &amp; "0123456789")))</f>
        <v/>
      </c>
    </row>
    <row r="305" spans="24:25" x14ac:dyDescent="0.3">
      <c r="X305" s="30" t="str">
        <f t="shared" si="5"/>
        <v/>
      </c>
      <c r="Y305" s="30" t="str">
        <f>IF(Z305="","",MIN(FIND({0,1,2,3,4,5,6,7,8,9},Z305 &amp; "0123456789")))</f>
        <v/>
      </c>
    </row>
    <row r="306" spans="24:25" x14ac:dyDescent="0.3">
      <c r="X306" s="30" t="str">
        <f t="shared" si="5"/>
        <v/>
      </c>
      <c r="Y306" s="30" t="str">
        <f>IF(Z306="","",MIN(FIND({0,1,2,3,4,5,6,7,8,9},Z306 &amp; "0123456789")))</f>
        <v/>
      </c>
    </row>
    <row r="307" spans="24:25" x14ac:dyDescent="0.3">
      <c r="X307" s="30" t="str">
        <f t="shared" si="5"/>
        <v/>
      </c>
      <c r="Y307" s="30" t="str">
        <f>IF(Z307="","",MIN(FIND({0,1,2,3,4,5,6,7,8,9},Z307 &amp; "0123456789")))</f>
        <v/>
      </c>
    </row>
    <row r="308" spans="24:25" x14ac:dyDescent="0.3">
      <c r="X308" s="30" t="str">
        <f t="shared" si="5"/>
        <v/>
      </c>
      <c r="Y308" s="30" t="str">
        <f>IF(Z308="","",MIN(FIND({0,1,2,3,4,5,6,7,8,9},Z308 &amp; "0123456789")))</f>
        <v/>
      </c>
    </row>
    <row r="309" spans="24:25" x14ac:dyDescent="0.3">
      <c r="X309" s="30" t="str">
        <f t="shared" si="5"/>
        <v/>
      </c>
      <c r="Y309" s="30" t="str">
        <f>IF(Z309="","",MIN(FIND({0,1,2,3,4,5,6,7,8,9},Z309 &amp; "0123456789")))</f>
        <v/>
      </c>
    </row>
    <row r="310" spans="24:25" x14ac:dyDescent="0.3">
      <c r="X310" s="30" t="str">
        <f t="shared" si="5"/>
        <v/>
      </c>
      <c r="Y310" s="30" t="str">
        <f>IF(Z310="","",MIN(FIND({0,1,2,3,4,5,6,7,8,9},Z310 &amp; "0123456789")))</f>
        <v/>
      </c>
    </row>
    <row r="311" spans="24:25" x14ac:dyDescent="0.3">
      <c r="X311" s="30" t="str">
        <f t="shared" si="5"/>
        <v/>
      </c>
      <c r="Y311" s="30" t="str">
        <f>IF(Z311="","",MIN(FIND({0,1,2,3,4,5,6,7,8,9},Z311 &amp; "0123456789")))</f>
        <v/>
      </c>
    </row>
    <row r="312" spans="24:25" x14ac:dyDescent="0.3">
      <c r="X312" s="30" t="str">
        <f t="shared" si="5"/>
        <v/>
      </c>
      <c r="Y312" s="30" t="str">
        <f>IF(Z312="","",MIN(FIND({0,1,2,3,4,5,6,7,8,9},Z312 &amp; "0123456789")))</f>
        <v/>
      </c>
    </row>
    <row r="313" spans="24:25" x14ac:dyDescent="0.3">
      <c r="X313" s="30" t="str">
        <f t="shared" si="5"/>
        <v/>
      </c>
      <c r="Y313" s="30" t="str">
        <f>IF(Z313="","",MIN(FIND({0,1,2,3,4,5,6,7,8,9},Z313 &amp; "0123456789")))</f>
        <v/>
      </c>
    </row>
    <row r="314" spans="24:25" x14ac:dyDescent="0.3">
      <c r="X314" s="30" t="str">
        <f t="shared" si="5"/>
        <v/>
      </c>
      <c r="Y314" s="30" t="str">
        <f>IF(Z314="","",MIN(FIND({0,1,2,3,4,5,6,7,8,9},Z314 &amp; "0123456789")))</f>
        <v/>
      </c>
    </row>
    <row r="315" spans="24:25" x14ac:dyDescent="0.3">
      <c r="X315" s="30" t="str">
        <f t="shared" si="5"/>
        <v/>
      </c>
      <c r="Y315" s="30" t="str">
        <f>IF(Z315="","",MIN(FIND({0,1,2,3,4,5,6,7,8,9},Z315 &amp; "0123456789")))</f>
        <v/>
      </c>
    </row>
    <row r="316" spans="24:25" x14ac:dyDescent="0.3">
      <c r="X316" s="30" t="str">
        <f t="shared" si="5"/>
        <v/>
      </c>
      <c r="Y316" s="30" t="str">
        <f>IF(Z316="","",MIN(FIND({0,1,2,3,4,5,6,7,8,9},Z316 &amp; "0123456789")))</f>
        <v/>
      </c>
    </row>
    <row r="317" spans="24:25" x14ac:dyDescent="0.3">
      <c r="X317" s="30" t="str">
        <f t="shared" si="5"/>
        <v/>
      </c>
      <c r="Y317" s="30" t="str">
        <f>IF(Z317="","",MIN(FIND({0,1,2,3,4,5,6,7,8,9},Z317 &amp; "0123456789")))</f>
        <v/>
      </c>
    </row>
    <row r="318" spans="24:25" x14ac:dyDescent="0.3">
      <c r="X318" s="30" t="str">
        <f t="shared" si="5"/>
        <v/>
      </c>
      <c r="Y318" s="30" t="str">
        <f>IF(Z318="","",MIN(FIND({0,1,2,3,4,5,6,7,8,9},Z318 &amp; "0123456789")))</f>
        <v/>
      </c>
    </row>
    <row r="319" spans="24:25" x14ac:dyDescent="0.3">
      <c r="X319" s="30" t="str">
        <f t="shared" si="5"/>
        <v/>
      </c>
      <c r="Y319" s="30" t="str">
        <f>IF(Z319="","",MIN(FIND({0,1,2,3,4,5,6,7,8,9},Z319 &amp; "0123456789")))</f>
        <v/>
      </c>
    </row>
    <row r="320" spans="24:25" x14ac:dyDescent="0.3">
      <c r="X320" s="30" t="str">
        <f t="shared" si="5"/>
        <v/>
      </c>
      <c r="Y320" s="30" t="str">
        <f>IF(Z320="","",MIN(FIND({0,1,2,3,4,5,6,7,8,9},Z320 &amp; "0123456789")))</f>
        <v/>
      </c>
    </row>
    <row r="321" spans="24:25" x14ac:dyDescent="0.3">
      <c r="X321" s="30" t="str">
        <f t="shared" si="5"/>
        <v/>
      </c>
      <c r="Y321" s="30" t="str">
        <f>IF(Z321="","",MIN(FIND({0,1,2,3,4,5,6,7,8,9},Z321 &amp; "0123456789")))</f>
        <v/>
      </c>
    </row>
    <row r="322" spans="24:25" x14ac:dyDescent="0.3">
      <c r="X322" s="30" t="str">
        <f t="shared" ref="X322:X385" si="6">IF(Y322="","",VALUE(RIGHT(Z322,LEN(Z322) -Y322+1)))</f>
        <v/>
      </c>
      <c r="Y322" s="30" t="str">
        <f>IF(Z322="","",MIN(FIND({0,1,2,3,4,5,6,7,8,9},Z322 &amp; "0123456789")))</f>
        <v/>
      </c>
    </row>
    <row r="323" spans="24:25" x14ac:dyDescent="0.3">
      <c r="X323" s="30" t="str">
        <f t="shared" si="6"/>
        <v/>
      </c>
      <c r="Y323" s="30" t="str">
        <f>IF(Z323="","",MIN(FIND({0,1,2,3,4,5,6,7,8,9},Z323 &amp; "0123456789")))</f>
        <v/>
      </c>
    </row>
    <row r="324" spans="24:25" x14ac:dyDescent="0.3">
      <c r="X324" s="30" t="str">
        <f t="shared" si="6"/>
        <v/>
      </c>
      <c r="Y324" s="30" t="str">
        <f>IF(Z324="","",MIN(FIND({0,1,2,3,4,5,6,7,8,9},Z324 &amp; "0123456789")))</f>
        <v/>
      </c>
    </row>
    <row r="325" spans="24:25" x14ac:dyDescent="0.3">
      <c r="X325" s="30" t="str">
        <f t="shared" si="6"/>
        <v/>
      </c>
      <c r="Y325" s="30" t="str">
        <f>IF(Z325="","",MIN(FIND({0,1,2,3,4,5,6,7,8,9},Z325 &amp; "0123456789")))</f>
        <v/>
      </c>
    </row>
    <row r="326" spans="24:25" x14ac:dyDescent="0.3">
      <c r="X326" s="30" t="str">
        <f t="shared" si="6"/>
        <v/>
      </c>
      <c r="Y326" s="30" t="str">
        <f>IF(Z326="","",MIN(FIND({0,1,2,3,4,5,6,7,8,9},Z326 &amp; "0123456789")))</f>
        <v/>
      </c>
    </row>
    <row r="327" spans="24:25" x14ac:dyDescent="0.3">
      <c r="X327" s="30" t="str">
        <f t="shared" si="6"/>
        <v/>
      </c>
      <c r="Y327" s="30" t="str">
        <f>IF(Z327="","",MIN(FIND({0,1,2,3,4,5,6,7,8,9},Z327 &amp; "0123456789")))</f>
        <v/>
      </c>
    </row>
    <row r="328" spans="24:25" x14ac:dyDescent="0.3">
      <c r="X328" s="30" t="str">
        <f t="shared" si="6"/>
        <v/>
      </c>
      <c r="Y328" s="30" t="str">
        <f>IF(Z328="","",MIN(FIND({0,1,2,3,4,5,6,7,8,9},Z328 &amp; "0123456789")))</f>
        <v/>
      </c>
    </row>
    <row r="329" spans="24:25" x14ac:dyDescent="0.3">
      <c r="X329" s="30" t="str">
        <f t="shared" si="6"/>
        <v/>
      </c>
      <c r="Y329" s="30" t="str">
        <f>IF(Z329="","",MIN(FIND({0,1,2,3,4,5,6,7,8,9},Z329 &amp; "0123456789")))</f>
        <v/>
      </c>
    </row>
    <row r="330" spans="24:25" x14ac:dyDescent="0.3">
      <c r="X330" s="30" t="str">
        <f t="shared" si="6"/>
        <v/>
      </c>
      <c r="Y330" s="30" t="str">
        <f>IF(Z330="","",MIN(FIND({0,1,2,3,4,5,6,7,8,9},Z330 &amp; "0123456789")))</f>
        <v/>
      </c>
    </row>
    <row r="331" spans="24:25" x14ac:dyDescent="0.3">
      <c r="X331" s="30" t="str">
        <f t="shared" si="6"/>
        <v/>
      </c>
      <c r="Y331" s="30" t="str">
        <f>IF(Z331="","",MIN(FIND({0,1,2,3,4,5,6,7,8,9},Z331 &amp; "0123456789")))</f>
        <v/>
      </c>
    </row>
    <row r="332" spans="24:25" x14ac:dyDescent="0.3">
      <c r="X332" s="30" t="str">
        <f t="shared" si="6"/>
        <v/>
      </c>
      <c r="Y332" s="30" t="str">
        <f>IF(Z332="","",MIN(FIND({0,1,2,3,4,5,6,7,8,9},Z332 &amp; "0123456789")))</f>
        <v/>
      </c>
    </row>
    <row r="333" spans="24:25" x14ac:dyDescent="0.3">
      <c r="X333" s="30" t="str">
        <f t="shared" si="6"/>
        <v/>
      </c>
      <c r="Y333" s="30" t="str">
        <f>IF(Z333="","",MIN(FIND({0,1,2,3,4,5,6,7,8,9},Z333 &amp; "0123456789")))</f>
        <v/>
      </c>
    </row>
    <row r="334" spans="24:25" x14ac:dyDescent="0.3">
      <c r="X334" s="30" t="str">
        <f t="shared" si="6"/>
        <v/>
      </c>
      <c r="Y334" s="30" t="str">
        <f>IF(Z334="","",MIN(FIND({0,1,2,3,4,5,6,7,8,9},Z334 &amp; "0123456789")))</f>
        <v/>
      </c>
    </row>
    <row r="335" spans="24:25" x14ac:dyDescent="0.3">
      <c r="X335" s="30" t="str">
        <f t="shared" si="6"/>
        <v/>
      </c>
      <c r="Y335" s="30" t="str">
        <f>IF(Z335="","",MIN(FIND({0,1,2,3,4,5,6,7,8,9},Z335 &amp; "0123456789")))</f>
        <v/>
      </c>
    </row>
    <row r="336" spans="24:25" x14ac:dyDescent="0.3">
      <c r="X336" s="30" t="str">
        <f t="shared" si="6"/>
        <v/>
      </c>
      <c r="Y336" s="30" t="str">
        <f>IF(Z336="","",MIN(FIND({0,1,2,3,4,5,6,7,8,9},Z336 &amp; "0123456789")))</f>
        <v/>
      </c>
    </row>
    <row r="337" spans="24:25" x14ac:dyDescent="0.3">
      <c r="X337" s="30" t="str">
        <f t="shared" si="6"/>
        <v/>
      </c>
      <c r="Y337" s="30" t="str">
        <f>IF(Z337="","",MIN(FIND({0,1,2,3,4,5,6,7,8,9},Z337 &amp; "0123456789")))</f>
        <v/>
      </c>
    </row>
    <row r="338" spans="24:25" x14ac:dyDescent="0.3">
      <c r="X338" s="30" t="str">
        <f t="shared" si="6"/>
        <v/>
      </c>
      <c r="Y338" s="30" t="str">
        <f>IF(Z338="","",MIN(FIND({0,1,2,3,4,5,6,7,8,9},Z338 &amp; "0123456789")))</f>
        <v/>
      </c>
    </row>
    <row r="339" spans="24:25" x14ac:dyDescent="0.3">
      <c r="X339" s="30" t="str">
        <f t="shared" si="6"/>
        <v/>
      </c>
      <c r="Y339" s="30" t="str">
        <f>IF(Z339="","",MIN(FIND({0,1,2,3,4,5,6,7,8,9},Z339 &amp; "0123456789")))</f>
        <v/>
      </c>
    </row>
    <row r="340" spans="24:25" x14ac:dyDescent="0.3">
      <c r="X340" s="30" t="str">
        <f t="shared" si="6"/>
        <v/>
      </c>
      <c r="Y340" s="30" t="str">
        <f>IF(Z340="","",MIN(FIND({0,1,2,3,4,5,6,7,8,9},Z340 &amp; "0123456789")))</f>
        <v/>
      </c>
    </row>
    <row r="341" spans="24:25" x14ac:dyDescent="0.3">
      <c r="X341" s="30" t="str">
        <f t="shared" si="6"/>
        <v/>
      </c>
      <c r="Y341" s="30" t="str">
        <f>IF(Z341="","",MIN(FIND({0,1,2,3,4,5,6,7,8,9},Z341 &amp; "0123456789")))</f>
        <v/>
      </c>
    </row>
    <row r="342" spans="24:25" x14ac:dyDescent="0.3">
      <c r="X342" s="30" t="str">
        <f t="shared" si="6"/>
        <v/>
      </c>
      <c r="Y342" s="30" t="str">
        <f>IF(Z342="","",MIN(FIND({0,1,2,3,4,5,6,7,8,9},Z342 &amp; "0123456789")))</f>
        <v/>
      </c>
    </row>
    <row r="343" spans="24:25" x14ac:dyDescent="0.3">
      <c r="X343" s="30" t="str">
        <f t="shared" si="6"/>
        <v/>
      </c>
      <c r="Y343" s="30" t="str">
        <f>IF(Z343="","",MIN(FIND({0,1,2,3,4,5,6,7,8,9},Z343 &amp; "0123456789")))</f>
        <v/>
      </c>
    </row>
    <row r="344" spans="24:25" x14ac:dyDescent="0.3">
      <c r="X344" s="30" t="str">
        <f t="shared" si="6"/>
        <v/>
      </c>
      <c r="Y344" s="30" t="str">
        <f>IF(Z344="","",MIN(FIND({0,1,2,3,4,5,6,7,8,9},Z344 &amp; "0123456789")))</f>
        <v/>
      </c>
    </row>
    <row r="345" spans="24:25" x14ac:dyDescent="0.3">
      <c r="X345" s="30" t="str">
        <f t="shared" si="6"/>
        <v/>
      </c>
      <c r="Y345" s="30" t="str">
        <f>IF(Z345="","",MIN(FIND({0,1,2,3,4,5,6,7,8,9},Z345 &amp; "0123456789")))</f>
        <v/>
      </c>
    </row>
    <row r="346" spans="24:25" x14ac:dyDescent="0.3">
      <c r="X346" s="30" t="str">
        <f t="shared" si="6"/>
        <v/>
      </c>
      <c r="Y346" s="30" t="str">
        <f>IF(Z346="","",MIN(FIND({0,1,2,3,4,5,6,7,8,9},Z346 &amp; "0123456789")))</f>
        <v/>
      </c>
    </row>
    <row r="347" spans="24:25" x14ac:dyDescent="0.3">
      <c r="X347" s="30" t="str">
        <f t="shared" si="6"/>
        <v/>
      </c>
      <c r="Y347" s="30" t="str">
        <f>IF(Z347="","",MIN(FIND({0,1,2,3,4,5,6,7,8,9},Z347 &amp; "0123456789")))</f>
        <v/>
      </c>
    </row>
    <row r="348" spans="24:25" x14ac:dyDescent="0.3">
      <c r="X348" s="30" t="str">
        <f t="shared" si="6"/>
        <v/>
      </c>
      <c r="Y348" s="30" t="str">
        <f>IF(Z348="","",MIN(FIND({0,1,2,3,4,5,6,7,8,9},Z348 &amp; "0123456789")))</f>
        <v/>
      </c>
    </row>
    <row r="349" spans="24:25" x14ac:dyDescent="0.3">
      <c r="X349" s="30" t="str">
        <f t="shared" si="6"/>
        <v/>
      </c>
      <c r="Y349" s="30" t="str">
        <f>IF(Z349="","",MIN(FIND({0,1,2,3,4,5,6,7,8,9},Z349 &amp; "0123456789")))</f>
        <v/>
      </c>
    </row>
    <row r="350" spans="24:25" x14ac:dyDescent="0.3">
      <c r="X350" s="30" t="str">
        <f t="shared" si="6"/>
        <v/>
      </c>
      <c r="Y350" s="30" t="str">
        <f>IF(Z350="","",MIN(FIND({0,1,2,3,4,5,6,7,8,9},Z350 &amp; "0123456789")))</f>
        <v/>
      </c>
    </row>
    <row r="351" spans="24:25" x14ac:dyDescent="0.3">
      <c r="X351" s="30" t="str">
        <f t="shared" si="6"/>
        <v/>
      </c>
      <c r="Y351" s="30" t="str">
        <f>IF(Z351="","",MIN(FIND({0,1,2,3,4,5,6,7,8,9},Z351 &amp; "0123456789")))</f>
        <v/>
      </c>
    </row>
    <row r="352" spans="24:25" x14ac:dyDescent="0.3">
      <c r="X352" s="30" t="str">
        <f t="shared" si="6"/>
        <v/>
      </c>
      <c r="Y352" s="30" t="str">
        <f>IF(Z352="","",MIN(FIND({0,1,2,3,4,5,6,7,8,9},Z352 &amp; "0123456789")))</f>
        <v/>
      </c>
    </row>
    <row r="353" spans="24:25" x14ac:dyDescent="0.3">
      <c r="X353" s="30" t="str">
        <f t="shared" si="6"/>
        <v/>
      </c>
      <c r="Y353" s="30" t="str">
        <f>IF(Z353="","",MIN(FIND({0,1,2,3,4,5,6,7,8,9},Z353 &amp; "0123456789")))</f>
        <v/>
      </c>
    </row>
    <row r="354" spans="24:25" x14ac:dyDescent="0.3">
      <c r="X354" s="30" t="str">
        <f t="shared" si="6"/>
        <v/>
      </c>
      <c r="Y354" s="30" t="str">
        <f>IF(Z354="","",MIN(FIND({0,1,2,3,4,5,6,7,8,9},Z354 &amp; "0123456789")))</f>
        <v/>
      </c>
    </row>
    <row r="355" spans="24:25" x14ac:dyDescent="0.3">
      <c r="X355" s="30" t="str">
        <f t="shared" si="6"/>
        <v/>
      </c>
      <c r="Y355" s="30" t="str">
        <f>IF(Z355="","",MIN(FIND({0,1,2,3,4,5,6,7,8,9},Z355 &amp; "0123456789")))</f>
        <v/>
      </c>
    </row>
    <row r="356" spans="24:25" x14ac:dyDescent="0.3">
      <c r="X356" s="30" t="str">
        <f t="shared" si="6"/>
        <v/>
      </c>
      <c r="Y356" s="30" t="str">
        <f>IF(Z356="","",MIN(FIND({0,1,2,3,4,5,6,7,8,9},Z356 &amp; "0123456789")))</f>
        <v/>
      </c>
    </row>
    <row r="357" spans="24:25" x14ac:dyDescent="0.3">
      <c r="X357" s="30" t="str">
        <f t="shared" si="6"/>
        <v/>
      </c>
      <c r="Y357" s="30" t="str">
        <f>IF(Z357="","",MIN(FIND({0,1,2,3,4,5,6,7,8,9},Z357 &amp; "0123456789")))</f>
        <v/>
      </c>
    </row>
    <row r="358" spans="24:25" x14ac:dyDescent="0.3">
      <c r="X358" s="30" t="str">
        <f t="shared" si="6"/>
        <v/>
      </c>
      <c r="Y358" s="30" t="str">
        <f>IF(Z358="","",MIN(FIND({0,1,2,3,4,5,6,7,8,9},Z358 &amp; "0123456789")))</f>
        <v/>
      </c>
    </row>
    <row r="359" spans="24:25" x14ac:dyDescent="0.3">
      <c r="X359" s="30" t="str">
        <f t="shared" si="6"/>
        <v/>
      </c>
      <c r="Y359" s="30" t="str">
        <f>IF(Z359="","",MIN(FIND({0,1,2,3,4,5,6,7,8,9},Z359 &amp; "0123456789")))</f>
        <v/>
      </c>
    </row>
    <row r="360" spans="24:25" x14ac:dyDescent="0.3">
      <c r="X360" s="30" t="str">
        <f t="shared" si="6"/>
        <v/>
      </c>
      <c r="Y360" s="30" t="str">
        <f>IF(Z360="","",MIN(FIND({0,1,2,3,4,5,6,7,8,9},Z360 &amp; "0123456789")))</f>
        <v/>
      </c>
    </row>
    <row r="361" spans="24:25" x14ac:dyDescent="0.3">
      <c r="X361" s="30" t="str">
        <f t="shared" si="6"/>
        <v/>
      </c>
      <c r="Y361" s="30" t="str">
        <f>IF(Z361="","",MIN(FIND({0,1,2,3,4,5,6,7,8,9},Z361 &amp; "0123456789")))</f>
        <v/>
      </c>
    </row>
    <row r="362" spans="24:25" x14ac:dyDescent="0.3">
      <c r="X362" s="30" t="str">
        <f t="shared" si="6"/>
        <v/>
      </c>
      <c r="Y362" s="30" t="str">
        <f>IF(Z362="","",MIN(FIND({0,1,2,3,4,5,6,7,8,9},Z362 &amp; "0123456789")))</f>
        <v/>
      </c>
    </row>
    <row r="363" spans="24:25" x14ac:dyDescent="0.3">
      <c r="X363" s="30" t="str">
        <f t="shared" si="6"/>
        <v/>
      </c>
      <c r="Y363" s="30" t="str">
        <f>IF(Z363="","",MIN(FIND({0,1,2,3,4,5,6,7,8,9},Z363 &amp; "0123456789")))</f>
        <v/>
      </c>
    </row>
    <row r="364" spans="24:25" x14ac:dyDescent="0.3">
      <c r="X364" s="30" t="str">
        <f t="shared" si="6"/>
        <v/>
      </c>
      <c r="Y364" s="30" t="str">
        <f>IF(Z364="","",MIN(FIND({0,1,2,3,4,5,6,7,8,9},Z364 &amp; "0123456789")))</f>
        <v/>
      </c>
    </row>
    <row r="365" spans="24:25" x14ac:dyDescent="0.3">
      <c r="X365" s="30" t="str">
        <f t="shared" si="6"/>
        <v/>
      </c>
      <c r="Y365" s="30" t="str">
        <f>IF(Z365="","",MIN(FIND({0,1,2,3,4,5,6,7,8,9},Z365 &amp; "0123456789")))</f>
        <v/>
      </c>
    </row>
    <row r="366" spans="24:25" x14ac:dyDescent="0.3">
      <c r="X366" s="30" t="str">
        <f t="shared" si="6"/>
        <v/>
      </c>
      <c r="Y366" s="30" t="str">
        <f>IF(Z366="","",MIN(FIND({0,1,2,3,4,5,6,7,8,9},Z366 &amp; "0123456789")))</f>
        <v/>
      </c>
    </row>
    <row r="367" spans="24:25" x14ac:dyDescent="0.3">
      <c r="X367" s="30" t="str">
        <f t="shared" si="6"/>
        <v/>
      </c>
      <c r="Y367" s="30" t="str">
        <f>IF(Z367="","",MIN(FIND({0,1,2,3,4,5,6,7,8,9},Z367 &amp; "0123456789")))</f>
        <v/>
      </c>
    </row>
    <row r="368" spans="24:25" x14ac:dyDescent="0.3">
      <c r="X368" s="30" t="str">
        <f t="shared" si="6"/>
        <v/>
      </c>
      <c r="Y368" s="30" t="str">
        <f>IF(Z368="","",MIN(FIND({0,1,2,3,4,5,6,7,8,9},Z368 &amp; "0123456789")))</f>
        <v/>
      </c>
    </row>
    <row r="369" spans="24:25" x14ac:dyDescent="0.3">
      <c r="X369" s="30" t="str">
        <f t="shared" si="6"/>
        <v/>
      </c>
      <c r="Y369" s="30" t="str">
        <f>IF(Z369="","",MIN(FIND({0,1,2,3,4,5,6,7,8,9},Z369 &amp; "0123456789")))</f>
        <v/>
      </c>
    </row>
    <row r="370" spans="24:25" x14ac:dyDescent="0.3">
      <c r="X370" s="30" t="str">
        <f t="shared" si="6"/>
        <v/>
      </c>
      <c r="Y370" s="30" t="str">
        <f>IF(Z370="","",MIN(FIND({0,1,2,3,4,5,6,7,8,9},Z370 &amp; "0123456789")))</f>
        <v/>
      </c>
    </row>
    <row r="371" spans="24:25" x14ac:dyDescent="0.3">
      <c r="X371" s="30" t="str">
        <f t="shared" si="6"/>
        <v/>
      </c>
      <c r="Y371" s="30" t="str">
        <f>IF(Z371="","",MIN(FIND({0,1,2,3,4,5,6,7,8,9},Z371 &amp; "0123456789")))</f>
        <v/>
      </c>
    </row>
    <row r="372" spans="24:25" x14ac:dyDescent="0.3">
      <c r="X372" s="30" t="str">
        <f t="shared" si="6"/>
        <v/>
      </c>
      <c r="Y372" s="30" t="str">
        <f>IF(Z372="","",MIN(FIND({0,1,2,3,4,5,6,7,8,9},Z372 &amp; "0123456789")))</f>
        <v/>
      </c>
    </row>
    <row r="373" spans="24:25" x14ac:dyDescent="0.3">
      <c r="X373" s="30" t="str">
        <f t="shared" si="6"/>
        <v/>
      </c>
      <c r="Y373" s="30" t="str">
        <f>IF(Z373="","",MIN(FIND({0,1,2,3,4,5,6,7,8,9},Z373 &amp; "0123456789")))</f>
        <v/>
      </c>
    </row>
    <row r="374" spans="24:25" x14ac:dyDescent="0.3">
      <c r="X374" s="30" t="str">
        <f t="shared" si="6"/>
        <v/>
      </c>
      <c r="Y374" s="30" t="str">
        <f>IF(Z374="","",MIN(FIND({0,1,2,3,4,5,6,7,8,9},Z374 &amp; "0123456789")))</f>
        <v/>
      </c>
    </row>
    <row r="375" spans="24:25" x14ac:dyDescent="0.3">
      <c r="X375" s="30" t="str">
        <f t="shared" si="6"/>
        <v/>
      </c>
      <c r="Y375" s="30" t="str">
        <f>IF(Z375="","",MIN(FIND({0,1,2,3,4,5,6,7,8,9},Z375 &amp; "0123456789")))</f>
        <v/>
      </c>
    </row>
    <row r="376" spans="24:25" x14ac:dyDescent="0.3">
      <c r="X376" s="30" t="str">
        <f t="shared" si="6"/>
        <v/>
      </c>
      <c r="Y376" s="30" t="str">
        <f>IF(Z376="","",MIN(FIND({0,1,2,3,4,5,6,7,8,9},Z376 &amp; "0123456789")))</f>
        <v/>
      </c>
    </row>
    <row r="377" spans="24:25" x14ac:dyDescent="0.3">
      <c r="X377" s="30" t="str">
        <f t="shared" si="6"/>
        <v/>
      </c>
      <c r="Y377" s="30" t="str">
        <f>IF(Z377="","",MIN(FIND({0,1,2,3,4,5,6,7,8,9},Z377 &amp; "0123456789")))</f>
        <v/>
      </c>
    </row>
    <row r="378" spans="24:25" x14ac:dyDescent="0.3">
      <c r="X378" s="30" t="str">
        <f t="shared" si="6"/>
        <v/>
      </c>
      <c r="Y378" s="30" t="str">
        <f>IF(Z378="","",MIN(FIND({0,1,2,3,4,5,6,7,8,9},Z378 &amp; "0123456789")))</f>
        <v/>
      </c>
    </row>
    <row r="379" spans="24:25" x14ac:dyDescent="0.3">
      <c r="X379" s="30" t="str">
        <f t="shared" si="6"/>
        <v/>
      </c>
      <c r="Y379" s="30" t="str">
        <f>IF(Z379="","",MIN(FIND({0,1,2,3,4,5,6,7,8,9},Z379 &amp; "0123456789")))</f>
        <v/>
      </c>
    </row>
    <row r="380" spans="24:25" x14ac:dyDescent="0.3">
      <c r="X380" s="30" t="str">
        <f t="shared" si="6"/>
        <v/>
      </c>
      <c r="Y380" s="30" t="str">
        <f>IF(Z380="","",MIN(FIND({0,1,2,3,4,5,6,7,8,9},Z380 &amp; "0123456789")))</f>
        <v/>
      </c>
    </row>
    <row r="381" spans="24:25" x14ac:dyDescent="0.3">
      <c r="X381" s="30" t="str">
        <f t="shared" si="6"/>
        <v/>
      </c>
      <c r="Y381" s="30" t="str">
        <f>IF(Z381="","",MIN(FIND({0,1,2,3,4,5,6,7,8,9},Z381 &amp; "0123456789")))</f>
        <v/>
      </c>
    </row>
    <row r="382" spans="24:25" x14ac:dyDescent="0.3">
      <c r="X382" s="30" t="str">
        <f t="shared" si="6"/>
        <v/>
      </c>
      <c r="Y382" s="30" t="str">
        <f>IF(Z382="","",MIN(FIND({0,1,2,3,4,5,6,7,8,9},Z382 &amp; "0123456789")))</f>
        <v/>
      </c>
    </row>
    <row r="383" spans="24:25" x14ac:dyDescent="0.3">
      <c r="X383" s="30" t="str">
        <f t="shared" si="6"/>
        <v/>
      </c>
      <c r="Y383" s="30" t="str">
        <f>IF(Z383="","",MIN(FIND({0,1,2,3,4,5,6,7,8,9},Z383 &amp; "0123456789")))</f>
        <v/>
      </c>
    </row>
    <row r="384" spans="24:25" x14ac:dyDescent="0.3">
      <c r="X384" s="30" t="str">
        <f t="shared" si="6"/>
        <v/>
      </c>
      <c r="Y384" s="30" t="str">
        <f>IF(Z384="","",MIN(FIND({0,1,2,3,4,5,6,7,8,9},Z384 &amp; "0123456789")))</f>
        <v/>
      </c>
    </row>
    <row r="385" spans="24:25" x14ac:dyDescent="0.3">
      <c r="X385" s="30" t="str">
        <f t="shared" si="6"/>
        <v/>
      </c>
      <c r="Y385" s="30" t="str">
        <f>IF(Z385="","",MIN(FIND({0,1,2,3,4,5,6,7,8,9},Z385 &amp; "0123456789")))</f>
        <v/>
      </c>
    </row>
    <row r="386" spans="24:25" x14ac:dyDescent="0.3">
      <c r="X386" s="30" t="str">
        <f t="shared" ref="X386:X400" si="7">IF(Y386="","",VALUE(RIGHT(Z386,LEN(Z386) -Y386+1)))</f>
        <v/>
      </c>
      <c r="Y386" s="30" t="str">
        <f>IF(Z386="","",MIN(FIND({0,1,2,3,4,5,6,7,8,9},Z386 &amp; "0123456789")))</f>
        <v/>
      </c>
    </row>
    <row r="387" spans="24:25" x14ac:dyDescent="0.3">
      <c r="X387" s="30" t="str">
        <f t="shared" si="7"/>
        <v/>
      </c>
      <c r="Y387" s="30" t="str">
        <f>IF(Z387="","",MIN(FIND({0,1,2,3,4,5,6,7,8,9},Z387 &amp; "0123456789")))</f>
        <v/>
      </c>
    </row>
    <row r="388" spans="24:25" x14ac:dyDescent="0.3">
      <c r="X388" s="30" t="str">
        <f t="shared" si="7"/>
        <v/>
      </c>
      <c r="Y388" s="30" t="str">
        <f>IF(Z388="","",MIN(FIND({0,1,2,3,4,5,6,7,8,9},Z388 &amp; "0123456789")))</f>
        <v/>
      </c>
    </row>
    <row r="389" spans="24:25" x14ac:dyDescent="0.3">
      <c r="X389" s="30" t="str">
        <f t="shared" si="7"/>
        <v/>
      </c>
      <c r="Y389" s="30" t="str">
        <f>IF(Z389="","",MIN(FIND({0,1,2,3,4,5,6,7,8,9},Z389 &amp; "0123456789")))</f>
        <v/>
      </c>
    </row>
    <row r="390" spans="24:25" x14ac:dyDescent="0.3">
      <c r="X390" s="30" t="str">
        <f t="shared" si="7"/>
        <v/>
      </c>
      <c r="Y390" s="30" t="str">
        <f>IF(Z390="","",MIN(FIND({0,1,2,3,4,5,6,7,8,9},Z390 &amp; "0123456789")))</f>
        <v/>
      </c>
    </row>
    <row r="391" spans="24:25" x14ac:dyDescent="0.3">
      <c r="X391" s="30" t="str">
        <f t="shared" si="7"/>
        <v/>
      </c>
      <c r="Y391" s="30" t="str">
        <f>IF(Z391="","",MIN(FIND({0,1,2,3,4,5,6,7,8,9},Z391 &amp; "0123456789")))</f>
        <v/>
      </c>
    </row>
    <row r="392" spans="24:25" x14ac:dyDescent="0.3">
      <c r="X392" s="30" t="str">
        <f t="shared" si="7"/>
        <v/>
      </c>
      <c r="Y392" s="30" t="str">
        <f>IF(Z392="","",MIN(FIND({0,1,2,3,4,5,6,7,8,9},Z392 &amp; "0123456789")))</f>
        <v/>
      </c>
    </row>
    <row r="393" spans="24:25" x14ac:dyDescent="0.3">
      <c r="X393" s="30" t="str">
        <f t="shared" si="7"/>
        <v/>
      </c>
      <c r="Y393" s="30" t="str">
        <f>IF(Z393="","",MIN(FIND({0,1,2,3,4,5,6,7,8,9},Z393 &amp; "0123456789")))</f>
        <v/>
      </c>
    </row>
    <row r="394" spans="24:25" x14ac:dyDescent="0.3">
      <c r="X394" s="30" t="str">
        <f t="shared" si="7"/>
        <v/>
      </c>
      <c r="Y394" s="30" t="str">
        <f>IF(Z394="","",MIN(FIND({0,1,2,3,4,5,6,7,8,9},Z394 &amp; "0123456789")))</f>
        <v/>
      </c>
    </row>
    <row r="395" spans="24:25" x14ac:dyDescent="0.3">
      <c r="X395" s="30" t="str">
        <f t="shared" si="7"/>
        <v/>
      </c>
      <c r="Y395" s="30" t="str">
        <f>IF(Z395="","",MIN(FIND({0,1,2,3,4,5,6,7,8,9},Z395 &amp; "0123456789")))</f>
        <v/>
      </c>
    </row>
    <row r="396" spans="24:25" x14ac:dyDescent="0.3">
      <c r="X396" s="30" t="str">
        <f t="shared" si="7"/>
        <v/>
      </c>
      <c r="Y396" s="30" t="str">
        <f>IF(Z396="","",MIN(FIND({0,1,2,3,4,5,6,7,8,9},Z396 &amp; "0123456789")))</f>
        <v/>
      </c>
    </row>
    <row r="397" spans="24:25" x14ac:dyDescent="0.3">
      <c r="X397" s="30" t="str">
        <f t="shared" si="7"/>
        <v/>
      </c>
      <c r="Y397" s="30" t="str">
        <f>IF(Z397="","",MIN(FIND({0,1,2,3,4,5,6,7,8,9},Z397 &amp; "0123456789")))</f>
        <v/>
      </c>
    </row>
    <row r="398" spans="24:25" x14ac:dyDescent="0.3">
      <c r="X398" s="30" t="str">
        <f t="shared" si="7"/>
        <v/>
      </c>
      <c r="Y398" s="30" t="str">
        <f>IF(Z398="","",MIN(FIND({0,1,2,3,4,5,6,7,8,9},Z398 &amp; "0123456789")))</f>
        <v/>
      </c>
    </row>
    <row r="399" spans="24:25" x14ac:dyDescent="0.3">
      <c r="X399" s="30" t="str">
        <f t="shared" si="7"/>
        <v/>
      </c>
      <c r="Y399" s="30" t="str">
        <f>IF(Z399="","",MIN(FIND({0,1,2,3,4,5,6,7,8,9},Z399 &amp; "0123456789")))</f>
        <v/>
      </c>
    </row>
    <row r="400" spans="24:25" x14ac:dyDescent="0.3">
      <c r="X400" s="30" t="str">
        <f t="shared" si="7"/>
        <v/>
      </c>
      <c r="Y400" s="30" t="str">
        <f>IF(Z400="","",MIN(FIND({0,1,2,3,4,5,6,7,8,9},Z400 &amp; "0123456789")))</f>
        <v/>
      </c>
    </row>
  </sheetData>
  <sortState ref="X1:AA2">
    <sortCondition ref="X1"/>
  </sortState>
  <mergeCells count="30">
    <mergeCell ref="B79:B81"/>
    <mergeCell ref="B71:B73"/>
    <mergeCell ref="B75:B77"/>
    <mergeCell ref="E7:G8"/>
    <mergeCell ref="D67:W67"/>
    <mergeCell ref="D63:W63"/>
    <mergeCell ref="D59:W59"/>
    <mergeCell ref="D55:W55"/>
    <mergeCell ref="B67:B69"/>
    <mergeCell ref="B55:B57"/>
    <mergeCell ref="B59:B61"/>
    <mergeCell ref="B63:B65"/>
    <mergeCell ref="B35:B37"/>
    <mergeCell ref="B39:B41"/>
    <mergeCell ref="B43:B45"/>
    <mergeCell ref="B47:B49"/>
    <mergeCell ref="B51:B53"/>
    <mergeCell ref="B27:B29"/>
    <mergeCell ref="B31:B33"/>
    <mergeCell ref="F5:I5"/>
    <mergeCell ref="D27:W27"/>
    <mergeCell ref="D31:W31"/>
    <mergeCell ref="D71:W71"/>
    <mergeCell ref="D75:W75"/>
    <mergeCell ref="D79:W79"/>
    <mergeCell ref="D35:W35"/>
    <mergeCell ref="D39:W39"/>
    <mergeCell ref="D43:W43"/>
    <mergeCell ref="D47:W47"/>
    <mergeCell ref="D51:W51"/>
  </mergeCells>
  <dataValidations count="1">
    <dataValidation type="list" allowBlank="1" sqref="D29:W29 D33:I33 D37:I37 D77:W77 D41:I41 D45:W45 D49:W49 D53:W53 D57:W57 D61:W61 D65:W65 D69:W69 D73:W73 D81:W81">
      <formula1>"System_Name, Design_CFM, Actual_CFM"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Browse">
          <controlPr defaultSize="0" autoLine="0" r:id="rId5">
            <anchor moveWithCells="1">
              <from>
                <xdr:col>7</xdr:col>
                <xdr:colOff>723900</xdr:colOff>
                <xdr:row>3</xdr:row>
                <xdr:rowOff>0</xdr:rowOff>
              </from>
              <to>
                <xdr:col>8</xdr:col>
                <xdr:colOff>685800</xdr:colOff>
                <xdr:row>4</xdr:row>
                <xdr:rowOff>15240</xdr:rowOff>
              </to>
            </anchor>
          </controlPr>
        </control>
      </mc:Choice>
      <mc:Fallback>
        <control shapeId="1046" r:id="rId4" name="Browse"/>
      </mc:Fallback>
    </mc:AlternateContent>
    <mc:AlternateContent xmlns:mc="http://schemas.openxmlformats.org/markup-compatibility/2006">
      <mc:Choice Requires="x14">
        <control shapeId="1045" r:id="rId6" name="Build">
          <controlPr defaultSize="0" autoLine="0" r:id="rId7">
            <anchor moveWithCells="1">
              <from>
                <xdr:col>6</xdr:col>
                <xdr:colOff>1280160</xdr:colOff>
                <xdr:row>8</xdr:row>
                <xdr:rowOff>0</xdr:rowOff>
              </from>
              <to>
                <xdr:col>7</xdr:col>
                <xdr:colOff>1310640</xdr:colOff>
                <xdr:row>9</xdr:row>
                <xdr:rowOff>38100</xdr:rowOff>
              </to>
            </anchor>
          </controlPr>
        </control>
      </mc:Choice>
      <mc:Fallback>
        <control shapeId="1045" r:id="rId6" name="Build"/>
      </mc:Fallback>
    </mc:AlternateContent>
    <mc:AlternateContent xmlns:mc="http://schemas.openxmlformats.org/markup-compatibility/2006">
      <mc:Choice Requires="x14">
        <control shapeId="1044" r:id="rId8" name="Update">
          <controlPr defaultSize="0" autoLine="0" r:id="rId9">
            <anchor moveWithCells="1">
              <from>
                <xdr:col>6</xdr:col>
                <xdr:colOff>1280160</xdr:colOff>
                <xdr:row>6</xdr:row>
                <xdr:rowOff>7620</xdr:rowOff>
              </from>
              <to>
                <xdr:col>7</xdr:col>
                <xdr:colOff>1318260</xdr:colOff>
                <xdr:row>7</xdr:row>
                <xdr:rowOff>167640</xdr:rowOff>
              </to>
            </anchor>
          </controlPr>
        </control>
      </mc:Choice>
      <mc:Fallback>
        <control shapeId="1044" r:id="rId8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70" zoomScaleNormal="70" workbookViewId="0"/>
  </sheetViews>
  <sheetFormatPr defaultRowHeight="14.4" x14ac:dyDescent="0.3"/>
  <cols>
    <col min="1" max="1" width="89.6640625" customWidth="1"/>
  </cols>
  <sheetData>
    <row r="1" spans="1:1" x14ac:dyDescent="0.3">
      <c r="A1" s="4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BU300"/>
  <sheetViews>
    <sheetView topLeftCell="A20" zoomScale="70" zoomScaleNormal="70" workbookViewId="0">
      <selection activeCell="W53" sqref="W53"/>
    </sheetView>
  </sheetViews>
  <sheetFormatPr defaultColWidth="0" defaultRowHeight="13.8" x14ac:dyDescent="0.2"/>
  <cols>
    <col min="1" max="6" width="2.6640625" style="3" customWidth="1"/>
    <col min="7" max="7" width="0.88671875" style="3" customWidth="1"/>
    <col min="8" max="34" width="2.6640625" style="3" customWidth="1"/>
    <col min="35" max="35" width="4.33203125" style="3" customWidth="1"/>
    <col min="36" max="49" width="2.6640625" style="2" customWidth="1"/>
    <col min="50" max="73" width="2.6640625" style="1" hidden="1" customWidth="1"/>
    <col min="74" max="16384" width="9.109375" style="1" hidden="1"/>
  </cols>
  <sheetData>
    <row r="1" spans="1:70" ht="12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</row>
    <row r="2" spans="1:70" ht="11.4" x14ac:dyDescent="0.2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</row>
    <row r="3" spans="1:70" ht="12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26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</row>
    <row r="4" spans="1:70" ht="9.75" customHeight="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17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18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</row>
    <row r="5" spans="1:70" ht="8.1" customHeight="1" x14ac:dyDescent="0.2">
      <c r="A5" s="82"/>
      <c r="B5" s="82"/>
      <c r="C5" s="82"/>
      <c r="D5" s="82"/>
      <c r="E5" s="82"/>
      <c r="F5" s="82"/>
      <c r="G5" s="24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5"/>
      <c r="AK5" s="5"/>
      <c r="AL5" s="5"/>
      <c r="AM5" s="22"/>
      <c r="AN5" s="22"/>
      <c r="AO5" s="22"/>
      <c r="AP5" s="5"/>
      <c r="AQ5" s="5"/>
      <c r="AR5" s="5"/>
      <c r="AS5" s="5"/>
      <c r="AT5" s="5"/>
      <c r="AU5" s="5"/>
      <c r="AV5" s="5"/>
      <c r="AW5" s="5"/>
      <c r="AX5" s="18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</row>
    <row r="6" spans="1:70" ht="12" customHeight="1" x14ac:dyDescent="0.25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17" t="s">
        <v>48</v>
      </c>
      <c r="AK6" s="5"/>
      <c r="AL6" s="5"/>
      <c r="AM6" s="22"/>
      <c r="AN6" s="22"/>
      <c r="AO6" s="22"/>
      <c r="AP6" s="5"/>
      <c r="AQ6" s="5"/>
      <c r="AR6" s="5"/>
      <c r="AS6" s="5"/>
      <c r="AT6" s="5"/>
      <c r="AU6" s="5"/>
      <c r="AV6" s="5"/>
      <c r="AW6" s="5"/>
      <c r="AX6" s="18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</row>
    <row r="7" spans="1:70" ht="14.25" customHeight="1" x14ac:dyDescent="0.2">
      <c r="A7" s="83" t="s">
        <v>47</v>
      </c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5" t="s">
        <v>46</v>
      </c>
      <c r="AK7" s="5"/>
      <c r="AL7" s="5"/>
      <c r="AM7" s="22"/>
      <c r="AN7" s="22"/>
      <c r="AO7" s="22"/>
      <c r="AP7" s="5"/>
      <c r="AQ7" s="5"/>
      <c r="AR7" s="5"/>
      <c r="AS7" s="5"/>
      <c r="AT7" s="5"/>
      <c r="AU7" s="5"/>
      <c r="AV7" s="5"/>
      <c r="AW7" s="5"/>
      <c r="AX7" s="18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</row>
    <row r="8" spans="1:70" ht="12" customHeight="1" x14ac:dyDescent="0.2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5"/>
      <c r="AK8" s="5"/>
      <c r="AL8" s="5"/>
      <c r="AM8" s="22"/>
      <c r="AN8" s="22"/>
      <c r="AO8" s="22"/>
      <c r="AP8" s="14"/>
      <c r="AQ8" s="14"/>
      <c r="AR8" s="14"/>
      <c r="AS8" s="5"/>
      <c r="AT8" s="5"/>
      <c r="AU8" s="5"/>
      <c r="AV8" s="5"/>
      <c r="AW8" s="5"/>
      <c r="AX8" s="18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</row>
    <row r="9" spans="1:70" ht="12" customHeight="1" x14ac:dyDescent="0.2">
      <c r="A9" s="84" t="str">
        <f>"Campos Engineering, Inc. has been retained by " &amp; AJ7 &amp; " to provide testing, adjusting and balancing services on the " &amp; AJ10 &amp; " project in " &amp; AJ13 &amp; "."</f>
        <v>Campos Engineering, Inc. has been retained by Brant Engineering to provide testing, adjusting and balancing services on the State Farm Shell and Core project in Richardson, TX.</v>
      </c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21" t="s">
        <v>45</v>
      </c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19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</row>
    <row r="10" spans="1:70" ht="12" customHeight="1" x14ac:dyDescent="0.2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20" t="s">
        <v>44</v>
      </c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19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</row>
    <row r="11" spans="1:70" ht="12" customHeight="1" x14ac:dyDescent="0.2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18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</row>
    <row r="12" spans="1:70" ht="12" customHeight="1" x14ac:dyDescent="0.25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17" t="s">
        <v>43</v>
      </c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</row>
    <row r="13" spans="1:70" ht="12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5" t="s">
        <v>42</v>
      </c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5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</row>
    <row r="14" spans="1:70" ht="12" customHeight="1" x14ac:dyDescent="0.2">
      <c r="A14" s="12" t="s">
        <v>41</v>
      </c>
      <c r="B14" s="13"/>
      <c r="C14" s="13"/>
      <c r="D14" s="13"/>
      <c r="E14" s="13"/>
      <c r="F14" s="13"/>
      <c r="G14" s="13"/>
      <c r="H14" s="13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5"/>
      <c r="AK14" s="5"/>
      <c r="AL14" s="5"/>
      <c r="AM14" s="5"/>
      <c r="AN14" s="5"/>
      <c r="AO14" s="5"/>
      <c r="AP14" s="5"/>
      <c r="AQ14" s="5"/>
      <c r="AR14" s="5"/>
      <c r="AS14" s="16"/>
      <c r="AT14" s="16"/>
      <c r="AU14" s="16"/>
      <c r="AV14" s="16"/>
      <c r="AW14" s="5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</row>
    <row r="15" spans="1:70" ht="12" customHeight="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5"/>
      <c r="AK15" s="5"/>
      <c r="AL15" s="5"/>
      <c r="AM15" s="5"/>
      <c r="AN15" s="5"/>
      <c r="AO15" s="5"/>
      <c r="AP15" s="5"/>
      <c r="AQ15" s="5"/>
      <c r="AR15" s="5"/>
      <c r="AS15" s="15"/>
      <c r="AT15" s="15"/>
      <c r="AU15" s="15"/>
      <c r="AV15" s="15"/>
      <c r="AW15" s="5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</row>
    <row r="16" spans="1:70" ht="12" customHeight="1" x14ac:dyDescent="0.2">
      <c r="A16" s="85" t="s">
        <v>40</v>
      </c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5"/>
      <c r="AK16" s="5"/>
      <c r="AL16" s="5"/>
      <c r="AM16" s="5"/>
      <c r="AN16" s="5"/>
      <c r="AO16" s="5"/>
      <c r="AP16" s="5"/>
      <c r="AQ16" s="5"/>
      <c r="AR16" s="5"/>
      <c r="AS16" s="14"/>
      <c r="AT16" s="14"/>
      <c r="AU16" s="14"/>
      <c r="AV16" s="14"/>
      <c r="AW16" s="5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</row>
    <row r="17" spans="1:70" ht="12" customHeight="1" x14ac:dyDescent="0.2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</row>
    <row r="18" spans="1:70" ht="12" customHeight="1" x14ac:dyDescent="0.2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</row>
    <row r="19" spans="1:70" ht="12" customHeight="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</row>
    <row r="20" spans="1:70" ht="12" customHeight="1" x14ac:dyDescent="0.2">
      <c r="A20" s="8"/>
      <c r="B20" s="8"/>
      <c r="C20" s="8"/>
      <c r="D20" s="8" t="s">
        <v>39</v>
      </c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</row>
    <row r="21" spans="1:70" ht="12" customHeight="1" x14ac:dyDescent="0.2">
      <c r="A21" s="7"/>
      <c r="B21" s="7"/>
      <c r="C21" s="7"/>
      <c r="D21" s="7" t="s">
        <v>38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</row>
    <row r="22" spans="1:70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</row>
    <row r="23" spans="1:70" ht="12" customHeight="1" x14ac:dyDescent="0.2">
      <c r="A23" s="8" t="s">
        <v>37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70" ht="12" customHeight="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70" ht="12" customHeight="1" x14ac:dyDescent="0.2">
      <c r="A25" s="8" t="s">
        <v>36</v>
      </c>
      <c r="B25" s="13"/>
      <c r="C25" s="13"/>
      <c r="D25" s="13"/>
      <c r="E25" s="13"/>
      <c r="F25" s="13"/>
      <c r="G25" s="13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</row>
    <row r="26" spans="1:70" ht="12" customHeight="1" x14ac:dyDescent="0.2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</row>
    <row r="27" spans="1:70" ht="12" customHeight="1" x14ac:dyDescent="0.2">
      <c r="A27" s="8"/>
      <c r="B27" s="7"/>
      <c r="C27" s="7"/>
      <c r="D27" s="7"/>
      <c r="E27" s="8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70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</row>
    <row r="29" spans="1:70" x14ac:dyDescent="0.2">
      <c r="A29" s="67"/>
      <c r="B29" s="62"/>
      <c r="C29" s="62"/>
      <c r="D29" s="62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</row>
    <row r="30" spans="1:70" ht="15" customHeight="1" x14ac:dyDescent="0.2">
      <c r="A30" s="64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70" s="9" customFormat="1" ht="15" customHeight="1" x14ac:dyDescent="0.2">
      <c r="A31" s="68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</row>
    <row r="32" spans="1:70" s="9" customFormat="1" ht="15" customHeight="1" x14ac:dyDescent="0.2">
      <c r="A32" s="65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</row>
    <row r="33" spans="1:70" ht="15" customHeight="1" x14ac:dyDescent="0.2">
      <c r="A33" s="65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0" ht="15" customHeight="1" x14ac:dyDescent="0.2">
      <c r="A34" s="62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0" ht="15" customHeight="1" x14ac:dyDescent="0.2">
      <c r="A35" s="65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</row>
    <row r="36" spans="1:70" ht="15" customHeight="1" x14ac:dyDescent="0.2">
      <c r="A36" s="65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</row>
    <row r="37" spans="1:70" ht="15" customHeight="1" x14ac:dyDescent="0.2">
      <c r="A37" s="66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0" ht="15" customHeight="1" x14ac:dyDescent="0.2">
      <c r="A38" s="7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</row>
    <row r="39" spans="1:70" ht="15" customHeight="1" x14ac:dyDescent="0.2">
      <c r="A39" s="7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</row>
    <row r="40" spans="1:70" ht="15" customHeight="1" x14ac:dyDescent="0.2">
      <c r="A40" s="66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0" ht="15" customHeight="1" x14ac:dyDescent="0.2">
      <c r="A41" s="66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</row>
    <row r="42" spans="1:70" ht="15" customHeight="1" x14ac:dyDescent="0.2">
      <c r="A42" s="66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</row>
    <row r="43" spans="1:70" ht="15" customHeight="1" x14ac:dyDescent="0.2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0" ht="15" customHeight="1" x14ac:dyDescent="0.2">
      <c r="A44" s="66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0" ht="15" customHeight="1" x14ac:dyDescent="0.2">
      <c r="A45" s="69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</row>
    <row r="46" spans="1:70" ht="15" customHeight="1" x14ac:dyDescent="0.2">
      <c r="A46" s="66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</row>
    <row r="47" spans="1:70" ht="15" customHeight="1" x14ac:dyDescent="0.2">
      <c r="A47" s="8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0" ht="15" customHeight="1" x14ac:dyDescent="0.2">
      <c r="A48" s="7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</row>
    <row r="49" spans="1:70" ht="15" customHeight="1" x14ac:dyDescent="0.2">
      <c r="A49" s="69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</row>
    <row r="50" spans="1:70" ht="15" customHeight="1" x14ac:dyDescent="0.2">
      <c r="A50" s="66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0" ht="15" customHeight="1" x14ac:dyDescent="0.2">
      <c r="A51" s="69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</row>
    <row r="52" spans="1:70" ht="15" customHeight="1" x14ac:dyDescent="0.2">
      <c r="A52" s="66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</row>
    <row r="53" spans="1:70" ht="15" customHeight="1" x14ac:dyDescent="0.2">
      <c r="A53" s="8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0" ht="15" customHeight="1" x14ac:dyDescent="0.2">
      <c r="A54" s="66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0" ht="15" customHeight="1" x14ac:dyDescent="0.2">
      <c r="A55" s="69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</row>
    <row r="56" spans="1:70" ht="15" customHeight="1" x14ac:dyDescent="0.2">
      <c r="A56" s="7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</row>
    <row r="57" spans="1:70" ht="15" customHeight="1" x14ac:dyDescent="0.2">
      <c r="A57" s="66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0" ht="15" customHeight="1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</row>
    <row r="59" spans="1:70" ht="15" customHeight="1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</row>
    <row r="60" spans="1:70" ht="15" customHeight="1" x14ac:dyDescent="0.2">
      <c r="A60" s="66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0" ht="15" customHeight="1" x14ac:dyDescent="0.2">
      <c r="A61" s="70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</row>
    <row r="62" spans="1:70" ht="15" customHeight="1" x14ac:dyDescent="0.3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6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</row>
    <row r="63" spans="1:70" ht="15" customHeight="1" x14ac:dyDescent="0.2">
      <c r="A63" s="69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</row>
    <row r="64" spans="1:70" ht="15" customHeight="1" x14ac:dyDescent="0.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</row>
    <row r="65" spans="1:35" ht="15" customHeight="1" x14ac:dyDescent="0.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</row>
    <row r="66" spans="1:35" ht="15" customHeight="1" x14ac:dyDescent="0.2">
      <c r="A66" s="69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</row>
    <row r="67" spans="1:35" ht="15" customHeight="1" x14ac:dyDescent="0.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</row>
    <row r="68" spans="1:35" ht="15" customHeight="1" x14ac:dyDescent="0.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</row>
    <row r="69" spans="1:35" ht="15" customHeight="1" x14ac:dyDescent="0.2">
      <c r="A69" s="69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</row>
    <row r="70" spans="1:35" ht="15" customHeight="1" x14ac:dyDescent="0.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</row>
    <row r="71" spans="1:35" ht="15" customHeight="1" x14ac:dyDescent="0.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</row>
    <row r="72" spans="1:35" ht="15" customHeight="1" x14ac:dyDescent="0.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</row>
    <row r="73" spans="1:35" ht="15" customHeight="1" x14ac:dyDescent="0.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</row>
    <row r="74" spans="1:35" ht="15" customHeight="1" x14ac:dyDescent="0.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</row>
    <row r="75" spans="1:35" ht="15" customHeight="1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</row>
    <row r="76" spans="1:35" ht="15" customHeight="1" x14ac:dyDescent="0.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</row>
    <row r="77" spans="1:35" ht="15" customHeight="1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</row>
    <row r="78" spans="1:35" ht="15" customHeight="1" x14ac:dyDescent="0.2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</row>
    <row r="79" spans="1:35" ht="15" customHeight="1" x14ac:dyDescent="0.2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</row>
    <row r="80" spans="1:35" ht="15" customHeight="1" x14ac:dyDescent="0.2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</row>
    <row r="81" spans="1:35" ht="15" customHeight="1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</row>
    <row r="82" spans="1:35" ht="15" customHeight="1" x14ac:dyDescent="0.2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</row>
    <row r="83" spans="1:35" ht="15" customHeight="1" x14ac:dyDescent="0.2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</row>
    <row r="84" spans="1:35" ht="15" customHeight="1" x14ac:dyDescent="0.2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</row>
    <row r="85" spans="1:35" ht="15" customHeight="1" x14ac:dyDescent="0.2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</row>
    <row r="86" spans="1:35" ht="15" customHeight="1" x14ac:dyDescent="0.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</row>
    <row r="87" spans="1:35" ht="15" customHeight="1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</row>
    <row r="88" spans="1:35" ht="15" customHeight="1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</row>
    <row r="89" spans="1:35" ht="15" customHeight="1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</row>
    <row r="90" spans="1:35" ht="15" customHeight="1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</row>
    <row r="91" spans="1:35" ht="15" customHeight="1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</row>
    <row r="92" spans="1:35" ht="15" customHeight="1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</row>
    <row r="93" spans="1:35" ht="15" customHeight="1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</row>
    <row r="94" spans="1:35" ht="15" customHeight="1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</row>
    <row r="95" spans="1:35" ht="15" customHeight="1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</row>
    <row r="96" spans="1:35" ht="15" customHeight="1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</row>
    <row r="97" spans="1:35" ht="15" customHeight="1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</row>
    <row r="98" spans="1:35" ht="15" customHeight="1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</row>
    <row r="99" spans="1:35" ht="15" customHeight="1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</row>
    <row r="100" spans="1:35" ht="15" customHeight="1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</row>
    <row r="101" spans="1:35" ht="15" customHeight="1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</row>
    <row r="102" spans="1:35" ht="15" customHeight="1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</row>
    <row r="103" spans="1:35" ht="15" customHeight="1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</row>
    <row r="104" spans="1:35" ht="15" customHeight="1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</row>
    <row r="105" spans="1:35" ht="15" customHeight="1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</row>
    <row r="106" spans="1:35" ht="15" customHeight="1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</row>
    <row r="107" spans="1:35" ht="15" customHeight="1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</row>
    <row r="108" spans="1:35" ht="15" customHeight="1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</row>
    <row r="109" spans="1:35" ht="15" customHeight="1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</row>
    <row r="110" spans="1:35" ht="15" customHeight="1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35" ht="15" customHeight="1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</row>
    <row r="112" spans="1:35" ht="15" customHeight="1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</row>
    <row r="113" spans="1:35" ht="15" customHeight="1" x14ac:dyDescent="0.2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</row>
    <row r="114" spans="1:35" ht="15" customHeight="1" x14ac:dyDescent="0.2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</row>
    <row r="115" spans="1:35" ht="15" customHeight="1" x14ac:dyDescent="0.2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35" ht="15" customHeight="1" x14ac:dyDescent="0.2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</row>
    <row r="117" spans="1:35" ht="15" customHeight="1" x14ac:dyDescent="0.2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</row>
    <row r="118" spans="1:35" ht="15" customHeight="1" x14ac:dyDescent="0.2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</row>
    <row r="119" spans="1:35" ht="15" customHeight="1" x14ac:dyDescent="0.2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</row>
    <row r="120" spans="1:35" ht="15" customHeight="1" x14ac:dyDescent="0.2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</row>
    <row r="121" spans="1:35" ht="15" customHeight="1" x14ac:dyDescent="0.2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</row>
    <row r="122" spans="1:35" ht="15" customHeight="1" x14ac:dyDescent="0.2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</row>
    <row r="123" spans="1:35" ht="15" customHeight="1" x14ac:dyDescent="0.2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</row>
    <row r="124" spans="1:35" ht="15" customHeight="1" x14ac:dyDescent="0.2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</row>
    <row r="125" spans="1:35" ht="15" customHeight="1" x14ac:dyDescent="0.2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</row>
    <row r="126" spans="1:35" ht="15" customHeight="1" x14ac:dyDescent="0.2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</row>
    <row r="127" spans="1:35" ht="15" customHeight="1" x14ac:dyDescent="0.2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</row>
    <row r="128" spans="1:35" ht="15" customHeight="1" x14ac:dyDescent="0.2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</row>
    <row r="129" spans="1:35" ht="15" customHeight="1" x14ac:dyDescent="0.2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</row>
    <row r="130" spans="1:35" ht="15" customHeight="1" x14ac:dyDescent="0.2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</row>
    <row r="131" spans="1:35" ht="15" customHeight="1" x14ac:dyDescent="0.2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</row>
    <row r="132" spans="1:35" ht="15" customHeight="1" x14ac:dyDescent="0.2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</row>
    <row r="133" spans="1:35" ht="15" customHeight="1" x14ac:dyDescent="0.2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</row>
    <row r="134" spans="1:35" ht="15" customHeight="1" x14ac:dyDescent="0.2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</row>
    <row r="135" spans="1:35" ht="15" customHeight="1" x14ac:dyDescent="0.2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</row>
    <row r="136" spans="1:35" ht="15" customHeight="1" x14ac:dyDescent="0.2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</row>
    <row r="137" spans="1:35" ht="15" customHeight="1" x14ac:dyDescent="0.2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</row>
    <row r="138" spans="1:35" ht="15" customHeight="1" x14ac:dyDescent="0.2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</row>
    <row r="139" spans="1:35" ht="15" customHeight="1" x14ac:dyDescent="0.2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</row>
    <row r="140" spans="1:35" ht="15" customHeight="1" x14ac:dyDescent="0.2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</row>
    <row r="141" spans="1:35" ht="15" customHeight="1" x14ac:dyDescent="0.2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</row>
    <row r="142" spans="1:35" ht="15" customHeight="1" x14ac:dyDescent="0.2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</row>
    <row r="143" spans="1:35" ht="15" customHeight="1" x14ac:dyDescent="0.2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</row>
    <row r="144" spans="1:35" ht="15" customHeight="1" x14ac:dyDescent="0.2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</row>
    <row r="145" spans="1:35" ht="15" customHeight="1" x14ac:dyDescent="0.2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</row>
    <row r="146" spans="1:35" ht="15" customHeight="1" x14ac:dyDescent="0.2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</row>
    <row r="147" spans="1:35" ht="15" customHeight="1" x14ac:dyDescent="0.2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</row>
    <row r="148" spans="1:35" ht="15" customHeight="1" x14ac:dyDescent="0.2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</row>
    <row r="149" spans="1:35" ht="15" customHeight="1" x14ac:dyDescent="0.2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</row>
    <row r="150" spans="1:35" ht="15" customHeight="1" x14ac:dyDescent="0.2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</row>
    <row r="151" spans="1:35" ht="15" customHeight="1" x14ac:dyDescent="0.2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</row>
    <row r="152" spans="1:35" ht="15" customHeight="1" x14ac:dyDescent="0.2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</row>
    <row r="153" spans="1:35" ht="15" customHeight="1" x14ac:dyDescent="0.2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</row>
    <row r="154" spans="1:35" ht="15" customHeight="1" x14ac:dyDescent="0.2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</row>
    <row r="155" spans="1:35" ht="15" customHeight="1" x14ac:dyDescent="0.2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</row>
    <row r="156" spans="1:35" ht="15" customHeight="1" x14ac:dyDescent="0.2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</row>
    <row r="157" spans="1:35" ht="15" customHeight="1" x14ac:dyDescent="0.2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</row>
    <row r="158" spans="1:35" ht="15" customHeight="1" x14ac:dyDescent="0.2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</row>
    <row r="159" spans="1:35" ht="15" customHeight="1" x14ac:dyDescent="0.2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</row>
    <row r="160" spans="1:35" ht="15" customHeight="1" x14ac:dyDescent="0.2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</row>
    <row r="161" spans="1:35" ht="15" customHeight="1" x14ac:dyDescent="0.2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</row>
    <row r="162" spans="1:35" ht="15" customHeight="1" x14ac:dyDescent="0.2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</row>
    <row r="163" spans="1:35" ht="15" customHeight="1" x14ac:dyDescent="0.2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</row>
    <row r="164" spans="1:35" ht="15" customHeight="1" x14ac:dyDescent="0.2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</row>
    <row r="165" spans="1:35" ht="15" customHeight="1" x14ac:dyDescent="0.2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</row>
    <row r="166" spans="1:35" ht="15" customHeight="1" x14ac:dyDescent="0.2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</row>
    <row r="167" spans="1:35" ht="15" customHeight="1" x14ac:dyDescent="0.2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</row>
    <row r="168" spans="1:35" ht="15" customHeight="1" x14ac:dyDescent="0.2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</row>
    <row r="169" spans="1:35" ht="15" customHeight="1" x14ac:dyDescent="0.2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</row>
    <row r="170" spans="1:35" ht="15" customHeight="1" x14ac:dyDescent="0.2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</row>
    <row r="171" spans="1:35" ht="15" customHeight="1" x14ac:dyDescent="0.2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</row>
    <row r="172" spans="1:35" ht="15" customHeight="1" x14ac:dyDescent="0.2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</row>
    <row r="173" spans="1:35" ht="15" customHeight="1" x14ac:dyDescent="0.2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</row>
    <row r="174" spans="1:35" ht="15" customHeight="1" x14ac:dyDescent="0.2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</row>
    <row r="175" spans="1:35" ht="15" customHeight="1" x14ac:dyDescent="0.2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</row>
    <row r="176" spans="1:35" ht="15" customHeight="1" x14ac:dyDescent="0.2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</row>
    <row r="177" spans="1:35" ht="15" customHeight="1" x14ac:dyDescent="0.2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</row>
    <row r="178" spans="1:35" ht="15" customHeight="1" x14ac:dyDescent="0.2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</row>
    <row r="179" spans="1:35" ht="15" customHeight="1" x14ac:dyDescent="0.2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</row>
    <row r="180" spans="1:35" ht="15" customHeight="1" x14ac:dyDescent="0.2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</row>
    <row r="181" spans="1:35" ht="15" customHeight="1" x14ac:dyDescent="0.2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</row>
    <row r="182" spans="1:35" ht="15" customHeight="1" x14ac:dyDescent="0.2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</row>
    <row r="183" spans="1:35" ht="15" customHeight="1" x14ac:dyDescent="0.2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</row>
    <row r="184" spans="1:35" ht="15" customHeight="1" x14ac:dyDescent="0.2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</row>
    <row r="185" spans="1:35" ht="15" customHeight="1" x14ac:dyDescent="0.2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</row>
    <row r="186" spans="1:35" ht="15" customHeight="1" x14ac:dyDescent="0.2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</row>
    <row r="187" spans="1:35" ht="15" customHeight="1" x14ac:dyDescent="0.2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</row>
    <row r="188" spans="1:35" ht="15" customHeight="1" x14ac:dyDescent="0.2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</row>
    <row r="189" spans="1:35" ht="15" customHeight="1" x14ac:dyDescent="0.2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</row>
    <row r="190" spans="1:35" ht="15" customHeight="1" x14ac:dyDescent="0.2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</row>
    <row r="191" spans="1:35" ht="15" customHeight="1" x14ac:dyDescent="0.2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</row>
    <row r="192" spans="1:35" ht="15" customHeight="1" x14ac:dyDescent="0.2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</row>
    <row r="193" spans="1:35" ht="15" customHeight="1" x14ac:dyDescent="0.2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</row>
    <row r="194" spans="1:35" ht="15" customHeight="1" x14ac:dyDescent="0.2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</row>
    <row r="195" spans="1:35" ht="15" customHeight="1" x14ac:dyDescent="0.2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</row>
    <row r="196" spans="1:35" ht="15" customHeight="1" x14ac:dyDescent="0.2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</row>
    <row r="197" spans="1:35" ht="15" customHeight="1" x14ac:dyDescent="0.2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</row>
    <row r="198" spans="1:35" ht="15" customHeight="1" x14ac:dyDescent="0.2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</row>
    <row r="199" spans="1:35" ht="15" customHeight="1" x14ac:dyDescent="0.2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</row>
    <row r="200" spans="1:35" ht="15" customHeight="1" x14ac:dyDescent="0.2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</row>
    <row r="201" spans="1:35" ht="15" customHeight="1" x14ac:dyDescent="0.2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</row>
    <row r="202" spans="1:35" ht="15" customHeight="1" x14ac:dyDescent="0.2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</row>
    <row r="203" spans="1:35" ht="15" customHeight="1" x14ac:dyDescent="0.2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</row>
    <row r="204" spans="1:35" ht="15" customHeight="1" x14ac:dyDescent="0.2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</row>
    <row r="205" spans="1:35" ht="15" customHeight="1" x14ac:dyDescent="0.2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</row>
    <row r="206" spans="1:35" ht="15" customHeight="1" x14ac:dyDescent="0.2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</row>
    <row r="207" spans="1:35" ht="15" customHeight="1" x14ac:dyDescent="0.2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</row>
    <row r="208" spans="1:35" ht="15" customHeight="1" x14ac:dyDescent="0.2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</row>
    <row r="209" spans="1:35" ht="15" customHeight="1" x14ac:dyDescent="0.2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</row>
    <row r="210" spans="1:35" ht="15" customHeight="1" x14ac:dyDescent="0.2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</row>
    <row r="211" spans="1:35" ht="15" customHeight="1" x14ac:dyDescent="0.2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</row>
    <row r="212" spans="1:35" ht="15" customHeight="1" x14ac:dyDescent="0.2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</row>
    <row r="213" spans="1:35" ht="15" customHeight="1" x14ac:dyDescent="0.2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</row>
    <row r="214" spans="1:35" ht="15" customHeight="1" x14ac:dyDescent="0.2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</row>
    <row r="215" spans="1:35" ht="15" customHeight="1" x14ac:dyDescent="0.2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</row>
    <row r="216" spans="1:35" ht="15" customHeight="1" x14ac:dyDescent="0.2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</row>
    <row r="217" spans="1:35" ht="15" customHeight="1" x14ac:dyDescent="0.2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</row>
    <row r="218" spans="1:35" ht="15" customHeight="1" x14ac:dyDescent="0.2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</row>
    <row r="219" spans="1:35" ht="15" customHeight="1" x14ac:dyDescent="0.2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</row>
    <row r="220" spans="1:35" ht="15" customHeight="1" x14ac:dyDescent="0.2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</row>
    <row r="221" spans="1:35" ht="15" customHeight="1" x14ac:dyDescent="0.2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</row>
    <row r="222" spans="1:35" ht="15" customHeight="1" x14ac:dyDescent="0.2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</row>
    <row r="223" spans="1:35" ht="15" customHeight="1" x14ac:dyDescent="0.2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</row>
    <row r="224" spans="1:35" ht="15" customHeight="1" x14ac:dyDescent="0.2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</row>
    <row r="225" spans="1:35" ht="15" customHeight="1" x14ac:dyDescent="0.2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</row>
    <row r="226" spans="1:35" ht="15" customHeight="1" x14ac:dyDescent="0.2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</row>
    <row r="227" spans="1:35" ht="15" customHeight="1" x14ac:dyDescent="0.2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</row>
    <row r="228" spans="1:35" ht="15" customHeight="1" x14ac:dyDescent="0.2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</row>
    <row r="229" spans="1:35" ht="15" customHeight="1" x14ac:dyDescent="0.2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</row>
    <row r="230" spans="1:35" ht="15" customHeight="1" x14ac:dyDescent="0.2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</row>
    <row r="231" spans="1:35" ht="15" customHeight="1" x14ac:dyDescent="0.2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</row>
    <row r="232" spans="1:35" ht="15" customHeight="1" x14ac:dyDescent="0.2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</row>
    <row r="233" spans="1:35" ht="15" customHeight="1" x14ac:dyDescent="0.2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</row>
    <row r="234" spans="1:35" ht="15" customHeight="1" x14ac:dyDescent="0.2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</row>
    <row r="235" spans="1:35" ht="15" customHeight="1" x14ac:dyDescent="0.2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</row>
    <row r="236" spans="1:35" ht="15" customHeight="1" x14ac:dyDescent="0.2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</row>
    <row r="237" spans="1:35" ht="15" customHeight="1" x14ac:dyDescent="0.2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</row>
    <row r="238" spans="1:35" ht="15" customHeight="1" x14ac:dyDescent="0.2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</row>
    <row r="239" spans="1:35" ht="15" customHeight="1" x14ac:dyDescent="0.2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</row>
    <row r="240" spans="1:35" ht="15" customHeight="1" x14ac:dyDescent="0.2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</row>
    <row r="241" spans="1:35" ht="15" customHeight="1" x14ac:dyDescent="0.2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</row>
    <row r="242" spans="1:35" ht="15" customHeight="1" x14ac:dyDescent="0.2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</row>
    <row r="243" spans="1:35" ht="15" customHeight="1" x14ac:dyDescent="0.2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</row>
    <row r="244" spans="1:35" ht="15" customHeight="1" x14ac:dyDescent="0.2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</row>
    <row r="245" spans="1:35" ht="15" customHeight="1" x14ac:dyDescent="0.2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</row>
    <row r="246" spans="1:35" ht="15" customHeight="1" x14ac:dyDescent="0.2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</row>
    <row r="247" spans="1:35" ht="15" customHeight="1" x14ac:dyDescent="0.2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</row>
    <row r="248" spans="1:35" ht="15" customHeight="1" x14ac:dyDescent="0.2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</row>
    <row r="249" spans="1:35" ht="15" customHeight="1" x14ac:dyDescent="0.2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</row>
    <row r="250" spans="1:35" ht="15" customHeight="1" x14ac:dyDescent="0.2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</row>
    <row r="251" spans="1:35" ht="15" customHeight="1" x14ac:dyDescent="0.2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</row>
    <row r="252" spans="1:35" ht="15" customHeight="1" x14ac:dyDescent="0.2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</row>
    <row r="253" spans="1:35" ht="15" customHeight="1" x14ac:dyDescent="0.2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</row>
    <row r="254" spans="1:35" ht="15" customHeight="1" x14ac:dyDescent="0.2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</row>
    <row r="255" spans="1:35" ht="15" customHeight="1" x14ac:dyDescent="0.2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</row>
    <row r="256" spans="1:35" ht="15" customHeight="1" x14ac:dyDescent="0.2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</row>
    <row r="257" spans="1:35" ht="15" customHeight="1" x14ac:dyDescent="0.2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</row>
    <row r="258" spans="1:35" ht="15" customHeight="1" x14ac:dyDescent="0.2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</row>
    <row r="259" spans="1:35" ht="15" customHeight="1" x14ac:dyDescent="0.2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</row>
    <row r="260" spans="1:35" ht="15" customHeight="1" x14ac:dyDescent="0.2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</row>
    <row r="261" spans="1:35" ht="15" customHeight="1" x14ac:dyDescent="0.2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</row>
    <row r="262" spans="1:35" ht="15" customHeight="1" x14ac:dyDescent="0.2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</row>
    <row r="263" spans="1:35" ht="15" customHeight="1" x14ac:dyDescent="0.2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</row>
    <row r="264" spans="1:35" ht="15" customHeight="1" x14ac:dyDescent="0.2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</row>
    <row r="265" spans="1:35" ht="15" customHeight="1" x14ac:dyDescent="0.2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</row>
    <row r="266" spans="1:35" ht="15" customHeight="1" x14ac:dyDescent="0.2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</row>
    <row r="267" spans="1:35" ht="15" customHeight="1" x14ac:dyDescent="0.2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</row>
    <row r="268" spans="1:35" ht="15" customHeight="1" x14ac:dyDescent="0.2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</row>
    <row r="269" spans="1:35" ht="15" customHeight="1" x14ac:dyDescent="0.2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</row>
    <row r="270" spans="1:35" ht="15" customHeight="1" x14ac:dyDescent="0.2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</row>
    <row r="271" spans="1:35" ht="15" customHeight="1" x14ac:dyDescent="0.2"/>
    <row r="272" spans="1:35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</sheetData>
  <mergeCells count="5">
    <mergeCell ref="H5:AI5"/>
    <mergeCell ref="A5:F5"/>
    <mergeCell ref="A7:AI7"/>
    <mergeCell ref="A9:AI12"/>
    <mergeCell ref="A16:AI18"/>
  </mergeCells>
  <printOptions horizontalCentered="1"/>
  <pageMargins left="0.75" right="0.5" top="0.25" bottom="0.5" header="0" footer="0.25"/>
  <pageSetup scale="90" orientation="portrait" r:id="rId1"/>
  <headerFooter scaleWithDoc="0">
    <oddHeader>&amp;L&amp;6&amp;K00+000&amp;A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Summary Builder</vt:lpstr>
      <vt:lpstr>Sheet2</vt:lpstr>
      <vt:lpstr>GRSMT</vt:lpstr>
      <vt:lpstr>AC</vt:lpstr>
      <vt:lpstr>AC_Final_1</vt:lpstr>
      <vt:lpstr>AHU</vt:lpstr>
      <vt:lpstr>AHU_Final_1</vt:lpstr>
      <vt:lpstr>Architect</vt:lpstr>
      <vt:lpstr>BOILER</vt:lpstr>
      <vt:lpstr>BOILER_Final_1</vt:lpstr>
      <vt:lpstr>CHILLER</vt:lpstr>
      <vt:lpstr>CHILLER_Final_1</vt:lpstr>
      <vt:lpstr>CHWP</vt:lpstr>
      <vt:lpstr>CHWP_Final_1</vt:lpstr>
      <vt:lpstr>Client_Address</vt:lpstr>
      <vt:lpstr>Client_Name</vt:lpstr>
      <vt:lpstr>Client_Phone</vt:lpstr>
      <vt:lpstr>CLIENTLOGO</vt:lpstr>
      <vt:lpstr>Contractor</vt:lpstr>
      <vt:lpstr>CRAC</vt:lpstr>
      <vt:lpstr>CRAC_Final_1</vt:lpstr>
      <vt:lpstr>CT</vt:lpstr>
      <vt:lpstr>CT_Final_1</vt:lpstr>
      <vt:lpstr>Current_File_Name</vt:lpstr>
      <vt:lpstr>Current_Folder_Path</vt:lpstr>
      <vt:lpstr>CWP</vt:lpstr>
      <vt:lpstr>CWP_Final_1</vt:lpstr>
      <vt:lpstr>ERV</vt:lpstr>
      <vt:lpstr>ERV_Final_1</vt:lpstr>
      <vt:lpstr>FAN</vt:lpstr>
      <vt:lpstr>FAN_Final_1</vt:lpstr>
      <vt:lpstr>FCU</vt:lpstr>
      <vt:lpstr>FCU_Final_1</vt:lpstr>
      <vt:lpstr>First_System</vt:lpstr>
      <vt:lpstr>First_Title</vt:lpstr>
      <vt:lpstr>Folder_Location</vt:lpstr>
      <vt:lpstr>Height_Range</vt:lpstr>
      <vt:lpstr>HWP</vt:lpstr>
      <vt:lpstr>HWP_Final_1</vt:lpstr>
      <vt:lpstr>MEP_Engineer</vt:lpstr>
      <vt:lpstr>NEBB_Supervisor</vt:lpstr>
      <vt:lpstr>Owner</vt:lpstr>
      <vt:lpstr>GRSMT!Print_Area</vt:lpstr>
      <vt:lpstr>Project</vt:lpstr>
      <vt:lpstr>Project_Location</vt:lpstr>
      <vt:lpstr>Project_Name</vt:lpstr>
      <vt:lpstr>Project_Number</vt:lpstr>
      <vt:lpstr>RTU</vt:lpstr>
      <vt:lpstr>RTU_Final_1</vt:lpstr>
      <vt:lpstr>Sealing_PE</vt:lpstr>
      <vt:lpstr>Sealing_PE_Email</vt:lpstr>
      <vt:lpstr>Text_Location</vt:lpstr>
      <vt:lpstr>UH</vt:lpstr>
      <vt:lpstr>UH_Final_1</vt:lpstr>
      <vt:lpstr>Unit_Number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Campos</dc:creator>
  <cp:lastModifiedBy>Joseph W. Campos</cp:lastModifiedBy>
  <cp:lastPrinted>2016-01-14T21:25:38Z</cp:lastPrinted>
  <dcterms:created xsi:type="dcterms:W3CDTF">2015-12-11T16:38:52Z</dcterms:created>
  <dcterms:modified xsi:type="dcterms:W3CDTF">2016-05-24T14:24:14Z</dcterms:modified>
</cp:coreProperties>
</file>