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ampos\report-builder-branches\report-builder-new\dev\"/>
    </mc:Choice>
  </mc:AlternateContent>
  <xr:revisionPtr revIDLastSave="0" documentId="13_ncr:1_{4962DF1E-F564-40BD-AA11-1C906F8E3085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Builder" sheetId="1" r:id="rId1"/>
    <sheet name="FLYERMT" sheetId="5" r:id="rId2"/>
    <sheet name="MAINMT" sheetId="2" r:id="rId3"/>
    <sheet name="DFMT" sheetId="3" r:id="rId4"/>
    <sheet name="DF_SINGLE_SPMT" sheetId="6" r:id="rId5"/>
    <sheet name="DF_DOUBLE_SPMT" sheetId="7" r:id="rId6"/>
    <sheet name="CURVEMT" sheetId="8" r:id="rId7"/>
    <sheet name="OUTLETSUMMT" sheetId="9" r:id="rId8"/>
    <sheet name="TRAVMT" sheetId="10" r:id="rId9"/>
    <sheet name="STDPTORAVMT" sheetId="11" r:id="rId10"/>
    <sheet name="STD_AF_TRAVMT" sheetId="12" r:id="rId11"/>
    <sheet name="RNDTRAVMT" sheetId="13" r:id="rId12"/>
    <sheet name="RND_AF_TRAVMT" sheetId="14" r:id="rId13"/>
    <sheet name="ATUSUMMT" sheetId="15" r:id="rId14"/>
    <sheet name="ATUMT" sheetId="16" r:id="rId15"/>
    <sheet name="DDATUMT" sheetId="17" r:id="rId16"/>
    <sheet name="SFPBMT" sheetId="18" r:id="rId17"/>
    <sheet name="SFPBOAMT" sheetId="19" r:id="rId18"/>
    <sheet name="PFPBMT" sheetId="20" r:id="rId19"/>
    <sheet name="SAVMT" sheetId="21" r:id="rId20"/>
    <sheet name="RAVMT" sheetId="22" r:id="rId21"/>
    <sheet name="EAVMT" sheetId="23" r:id="rId22"/>
    <sheet name="HHWMT" sheetId="24" r:id="rId23"/>
  </sheets>
  <externalReferences>
    <externalReference r:id="rId24"/>
    <externalReference r:id="rId25"/>
    <externalReference r:id="rId26"/>
    <externalReference r:id="rId27"/>
    <externalReference r:id="rId28"/>
  </externalReferences>
  <definedNames>
    <definedName name="AC_1" localSheetId="21">[1]Builder!$D$157</definedName>
    <definedName name="AC_1" localSheetId="1">[2]Builder!$D$127</definedName>
    <definedName name="AC_1" localSheetId="20">[1]Builder!$D$157</definedName>
    <definedName name="AC_1" localSheetId="19">[1]Builder!$D$157</definedName>
    <definedName name="AC_1">[3]Builder!$D$133</definedName>
    <definedName name="AC_Inlet_Reference" localSheetId="21">[1]Builder!$D$166</definedName>
    <definedName name="AC_Inlet_Reference" localSheetId="1">[2]Builder!$D$136</definedName>
    <definedName name="AC_Inlet_Reference" localSheetId="20">[1]Builder!$D$166</definedName>
    <definedName name="AC_Inlet_Reference" localSheetId="19">[1]Builder!$D$166</definedName>
    <definedName name="AC_Inlet_Reference">[3]Builder!$D$142</definedName>
    <definedName name="AC_InletSum_1" localSheetId="21">[1]Builder!$D$169</definedName>
    <definedName name="AC_InletSum_1" localSheetId="1">[2]Builder!$D$139</definedName>
    <definedName name="AC_InletSum_1" localSheetId="20">[1]Builder!$D$169</definedName>
    <definedName name="AC_InletSum_1" localSheetId="19">[1]Builder!$D$169</definedName>
    <definedName name="AC_InletSum_1">[3]Builder!$D$145</definedName>
    <definedName name="AC_InletSum_CFM" localSheetId="21">[1]Builder!$J$169</definedName>
    <definedName name="AC_InletSum_CFM" localSheetId="1">[2]Builder!$J$139</definedName>
    <definedName name="AC_InletSum_CFM" localSheetId="20">[1]Builder!$J$169</definedName>
    <definedName name="AC_InletSum_CFM" localSheetId="19">[1]Builder!$J$169</definedName>
    <definedName name="AC_InletSum_CFM">[3]Builder!$J$145</definedName>
    <definedName name="AC_Num_Inlets_1" localSheetId="21">[1]Builder!$AC$157</definedName>
    <definedName name="AC_Num_Inlets_1" localSheetId="1">[2]Builder!$AD$127</definedName>
    <definedName name="AC_Num_Inlets_1" localSheetId="20">[1]Builder!$AC$157</definedName>
    <definedName name="AC_Num_Inlets_1" localSheetId="19">[1]Builder!$AC$157</definedName>
    <definedName name="AC_Num_Inlets_1">[3]Builder!$AD$133</definedName>
    <definedName name="AC_Num_Outlets_1" localSheetId="21">[1]Builder!$AB$157</definedName>
    <definedName name="AC_Num_Outlets_1" localSheetId="1">[2]Builder!$AC$127</definedName>
    <definedName name="AC_Num_Outlets_1" localSheetId="20">[1]Builder!$AB$157</definedName>
    <definedName name="AC_Num_Outlets_1" localSheetId="19">[1]Builder!$AB$157</definedName>
    <definedName name="AC_Num_Outlets_1">[3]Builder!$AC$133</definedName>
    <definedName name="AC_Outlet_Reference" localSheetId="21">[1]Builder!$D$160</definedName>
    <definedName name="AC_Outlet_Reference" localSheetId="1">[2]Builder!$D$130</definedName>
    <definedName name="AC_Outlet_Reference" localSheetId="20">[1]Builder!$D$160</definedName>
    <definedName name="AC_Outlet_Reference" localSheetId="19">[1]Builder!$D$160</definedName>
    <definedName name="AC_Outlet_Reference">[3]Builder!$D$136</definedName>
    <definedName name="AC_OutletSum_1" localSheetId="21">[1]Builder!$D$163</definedName>
    <definedName name="AC_OutletSum_1" localSheetId="1">[2]Builder!$D$133</definedName>
    <definedName name="AC_OutletSum_1" localSheetId="20">[1]Builder!$D$163</definedName>
    <definedName name="AC_OutletSum_1" localSheetId="19">[1]Builder!$D$163</definedName>
    <definedName name="AC_OutletSum_1">[3]Builder!$D$139</definedName>
    <definedName name="AC_OutletSum_CFM" localSheetId="21">[1]Builder!$J$163</definedName>
    <definedName name="AC_OutletSum_CFM" localSheetId="1">[2]Builder!$J$133</definedName>
    <definedName name="AC_OutletSum_CFM" localSheetId="20">[1]Builder!$J$163</definedName>
    <definedName name="AC_OutletSum_CFM" localSheetId="19">[1]Builder!$J$163</definedName>
    <definedName name="AC_OutletSum_CFM">[3]Builder!$J$139</definedName>
    <definedName name="AC_Reference" localSheetId="21">[1]Builder!$D$154</definedName>
    <definedName name="AC_Reference" localSheetId="1">[2]Builder!$D$124</definedName>
    <definedName name="AC_Reference" localSheetId="20">[1]Builder!$D$154</definedName>
    <definedName name="AC_Reference" localSheetId="19">[1]Builder!$D$154</definedName>
    <definedName name="AC_Reference">[3]Builder!$D$130</definedName>
    <definedName name="AHU_1" localSheetId="21">[1]Builder!$D$46</definedName>
    <definedName name="AHU_1" localSheetId="1">[2]Builder!$D$46</definedName>
    <definedName name="AHU_1" localSheetId="20">[1]Builder!$D$46</definedName>
    <definedName name="AHU_1" localSheetId="19">[1]Builder!$D$46</definedName>
    <definedName name="AHU_1">Builder!$E$45</definedName>
    <definedName name="AHU_Build_All">Builder!$C$42</definedName>
    <definedName name="AHU_Coil_1" localSheetId="21">[4]Builder!#REF!</definedName>
    <definedName name="AHU_Coil_1" localSheetId="22">[3]Builder!#REF!</definedName>
    <definedName name="AHU_Coil_1" localSheetId="20">[4]Builder!#REF!</definedName>
    <definedName name="AHU_Coil_1" localSheetId="19">[4]Builder!#REF!</definedName>
    <definedName name="AHU_Coil_1" localSheetId="10">[4]Builder!#REF!</definedName>
    <definedName name="AHU_Coil_1" localSheetId="9">[4]Builder!#REF!</definedName>
    <definedName name="AHU_Coil_1">[4]Builder!#REF!</definedName>
    <definedName name="AHU_Init_Main_Rows">Builder!$D$42</definedName>
    <definedName name="AHU_InletSum_1" localSheetId="21">[1]Builder!$D$100</definedName>
    <definedName name="AHU_InletSum_1" localSheetId="1">[2]Builder!$D$70</definedName>
    <definedName name="AHU_InletSum_1" localSheetId="20">[1]Builder!$D$100</definedName>
    <definedName name="AHU_InletSum_1" localSheetId="19">[1]Builder!$D$100</definedName>
    <definedName name="AHU_InletSum_1">[3]Builder!$D$75</definedName>
    <definedName name="AHU_Key">Builder!$F$45</definedName>
    <definedName name="AHU_Location">Builder!#REF!</definedName>
    <definedName name="AHU_Main_Rows">Builder!$A$42:$A$552</definedName>
    <definedName name="AHU_Num_ATU_1" localSheetId="21">[1]Builder!$AF$46</definedName>
    <definedName name="AHU_Num_ATU_1" localSheetId="1">[2]Builder!$AG$46</definedName>
    <definedName name="AHU_Num_ATU_1" localSheetId="20">[1]Builder!$AF$46</definedName>
    <definedName name="AHU_Num_ATU_1" localSheetId="19">[1]Builder!$AF$46</definedName>
    <definedName name="AHU_Num_ATU_1">[3]Builder!$AG$46</definedName>
    <definedName name="AHU_Num_Inlets_1" localSheetId="21">[1]Builder!$AE$46</definedName>
    <definedName name="AHU_Num_Inlets_1" localSheetId="1">[2]Builder!$AF$46</definedName>
    <definedName name="AHU_Num_Inlets_1" localSheetId="20">[1]Builder!$AE$46</definedName>
    <definedName name="AHU_Num_Inlets_1" localSheetId="19">[1]Builder!$AE$46</definedName>
    <definedName name="AHU_Num_Inlets_1">[3]Builder!$AF$46</definedName>
    <definedName name="AHU_Num_Outlets_1" localSheetId="21">[1]Builder!$AD$46</definedName>
    <definedName name="AHU_Num_Outlets_1" localSheetId="1">[2]Builder!$AE$46</definedName>
    <definedName name="AHU_Num_Outlets_1" localSheetId="20">[1]Builder!$AD$46</definedName>
    <definedName name="AHU_Num_Outlets_1" localSheetId="19">[1]Builder!$AD$46</definedName>
    <definedName name="AHU_Num_Outlets_1">[3]Builder!$AE$46</definedName>
    <definedName name="AHU_Number">Builder!$C$40</definedName>
    <definedName name="AHU_OutletSum_1" localSheetId="21">[1]Builder!$D$70</definedName>
    <definedName name="AHU_OutletSum_1" localSheetId="1">[2]Builder!$D$58</definedName>
    <definedName name="AHU_OutletSum_1" localSheetId="20">[1]Builder!$D$70</definedName>
    <definedName name="AHU_OutletSum_1" localSheetId="19">[1]Builder!$D$70</definedName>
    <definedName name="AHU_OutletSum_1">[3]Builder!$D$59</definedName>
    <definedName name="AHU_Reference" localSheetId="21">[1]Builder!$D$43</definedName>
    <definedName name="AHU_Reference" localSheetId="1">[2]Builder!$D$43</definedName>
    <definedName name="AHU_Reference" localSheetId="20">[1]Builder!$D$43</definedName>
    <definedName name="AHU_Reference" localSheetId="19">[1]Builder!$D$43</definedName>
    <definedName name="AHU_Reference">[3]Builder!$D$43</definedName>
    <definedName name="AHU_Reset_All">Builder!$B$42</definedName>
    <definedName name="AHU_RNG">Builder!$E$45:$M$45</definedName>
    <definedName name="AHU_Secondary_1">Builder!$E$181</definedName>
    <definedName name="AHU_Secondary_ATU_1">Builder!$E$187</definedName>
    <definedName name="AHU_Secondary_ATU_Build">Builder!$C$184</definedName>
    <definedName name="AHU_Secondary_ATU_Key">Builder!$F$187</definedName>
    <definedName name="AHU_Secondary_ATU_Let_1">Builder!$E$223</definedName>
    <definedName name="AHU_Secondary_ATU_Let_Key">Builder!$F$223</definedName>
    <definedName name="AHU_Secondary_ATU_Let_RNG">Builder!$E$223:$K$223</definedName>
    <definedName name="AHU_Secondary_ATU_Reset">Builder!$B$184</definedName>
    <definedName name="AHU_Secondary_ATU_RNG">Builder!$E$187:$AD$187</definedName>
    <definedName name="AHU_Secondary_Build">Builder!$C$178</definedName>
    <definedName name="AHU_Secondary_In_1">Builder!$E$217</definedName>
    <definedName name="AHU_Secondary_In_Key">Builder!$F$217</definedName>
    <definedName name="AHU_Secondary_In_RNG">Builder!$E$217:$K$217</definedName>
    <definedName name="AHU_Secondary_Key">Builder!$F$181</definedName>
    <definedName name="AHU_Secondary_Main_Rows">Builder!$D$178</definedName>
    <definedName name="AHU_Secondary_Reset">Builder!$B$178</definedName>
    <definedName name="AHU_Secondary_RNG">Builder!$E$181:$X$181</definedName>
    <definedName name="AHU_Supply_1">Builder!$E$51</definedName>
    <definedName name="AHU_Supply_ATU_1">Builder!$E$57</definedName>
    <definedName name="AHU_Supply_ATU_Area_Served">Builder!$I$57</definedName>
    <definedName name="AHU_Supply_ATU_BoxNo">Builder!$H$57</definedName>
    <definedName name="AHU_Supply_ATU_Build">Builder!$C$54</definedName>
    <definedName name="AHU_Supply_ATU_InletShape">Builder!$L$57</definedName>
    <definedName name="AHU_Supply_ATU_InletSize">Builder!$K$57</definedName>
    <definedName name="AHU_Supply_ATU_Key">Builder!$F$57</definedName>
    <definedName name="AHU_Supply_ATU_Let_1">Builder!$E$125</definedName>
    <definedName name="AHU_Supply_ATU_Let_Key">Builder!$F$125</definedName>
    <definedName name="AHU_Supply_ATU_Let_RNG">Builder!$E$125:$K$125</definedName>
    <definedName name="AHU_Supply_ATU_Location">Builder!$J$57</definedName>
    <definedName name="AHU_Supply_ATU_MFG">Builder!$M$57</definedName>
    <definedName name="AHU_Supply_ATU_ModelNo">Builder!$O$57</definedName>
    <definedName name="AHU_Supply_ATU_Reset">Builder!$B$54</definedName>
    <definedName name="AHU_Supply_ATU_RNG">Builder!$E$57:$AD$57</definedName>
    <definedName name="AHU_Supply_ATU_SheetType">Builder!$G$57</definedName>
    <definedName name="AHU_Supply_ATU_Type">Builder!$N$57</definedName>
    <definedName name="AHU_Supply_ATUNum">Builder!$X$51</definedName>
    <definedName name="AHU_Supply_BHP">Builder!$K$51</definedName>
    <definedName name="AHU_Supply_Build">Builder!$C$48</definedName>
    <definedName name="AHU_Supply_CFM">Builder!$G$51</definedName>
    <definedName name="AHU_Supply_CHWSum">Builder!$P$51</definedName>
    <definedName name="AHU_Supply_DRI_1">Builder!$E$131</definedName>
    <definedName name="AHU_Supply_DRI_Key">Builder!$F$131</definedName>
    <definedName name="AHU_Supply_DRI_RNG">Builder!$E$131:$K$131</definedName>
    <definedName name="AHU_Supply_DuctRetInNum">Builder!#REF!</definedName>
    <definedName name="AHU_Supply_DXSum">Builder!$R$51</definedName>
    <definedName name="AHU_Supply_ElecHeatSum">Builder!$T$51</definedName>
    <definedName name="AHU_Supply_ESP">Builder!$I$51</definedName>
    <definedName name="AHU_Supply_ExhaustTrav">Builder!#REF!</definedName>
    <definedName name="AHU_Supply_GasHeatSum">Builder!$U$51</definedName>
    <definedName name="AHU_Supply_HHWSum">Builder!$Q$51</definedName>
    <definedName name="AHU_Supply_HPSum">Builder!$S$51</definedName>
    <definedName name="AHU_Supply_Key">Builder!$F$51</definedName>
    <definedName name="AHU_Supply_Main_Rows">Builder!$D$48</definedName>
    <definedName name="AHU_Supply_NumOut">Builder!$W$51</definedName>
    <definedName name="AHU_Supply_Out_1">Builder!$E$63</definedName>
    <definedName name="AHU_Supply_Out_Key">Builder!$F$63</definedName>
    <definedName name="AHU_Supply_Out_RNG">Builder!$E$63:$K$63</definedName>
    <definedName name="AHU_Supply_OutsideCFM">Builder!$M$51</definedName>
    <definedName name="AHU_Supply_OutsideTrav">Builder!#REF!</definedName>
    <definedName name="AHU_Supply_ReliefTrav">Builder!#REF!</definedName>
    <definedName name="AHU_Supply_Reset">Builder!$B$48</definedName>
    <definedName name="AHU_Supply_ReturnCFM">Builder!$L$51</definedName>
    <definedName name="AHU_Supply_ReturnCurve">Builder!#REF!</definedName>
    <definedName name="AHU_Supply_ReturnTrav">Builder!#REF!</definedName>
    <definedName name="AHU_Supply_RNG">Builder!$E$51:$Y$51</definedName>
    <definedName name="AHU_Supply_RPM">Builder!$J$51</definedName>
    <definedName name="AHU_Supply_Sheet_Select">Builder!$V$51</definedName>
    <definedName name="AHU_Supply_SupCurve">Builder!$N$51</definedName>
    <definedName name="AHU_Supply_SupTrav">Builder!$O$51</definedName>
    <definedName name="AHU_Supply_TSP">Builder!$H$51</definedName>
    <definedName name="AHU_System_1" localSheetId="21">[1]Builder!$D$54</definedName>
    <definedName name="AHU_System_1" localSheetId="1">[2]Builder!$D$52</definedName>
    <definedName name="AHU_System_1" localSheetId="20">[1]Builder!$D$54</definedName>
    <definedName name="AHU_System_1" localSheetId="19">[1]Builder!$D$54</definedName>
    <definedName name="AHU_System_1">[3]Builder!$D$52</definedName>
    <definedName name="AHU_Type">Builder!#REF!</definedName>
    <definedName name="AHUInlet_CFM_1" localSheetId="21">[1]Builder!$J$100</definedName>
    <definedName name="AHUInlet_CFM_1" localSheetId="1">[2]Builder!$J$70</definedName>
    <definedName name="AHUInlet_CFM_1" localSheetId="20">[1]Builder!$J$100</definedName>
    <definedName name="AHUInlet_CFM_1" localSheetId="19">[1]Builder!$J$100</definedName>
    <definedName name="AHUInlet_CFM_1">[3]Builder!$J$75</definedName>
    <definedName name="AHUOutlet_CFM_1" localSheetId="21">[1]Builder!$J$70</definedName>
    <definedName name="AHUOutlet_CFM_1" localSheetId="1">[2]Builder!$J$58</definedName>
    <definedName name="AHUOutlet_CFM_1" localSheetId="20">[1]Builder!$J$70</definedName>
    <definedName name="AHUOutlet_CFM_1" localSheetId="19">[1]Builder!$J$70</definedName>
    <definedName name="AHUOutlet_CFM_1">[3]Builder!$J$59</definedName>
    <definedName name="ATU_CLGMAX_1" localSheetId="21">[1]Builder!$O$54</definedName>
    <definedName name="ATU_CLGMAX_1" localSheetId="1">[2]Builder!$O$52</definedName>
    <definedName name="ATU_CLGMAX_1" localSheetId="20">[1]Builder!$O$54</definedName>
    <definedName name="ATU_CLGMAX_1" localSheetId="19">[1]Builder!$O$54</definedName>
    <definedName name="ATU_CLGMAX_1">[3]Builder!$O$52</definedName>
    <definedName name="ATU_Num_Outlets_1" localSheetId="21">[1]Builder!$AH$54</definedName>
    <definedName name="ATU_Num_Outlets_1" localSheetId="1">[2]Builder!$AI$52</definedName>
    <definedName name="ATU_Num_Outlets_1" localSheetId="20">[1]Builder!$AH$54</definedName>
    <definedName name="ATU_Num_Outlets_1" localSheetId="19">[1]Builder!$AH$54</definedName>
    <definedName name="ATU_Num_Outlets_1">[3]Builder!$AI$52</definedName>
    <definedName name="ATU_Outlet_Reference" localSheetId="21">[1]Builder!$D$73</definedName>
    <definedName name="ATU_Outlet_Reference" localSheetId="1">[2]Builder!$D$61</definedName>
    <definedName name="ATU_Outlet_Reference" localSheetId="20">[1]Builder!$D$73</definedName>
    <definedName name="ATU_Outlet_Reference" localSheetId="19">[1]Builder!$D$73</definedName>
    <definedName name="ATU_Outlet_Reference">[3]Builder!$D$62</definedName>
    <definedName name="ATU_Reference" localSheetId="21">[1]Builder!$D$51</definedName>
    <definedName name="ATU_Reference" localSheetId="1">[2]Builder!$D$49</definedName>
    <definedName name="ATU_Reference" localSheetId="20">[1]Builder!$D$51</definedName>
    <definedName name="ATU_Reference" localSheetId="19">[1]Builder!$D$51</definedName>
    <definedName name="ATU_Reference">[3]Builder!$D$49</definedName>
    <definedName name="ATUOutlet_1" localSheetId="21">[1]Builder!$D$76</definedName>
    <definedName name="ATUOutlet_1" localSheetId="1">[2]Builder!$D$64</definedName>
    <definedName name="ATUOutlet_1" localSheetId="20">[1]Builder!$D$76</definedName>
    <definedName name="ATUOutlet_1" localSheetId="19">[1]Builder!$D$76</definedName>
    <definedName name="ATUOutlet_1">[3]Builder!$D$65</definedName>
    <definedName name="ATUOutlet_CFM_1" localSheetId="21">[1]Builder!$J$76</definedName>
    <definedName name="ATUOutlet_CFM_1" localSheetId="1">[2]Builder!$J$64</definedName>
    <definedName name="ATUOutlet_CFM_1" localSheetId="20">[1]Builder!$J$76</definedName>
    <definedName name="ATUOutlet_CFM_1" localSheetId="19">[1]Builder!$J$76</definedName>
    <definedName name="ATUOutlet_CFM_1">[3]Builder!$J$65</definedName>
    <definedName name="BOILER_1" localSheetId="21">[1]Builder!$D$283</definedName>
    <definedName name="BOILER_1" localSheetId="1">[2]Builder!$D$253</definedName>
    <definedName name="BOILER_1" localSheetId="20">[1]Builder!$D$283</definedName>
    <definedName name="BOILER_1" localSheetId="19">[1]Builder!$D$283</definedName>
    <definedName name="BOILER_1">[3]Builder!$D$282</definedName>
    <definedName name="BOILER_ENT_PRES_1" localSheetId="22">[3]Builder!#REF!</definedName>
    <definedName name="BOILER_ENT_PRES_1" localSheetId="18">[4]Builder!#REF!</definedName>
    <definedName name="BOILER_ENT_PRES_1" localSheetId="16">[4]Builder!#REF!</definedName>
    <definedName name="BOILER_ENT_PRES_1" localSheetId="10">[5]Builder!#REF!</definedName>
    <definedName name="BOILER_ENT_PRES_1" localSheetId="9">[3]Builder!#REF!</definedName>
    <definedName name="BOILER_GPM_1" localSheetId="22">[3]Builder!#REF!</definedName>
    <definedName name="BOILER_GPM_1" localSheetId="18">[4]Builder!#REF!</definedName>
    <definedName name="BOILER_GPM_1" localSheetId="16">[4]Builder!#REF!</definedName>
    <definedName name="BOILER_GPM_1" localSheetId="10">[5]Builder!#REF!</definedName>
    <definedName name="BOILER_GPM_1" localSheetId="9">[3]Builder!#REF!</definedName>
    <definedName name="BOILER_Reference" localSheetId="21">[1]Builder!$D$280</definedName>
    <definedName name="BOILER_Reference" localSheetId="1">[2]Builder!$D$250</definedName>
    <definedName name="BOILER_Reference" localSheetId="20">[1]Builder!$D$280</definedName>
    <definedName name="BOILER_Reference" localSheetId="19">[1]Builder!$D$280</definedName>
    <definedName name="BOILER_Reference">[3]Builder!$D$279</definedName>
    <definedName name="Build_All">Builder!$C$550</definedName>
    <definedName name="CHILLER_1" localSheetId="21">[1]Builder!$D$247</definedName>
    <definedName name="CHILLER_1" localSheetId="1">[2]Builder!$D$217</definedName>
    <definedName name="CHILLER_1" localSheetId="20">[1]Builder!$D$247</definedName>
    <definedName name="CHILLER_1" localSheetId="19">[1]Builder!$D$247</definedName>
    <definedName name="CHILLER_1">[3]Builder!$D$246</definedName>
    <definedName name="CHILLER_Reference" localSheetId="21">[1]Builder!$D$244</definedName>
    <definedName name="CHILLER_Reference" localSheetId="1">[2]Builder!$D$214</definedName>
    <definedName name="CHILLER_Reference" localSheetId="20">[1]Builder!$D$244</definedName>
    <definedName name="CHILLER_Reference" localSheetId="19">[1]Builder!$D$244</definedName>
    <definedName name="CHILLER_Reference">[3]Builder!$D$243</definedName>
    <definedName name="CHW_Reference" localSheetId="21">[1]Builder!$D$287</definedName>
    <definedName name="CHW_Reference" localSheetId="1">[2]Builder!$D$257</definedName>
    <definedName name="CHW_Reference" localSheetId="20">[1]Builder!$D$287</definedName>
    <definedName name="CHW_Reference" localSheetId="19">[1]Builder!$D$287</definedName>
    <definedName name="CHW_Reference">[3]Builder!$D$286</definedName>
    <definedName name="CHWP_1" localSheetId="21">[1]Builder!$D$254</definedName>
    <definedName name="CHWP_1" localSheetId="1">[2]Builder!$D$224</definedName>
    <definedName name="CHWP_1" localSheetId="20">[1]Builder!$D$254</definedName>
    <definedName name="CHWP_1" localSheetId="19">[1]Builder!$D$254</definedName>
    <definedName name="CHWP_1">[3]Builder!$D$253</definedName>
    <definedName name="CHWP_Reference" localSheetId="21">[1]Builder!$D$251</definedName>
    <definedName name="CHWP_Reference" localSheetId="1">[2]Builder!$D$221</definedName>
    <definedName name="CHWP_Reference" localSheetId="20">[1]Builder!$D$251</definedName>
    <definedName name="CHWP_Reference" localSheetId="19">[1]Builder!$D$251</definedName>
    <definedName name="CHWP_Reference">[3]Builder!$D$250</definedName>
    <definedName name="CLIENTLOGO" localSheetId="14">CURVEMT!$A$34</definedName>
    <definedName name="CLIENTLOGO" localSheetId="6">CURVEMT!$A$34</definedName>
    <definedName name="CLIENTLOGO" localSheetId="21">[1]CURVEMT!$A$34</definedName>
    <definedName name="CLIENTLOGO" localSheetId="1">FLYERMT!$A$34</definedName>
    <definedName name="CLIENTLOGO" localSheetId="22">#REF!</definedName>
    <definedName name="CLIENTLOGO" localSheetId="7">CURVEMT!$A$34</definedName>
    <definedName name="CLIENTLOGO" localSheetId="20">[1]CURVEMT!$A$34</definedName>
    <definedName name="CLIENTLOGO" localSheetId="19">[1]CURVEMT!$A$34</definedName>
    <definedName name="CLIENTLOGO" localSheetId="10">[5]CURVEMT!$A$34</definedName>
    <definedName name="CLIENTLOGO" localSheetId="9">CURVEMT!$A$34</definedName>
    <definedName name="CLIENTLOGO" localSheetId="8">CURVEMT!$A$34</definedName>
    <definedName name="CLIENTLOGO">#REF!</definedName>
    <definedName name="CRAC_1" localSheetId="21">[1]Builder!$D$176</definedName>
    <definedName name="CRAC_1" localSheetId="1">[2]Builder!$D$146</definedName>
    <definedName name="CRAC_1" localSheetId="20">[1]Builder!$D$176</definedName>
    <definedName name="CRAC_1" localSheetId="19">[1]Builder!$D$176</definedName>
    <definedName name="CRAC_1">[3]Builder!$D$152</definedName>
    <definedName name="CRAC_Inlet_Reference" localSheetId="21">[1]Builder!$D$185</definedName>
    <definedName name="CRAC_Inlet_Reference" localSheetId="1">[2]Builder!$D$155</definedName>
    <definedName name="CRAC_Inlet_Reference" localSheetId="20">[1]Builder!$D$185</definedName>
    <definedName name="CRAC_Inlet_Reference" localSheetId="19">[1]Builder!$D$185</definedName>
    <definedName name="CRAC_Inlet_Reference">[3]Builder!$D$161</definedName>
    <definedName name="CRAC_InletSum_1" localSheetId="21">[1]Builder!$D$188</definedName>
    <definedName name="CRAC_InletSum_1" localSheetId="1">[2]Builder!$D$158</definedName>
    <definedName name="CRAC_InletSum_1" localSheetId="20">[1]Builder!$D$188</definedName>
    <definedName name="CRAC_InletSum_1" localSheetId="19">[1]Builder!$D$188</definedName>
    <definedName name="CRAC_InletSum_1">[3]Builder!$D$164</definedName>
    <definedName name="CRAC_InletSum_CFM" localSheetId="21">[1]Builder!$J$188</definedName>
    <definedName name="CRAC_InletSum_CFM" localSheetId="1">[2]Builder!$J$158</definedName>
    <definedName name="CRAC_InletSum_CFM" localSheetId="20">[1]Builder!$J$188</definedName>
    <definedName name="CRAC_InletSum_CFM" localSheetId="19">[1]Builder!$J$188</definedName>
    <definedName name="CRAC_InletSum_CFM">[3]Builder!$J$164</definedName>
    <definedName name="CRAC_Num_Inlets_1" localSheetId="21">[1]Builder!$AC$176</definedName>
    <definedName name="CRAC_Num_Inlets_1" localSheetId="1">[2]Builder!$AD$146</definedName>
    <definedName name="CRAC_Num_Inlets_1" localSheetId="20">[1]Builder!$AC$176</definedName>
    <definedName name="CRAC_Num_Inlets_1" localSheetId="19">[1]Builder!$AC$176</definedName>
    <definedName name="CRAC_Num_Inlets_1">[3]Builder!$AD$152</definedName>
    <definedName name="CRAC_Num_Outlets_1" localSheetId="21">[1]Builder!$AB$176</definedName>
    <definedName name="CRAC_Num_Outlets_1" localSheetId="1">[2]Builder!$AC$146</definedName>
    <definedName name="CRAC_Num_Outlets_1" localSheetId="20">[1]Builder!$AB$176</definedName>
    <definedName name="CRAC_Num_Outlets_1" localSheetId="19">[1]Builder!$AB$176</definedName>
    <definedName name="CRAC_Num_Outlets_1">[3]Builder!$AC$152</definedName>
    <definedName name="CRAC_Outlet_Reference" localSheetId="21">[1]Builder!$D$179</definedName>
    <definedName name="CRAC_Outlet_Reference" localSheetId="1">[2]Builder!$D$149</definedName>
    <definedName name="CRAC_Outlet_Reference" localSheetId="20">[1]Builder!$D$179</definedName>
    <definedName name="CRAC_Outlet_Reference" localSheetId="19">[1]Builder!$D$179</definedName>
    <definedName name="CRAC_Outlet_Reference">[3]Builder!$D$155</definedName>
    <definedName name="CRAC_OutletSum_1" localSheetId="21">[1]Builder!$D$182</definedName>
    <definedName name="CRAC_OutletSum_1" localSheetId="1">[2]Builder!$D$152</definedName>
    <definedName name="CRAC_OutletSum_1" localSheetId="20">[1]Builder!$D$182</definedName>
    <definedName name="CRAC_OutletSum_1" localSheetId="19">[1]Builder!$D$182</definedName>
    <definedName name="CRAC_OutletSum_1">[3]Builder!$D$158</definedName>
    <definedName name="CRAC_OutletSum_CFM" localSheetId="21">[1]Builder!$J$182</definedName>
    <definedName name="CRAC_OutletSum_CFM" localSheetId="1">[2]Builder!$J$152</definedName>
    <definedName name="CRAC_OutletSum_CFM" localSheetId="20">[1]Builder!$J$182</definedName>
    <definedName name="CRAC_OutletSum_CFM" localSheetId="19">[1]Builder!$J$182</definedName>
    <definedName name="CRAC_OutletSum_CFM">[3]Builder!$J$158</definedName>
    <definedName name="CRAC_Reference" localSheetId="21">[1]Builder!$D$173</definedName>
    <definedName name="CRAC_Reference" localSheetId="1">[2]Builder!$D$143</definedName>
    <definedName name="CRAC_Reference" localSheetId="20">[1]Builder!$D$173</definedName>
    <definedName name="CRAC_Reference" localSheetId="19">[1]Builder!$D$173</definedName>
    <definedName name="CRAC_Reference">[3]Builder!$D$149</definedName>
    <definedName name="CT_1" localSheetId="21">[1]Builder!$D$276</definedName>
    <definedName name="CT_1" localSheetId="1">[2]Builder!$D$246</definedName>
    <definedName name="CT_1" localSheetId="20">[1]Builder!$D$276</definedName>
    <definedName name="CT_1" localSheetId="19">[1]Builder!$D$276</definedName>
    <definedName name="CT_1">[3]Builder!$D$275</definedName>
    <definedName name="CT_Reference" localSheetId="21">[1]Builder!$D$272</definedName>
    <definedName name="CT_Reference" localSheetId="1">[2]Builder!$D$242</definedName>
    <definedName name="CT_Reference" localSheetId="20">[1]Builder!$D$272</definedName>
    <definedName name="CT_Reference" localSheetId="19">[1]Builder!$D$272</definedName>
    <definedName name="CT_Reference">[3]Builder!$D$271</definedName>
    <definedName name="CW_Reference" localSheetId="21">[1]Builder!#REF!</definedName>
    <definedName name="CW_Reference" localSheetId="1">[2]Builder!#REF!</definedName>
    <definedName name="CW_Reference" localSheetId="22">[3]Builder!#REF!</definedName>
    <definedName name="CW_Reference" localSheetId="18">[4]Builder!#REF!</definedName>
    <definedName name="CW_Reference" localSheetId="20">[1]Builder!#REF!</definedName>
    <definedName name="CW_Reference" localSheetId="19">[1]Builder!#REF!</definedName>
    <definedName name="CW_Reference" localSheetId="16">[4]Builder!#REF!</definedName>
    <definedName name="CW_Reference" localSheetId="10">[5]Builder!#REF!</definedName>
    <definedName name="CW_Reference" localSheetId="9">[3]Builder!#REF!</definedName>
    <definedName name="CW_Reference">[3]Builder!#REF!</definedName>
    <definedName name="CW_Rows" localSheetId="21">[1]Builder!#REF!</definedName>
    <definedName name="CW_Rows" localSheetId="1">[2]Builder!#REF!</definedName>
    <definedName name="CW_Rows" localSheetId="22">[3]Builder!#REF!</definedName>
    <definedName name="CW_Rows" localSheetId="18">[4]Builder!#REF!</definedName>
    <definedName name="CW_Rows" localSheetId="20">[1]Builder!#REF!</definedName>
    <definedName name="CW_Rows" localSheetId="19">[1]Builder!#REF!</definedName>
    <definedName name="CW_Rows" localSheetId="16">[4]Builder!#REF!</definedName>
    <definedName name="CW_Rows" localSheetId="10">[5]Builder!#REF!</definedName>
    <definedName name="CW_Rows" localSheetId="9">[3]Builder!#REF!</definedName>
    <definedName name="CW_Rows">[3]Builder!#REF!</definedName>
    <definedName name="CWC_1" localSheetId="21">[1]Builder!#REF!</definedName>
    <definedName name="CWC_1" localSheetId="1">[2]Builder!#REF!</definedName>
    <definedName name="CWC_1" localSheetId="22">[3]Builder!#REF!</definedName>
    <definedName name="CWC_1" localSheetId="18">[4]Builder!#REF!</definedName>
    <definedName name="CWC_1" localSheetId="20">[1]Builder!#REF!</definedName>
    <definedName name="CWC_1" localSheetId="19">[1]Builder!#REF!</definedName>
    <definedName name="CWC_1" localSheetId="16">[4]Builder!#REF!</definedName>
    <definedName name="CWC_1" localSheetId="10">[5]Builder!#REF!</definedName>
    <definedName name="CWC_1" localSheetId="9">[3]Builder!#REF!</definedName>
    <definedName name="CWC_1">[3]Builder!#REF!</definedName>
    <definedName name="CWC_Area_1" localSheetId="21">[1]Builder!#REF!</definedName>
    <definedName name="CWC_Area_1" localSheetId="1">[2]Builder!#REF!</definedName>
    <definedName name="CWC_Area_1" localSheetId="22">[3]Builder!#REF!</definedName>
    <definedName name="CWC_Area_1" localSheetId="18">[4]Builder!#REF!</definedName>
    <definedName name="CWC_Area_1" localSheetId="20">[1]Builder!#REF!</definedName>
    <definedName name="CWC_Area_1" localSheetId="19">[1]Builder!#REF!</definedName>
    <definedName name="CWC_Area_1" localSheetId="16">[4]Builder!#REF!</definedName>
    <definedName name="CWC_Area_1" localSheetId="10">[5]Builder!#REF!</definedName>
    <definedName name="CWC_Area_1" localSheetId="9">[3]Builder!#REF!</definedName>
    <definedName name="CWC_Area_1">[3]Builder!#REF!</definedName>
    <definedName name="CWC_CFM_1" localSheetId="21">[1]Builder!#REF!</definedName>
    <definedName name="CWC_CFM_1" localSheetId="1">[2]Builder!#REF!</definedName>
    <definedName name="CWC_CFM_1" localSheetId="22">[3]Builder!#REF!</definedName>
    <definedName name="CWC_CFM_1" localSheetId="18">[4]Builder!#REF!</definedName>
    <definedName name="CWC_CFM_1" localSheetId="20">[1]Builder!#REF!</definedName>
    <definedName name="CWC_CFM_1" localSheetId="19">[1]Builder!#REF!</definedName>
    <definedName name="CWC_CFM_1" localSheetId="16">[4]Builder!#REF!</definedName>
    <definedName name="CWC_CFM_1" localSheetId="10">[5]Builder!#REF!</definedName>
    <definedName name="CWC_CFM_1" localSheetId="9">[3]Builder!#REF!</definedName>
    <definedName name="CWC_CFM_1">[3]Builder!#REF!</definedName>
    <definedName name="CWC_EAT_DB_1" localSheetId="21">[1]Builder!#REF!</definedName>
    <definedName name="CWC_EAT_DB_1" localSheetId="1">[2]Builder!#REF!</definedName>
    <definedName name="CWC_EAT_DB_1" localSheetId="22">[3]Builder!#REF!</definedName>
    <definedName name="CWC_EAT_DB_1" localSheetId="18">[4]Builder!#REF!</definedName>
    <definedName name="CWC_EAT_DB_1" localSheetId="20">[1]Builder!#REF!</definedName>
    <definedName name="CWC_EAT_DB_1" localSheetId="19">[1]Builder!#REF!</definedName>
    <definedName name="CWC_EAT_DB_1" localSheetId="16">[4]Builder!#REF!</definedName>
    <definedName name="CWC_EAT_DB_1" localSheetId="10">[5]Builder!#REF!</definedName>
    <definedName name="CWC_EAT_DB_1" localSheetId="9">[3]Builder!#REF!</definedName>
    <definedName name="CWC_EAT_DB_1">[3]Builder!#REF!</definedName>
    <definedName name="CWC_EAT_WB_1" localSheetId="21">[1]Builder!#REF!</definedName>
    <definedName name="CWC_EAT_WB_1" localSheetId="1">[2]Builder!#REF!</definedName>
    <definedName name="CWC_EAT_WB_1" localSheetId="22">[3]Builder!#REF!</definedName>
    <definedName name="CWC_EAT_WB_1" localSheetId="18">[4]Builder!#REF!</definedName>
    <definedName name="CWC_EAT_WB_1" localSheetId="20">[1]Builder!#REF!</definedName>
    <definedName name="CWC_EAT_WB_1" localSheetId="19">[1]Builder!#REF!</definedName>
    <definedName name="CWC_EAT_WB_1" localSheetId="16">[4]Builder!#REF!</definedName>
    <definedName name="CWC_EAT_WB_1" localSheetId="10">[5]Builder!#REF!</definedName>
    <definedName name="CWC_EAT_WB_1" localSheetId="9">[3]Builder!#REF!</definedName>
    <definedName name="CWC_EAT_WB_1">[3]Builder!#REF!</definedName>
    <definedName name="CWC_EWT_1" localSheetId="21">[1]Builder!#REF!</definedName>
    <definedName name="CWC_EWT_1" localSheetId="1">[2]Builder!#REF!</definedName>
    <definedName name="CWC_EWT_1" localSheetId="22">[3]Builder!#REF!</definedName>
    <definedName name="CWC_EWT_1" localSheetId="18">[4]Builder!#REF!</definedName>
    <definedName name="CWC_EWT_1" localSheetId="20">[1]Builder!#REF!</definedName>
    <definedName name="CWC_EWT_1" localSheetId="19">[1]Builder!#REF!</definedName>
    <definedName name="CWC_EWT_1" localSheetId="16">[4]Builder!#REF!</definedName>
    <definedName name="CWC_EWT_1" localSheetId="10">[5]Builder!#REF!</definedName>
    <definedName name="CWC_EWT_1" localSheetId="9">[3]Builder!#REF!</definedName>
    <definedName name="CWC_EWT_1">[3]Builder!#REF!</definedName>
    <definedName name="CWC_GPM_1" localSheetId="21">[1]Builder!#REF!</definedName>
    <definedName name="CWC_GPM_1" localSheetId="1">[2]Builder!#REF!</definedName>
    <definedName name="CWC_GPM_1" localSheetId="22">[3]Builder!#REF!</definedName>
    <definedName name="CWC_GPM_1" localSheetId="18">[4]Builder!#REF!</definedName>
    <definedName name="CWC_GPM_1" localSheetId="20">[1]Builder!#REF!</definedName>
    <definedName name="CWC_GPM_1" localSheetId="19">[1]Builder!#REF!</definedName>
    <definedName name="CWC_GPM_1" localSheetId="16">[4]Builder!#REF!</definedName>
    <definedName name="CWC_GPM_1" localSheetId="10">[5]Builder!#REF!</definedName>
    <definedName name="CWC_GPM_1" localSheetId="9">[3]Builder!#REF!</definedName>
    <definedName name="CWC_GPM_1">[3]Builder!#REF!</definedName>
    <definedName name="CWC_Key_1" localSheetId="21">[1]Builder!#REF!</definedName>
    <definedName name="CWC_Key_1" localSheetId="1">[2]Builder!#REF!</definedName>
    <definedName name="CWC_Key_1" localSheetId="22">[3]Builder!#REF!</definedName>
    <definedName name="CWC_Key_1" localSheetId="18">[4]Builder!#REF!</definedName>
    <definedName name="CWC_Key_1" localSheetId="20">[1]Builder!#REF!</definedName>
    <definedName name="CWC_Key_1" localSheetId="19">[1]Builder!#REF!</definedName>
    <definedName name="CWC_Key_1" localSheetId="16">[4]Builder!#REF!</definedName>
    <definedName name="CWC_Key_1" localSheetId="10">[5]Builder!#REF!</definedName>
    <definedName name="CWC_Key_1" localSheetId="9">[3]Builder!#REF!</definedName>
    <definedName name="CWC_Key_1">[3]Builder!#REF!</definedName>
    <definedName name="CWC_LAT_DB_1" localSheetId="21">[1]Builder!#REF!</definedName>
    <definedName name="CWC_LAT_DB_1" localSheetId="1">[2]Builder!#REF!</definedName>
    <definedName name="CWC_LAT_DB_1" localSheetId="22">[3]Builder!#REF!</definedName>
    <definedName name="CWC_LAT_DB_1" localSheetId="18">[4]Builder!#REF!</definedName>
    <definedName name="CWC_LAT_DB_1" localSheetId="20">[1]Builder!#REF!</definedName>
    <definedName name="CWC_LAT_DB_1" localSheetId="19">[1]Builder!#REF!</definedName>
    <definedName name="CWC_LAT_DB_1" localSheetId="16">[4]Builder!#REF!</definedName>
    <definedName name="CWC_LAT_DB_1" localSheetId="10">[5]Builder!#REF!</definedName>
    <definedName name="CWC_LAT_DB_1" localSheetId="9">[3]Builder!#REF!</definedName>
    <definedName name="CWC_LAT_DB_1">[3]Builder!#REF!</definedName>
    <definedName name="CWC_LAT_WB_1" localSheetId="21">[1]Builder!#REF!</definedName>
    <definedName name="CWC_LAT_WB_1" localSheetId="1">[2]Builder!#REF!</definedName>
    <definedName name="CWC_LAT_WB_1" localSheetId="22">[3]Builder!#REF!</definedName>
    <definedName name="CWC_LAT_WB_1" localSheetId="18">[4]Builder!#REF!</definedName>
    <definedName name="CWC_LAT_WB_1" localSheetId="20">[1]Builder!#REF!</definedName>
    <definedName name="CWC_LAT_WB_1" localSheetId="19">[1]Builder!#REF!</definedName>
    <definedName name="CWC_LAT_WB_1" localSheetId="16">[4]Builder!#REF!</definedName>
    <definedName name="CWC_LAT_WB_1" localSheetId="10">[5]Builder!#REF!</definedName>
    <definedName name="CWC_LAT_WB_1" localSheetId="9">[3]Builder!#REF!</definedName>
    <definedName name="CWC_LAT_WB_1">[3]Builder!#REF!</definedName>
    <definedName name="CWC_LWT_1" localSheetId="21">[1]Builder!#REF!</definedName>
    <definedName name="CWC_LWT_1" localSheetId="1">[2]Builder!#REF!</definedName>
    <definedName name="CWC_LWT_1" localSheetId="22">[3]Builder!#REF!</definedName>
    <definedName name="CWC_LWT_1" localSheetId="18">[4]Builder!#REF!</definedName>
    <definedName name="CWC_LWT_1" localSheetId="20">[1]Builder!#REF!</definedName>
    <definedName name="CWC_LWT_1" localSheetId="19">[1]Builder!#REF!</definedName>
    <definedName name="CWC_LWT_1" localSheetId="16">[4]Builder!#REF!</definedName>
    <definedName name="CWC_LWT_1" localSheetId="10">[5]Builder!#REF!</definedName>
    <definedName name="CWC_LWT_1" localSheetId="9">[3]Builder!#REF!</definedName>
    <definedName name="CWC_LWT_1">[3]Builder!#REF!</definedName>
    <definedName name="CWC_MBH_1" localSheetId="21">[1]Builder!#REF!</definedName>
    <definedName name="CWC_MBH_1" localSheetId="1">[2]Builder!#REF!</definedName>
    <definedName name="CWC_MBH_1" localSheetId="22">[3]Builder!#REF!</definedName>
    <definedName name="CWC_MBH_1" localSheetId="18">[4]Builder!#REF!</definedName>
    <definedName name="CWC_MBH_1" localSheetId="20">[1]Builder!#REF!</definedName>
    <definedName name="CWC_MBH_1" localSheetId="19">[1]Builder!#REF!</definedName>
    <definedName name="CWC_MBH_1" localSheetId="16">[4]Builder!#REF!</definedName>
    <definedName name="CWC_MBH_1" localSheetId="10">[5]Builder!#REF!</definedName>
    <definedName name="CWC_MBH_1" localSheetId="9">[3]Builder!#REF!</definedName>
    <definedName name="CWC_MBH_1">[3]Builder!#REF!</definedName>
    <definedName name="CWC_PD_1" localSheetId="21">[1]Builder!#REF!</definedName>
    <definedName name="CWC_PD_1" localSheetId="1">[2]Builder!#REF!</definedName>
    <definedName name="CWC_PD_1" localSheetId="22">[3]Builder!#REF!</definedName>
    <definedName name="CWC_PD_1" localSheetId="18">[4]Builder!#REF!</definedName>
    <definedName name="CWC_PD_1" localSheetId="20">[1]Builder!#REF!</definedName>
    <definedName name="CWC_PD_1" localSheetId="19">[1]Builder!#REF!</definedName>
    <definedName name="CWC_PD_1" localSheetId="16">[4]Builder!#REF!</definedName>
    <definedName name="CWC_PD_1" localSheetId="10">[5]Builder!#REF!</definedName>
    <definedName name="CWC_PD_1" localSheetId="9">[3]Builder!#REF!</definedName>
    <definedName name="CWC_PD_1">[3]Builder!#REF!</definedName>
    <definedName name="CWP_1" localSheetId="21">[1]Builder!$D$261</definedName>
    <definedName name="CWP_1" localSheetId="1">[2]Builder!$D$231</definedName>
    <definedName name="CWP_1" localSheetId="20">[1]Builder!$D$261</definedName>
    <definedName name="CWP_1" localSheetId="19">[1]Builder!$D$261</definedName>
    <definedName name="CWP_1">[3]Builder!$D$260</definedName>
    <definedName name="CWP_Reference" localSheetId="21">[1]Builder!$D$258</definedName>
    <definedName name="CWP_Reference" localSheetId="1">[2]Builder!$D$228</definedName>
    <definedName name="CWP_Reference" localSheetId="20">[1]Builder!$D$258</definedName>
    <definedName name="CWP_Reference" localSheetId="19">[1]Builder!$D$258</definedName>
    <definedName name="CWP_Reference">[3]Builder!$D$257</definedName>
    <definedName name="DUR_AC" localSheetId="21">[1]DURATIONS!$B$13</definedName>
    <definedName name="DUR_AC" localSheetId="1">[2]DURATIONS!$B$13</definedName>
    <definedName name="DUR_AC" localSheetId="20">[1]DURATIONS!$B$13</definedName>
    <definedName name="DUR_AC" localSheetId="19">[1]DURATIONS!$B$13</definedName>
    <definedName name="DUR_AC">[3]DURATIONS!$B$13</definedName>
    <definedName name="DUR_AHU" localSheetId="21">[1]DURATIONS!$B$10</definedName>
    <definedName name="DUR_AHU" localSheetId="1">[2]DURATIONS!$B$10</definedName>
    <definedName name="DUR_AHU" localSheetId="20">[1]DURATIONS!$B$10</definedName>
    <definedName name="DUR_AHU" localSheetId="19">[1]DURATIONS!$B$10</definedName>
    <definedName name="DUR_AHU">[3]DURATIONS!$B$10</definedName>
    <definedName name="DUR_ATU" localSheetId="21">[1]DURATIONS!$B$17</definedName>
    <definedName name="DUR_ATU" localSheetId="1">[2]DURATIONS!$B$17</definedName>
    <definedName name="DUR_ATU" localSheetId="20">[1]DURATIONS!$B$17</definedName>
    <definedName name="DUR_ATU" localSheetId="19">[1]DURATIONS!$B$17</definedName>
    <definedName name="DUR_ATU">[3]DURATIONS!$B$17</definedName>
    <definedName name="DUR_BOILER" localSheetId="21">[1]DURATIONS!$B$24</definedName>
    <definedName name="DUR_BOILER" localSheetId="1">[2]DURATIONS!$B$24</definedName>
    <definedName name="DUR_BOILER" localSheetId="20">[1]DURATIONS!$B$24</definedName>
    <definedName name="DUR_BOILER" localSheetId="19">[1]DURATIONS!$B$24</definedName>
    <definedName name="DUR_BOILER">[3]DURATIONS!$B$24</definedName>
    <definedName name="DUR_CHILLER" localSheetId="21">[1]DURATIONS!$B$21</definedName>
    <definedName name="DUR_CHILLER" localSheetId="1">[2]DURATIONS!$B$21</definedName>
    <definedName name="DUR_CHILLER" localSheetId="20">[1]DURATIONS!$B$21</definedName>
    <definedName name="DUR_CHILLER" localSheetId="19">[1]DURATIONS!$B$21</definedName>
    <definedName name="DUR_CHILLER">[3]DURATIONS!$B$21</definedName>
    <definedName name="DUR_CHWCOIL" localSheetId="21">[1]DURATIONS!$B$25</definedName>
    <definedName name="DUR_CHWCOIL" localSheetId="1">[2]DURATIONS!$B$25</definedName>
    <definedName name="DUR_CHWCOIL" localSheetId="20">[1]DURATIONS!$B$25</definedName>
    <definedName name="DUR_CHWCOIL" localSheetId="19">[1]DURATIONS!$B$25</definedName>
    <definedName name="DUR_CHWCOIL">[3]DURATIONS!$B$25</definedName>
    <definedName name="DUR_CRAC" localSheetId="21">[1]DURATIONS!$B$14</definedName>
    <definedName name="DUR_CRAC" localSheetId="1">[2]DURATIONS!$B$14</definedName>
    <definedName name="DUR_CRAC" localSheetId="20">[1]DURATIONS!$B$14</definedName>
    <definedName name="DUR_CRAC" localSheetId="19">[1]DURATIONS!$B$14</definedName>
    <definedName name="DUR_CRAC">[3]DURATIONS!$B$14</definedName>
    <definedName name="DUR_CT" localSheetId="21">[1]DURATIONS!$B$23</definedName>
    <definedName name="DUR_CT" localSheetId="1">[2]DURATIONS!$B$23</definedName>
    <definedName name="DUR_CT" localSheetId="20">[1]DURATIONS!$B$23</definedName>
    <definedName name="DUR_CT" localSheetId="19">[1]DURATIONS!$B$23</definedName>
    <definedName name="DUR_CT">[3]DURATIONS!$B$23</definedName>
    <definedName name="DUR_DXCOIL" localSheetId="21">[1]DURATIONS!$B$27</definedName>
    <definedName name="DUR_DXCOIL" localSheetId="1">[2]DURATIONS!$B$27</definedName>
    <definedName name="DUR_DXCOIL" localSheetId="20">[1]DURATIONS!$B$27</definedName>
    <definedName name="DUR_DXCOIL" localSheetId="19">[1]DURATIONS!$B$27</definedName>
    <definedName name="DUR_DXCOIL">[3]DURATIONS!$B$27</definedName>
    <definedName name="DUR_ELECHEATCOIL" localSheetId="21">[1]DURATIONS!$B$28</definedName>
    <definedName name="DUR_ELECHEATCOIL" localSheetId="1">[2]DURATIONS!$B$29</definedName>
    <definedName name="DUR_ELECHEATCOIL" localSheetId="20">[1]DURATIONS!$B$28</definedName>
    <definedName name="DUR_ELECHEATCOIL" localSheetId="19">[1]DURATIONS!$B$28</definedName>
    <definedName name="DUR_ELECHEATCOIL">[3]DURATIONS!$B$29</definedName>
    <definedName name="DUR_ERV" localSheetId="21">[1]DURATIONS!$B$15</definedName>
    <definedName name="DUR_ERV" localSheetId="1">[2]DURATIONS!$B$15</definedName>
    <definedName name="DUR_ERV" localSheetId="20">[1]DURATIONS!$B$15</definedName>
    <definedName name="DUR_ERV" localSheetId="19">[1]DURATIONS!$B$15</definedName>
    <definedName name="DUR_ERV">[3]DURATIONS!$B$15</definedName>
    <definedName name="DUR_FAN" localSheetId="21">[1]DURATIONS!$B$16</definedName>
    <definedName name="DUR_FAN" localSheetId="1">[2]DURATIONS!$B$16</definedName>
    <definedName name="DUR_FAN" localSheetId="20">[1]DURATIONS!$B$16</definedName>
    <definedName name="DUR_FAN" localSheetId="19">[1]DURATIONS!$B$16</definedName>
    <definedName name="DUR_FAN">[3]DURATIONS!$B$16</definedName>
    <definedName name="DUR_FCU" localSheetId="21">[1]DURATIONS!$B$12</definedName>
    <definedName name="DUR_FCU" localSheetId="1">[2]DURATIONS!$B$12</definedName>
    <definedName name="DUR_FCU" localSheetId="20">[1]DURATIONS!$B$12</definedName>
    <definedName name="DUR_FCU" localSheetId="19">[1]DURATIONS!$B$12</definedName>
    <definedName name="DUR_FCU">[3]DURATIONS!$B$12</definedName>
    <definedName name="DUR_GASHEATCOIL" localSheetId="21">[1]DURATIONS!$B$29</definedName>
    <definedName name="DUR_GASHEATCOIL" localSheetId="1">[2]DURATIONS!$B$30</definedName>
    <definedName name="DUR_GASHEATCOIL" localSheetId="20">[1]DURATIONS!$B$29</definedName>
    <definedName name="DUR_GASHEATCOIL" localSheetId="19">[1]DURATIONS!$B$29</definedName>
    <definedName name="DUR_GASHEATCOIL">[3]DURATIONS!$B$30</definedName>
    <definedName name="DUR_HHWCOIL" localSheetId="21">[1]DURATIONS!$B$26</definedName>
    <definedName name="DUR_HHWCOIL" localSheetId="1">[2]DURATIONS!$B$26</definedName>
    <definedName name="DUR_HHWCOIL" localSheetId="20">[1]DURATIONS!$B$26</definedName>
    <definedName name="DUR_HHWCOIL" localSheetId="19">[1]DURATIONS!$B$26</definedName>
    <definedName name="DUR_HHWCOIL">[3]DURATIONS!$B$26</definedName>
    <definedName name="DUR_HPCOIL" localSheetId="1">[2]DURATIONS!$B$28</definedName>
    <definedName name="DUR_HPCOIL">[3]DURATIONS!$B$28</definedName>
    <definedName name="DUR_INLET" localSheetId="21">[1]DURATIONS!$B$19</definedName>
    <definedName name="DUR_INLET" localSheetId="1">[2]DURATIONS!$B$19</definedName>
    <definedName name="DUR_INLET" localSheetId="20">[1]DURATIONS!$B$19</definedName>
    <definedName name="DUR_INLET" localSheetId="19">[1]DURATIONS!$B$19</definedName>
    <definedName name="DUR_INLET">[3]DURATIONS!$B$19</definedName>
    <definedName name="DUR_OUTLET" localSheetId="21">[1]DURATIONS!$B$18</definedName>
    <definedName name="DUR_OUTLET" localSheetId="1">[2]DURATIONS!$B$18</definedName>
    <definedName name="DUR_OUTLET" localSheetId="20">[1]DURATIONS!$B$18</definedName>
    <definedName name="DUR_OUTLET" localSheetId="19">[1]DURATIONS!$B$18</definedName>
    <definedName name="DUR_OUTLET">[3]DURATIONS!$B$18</definedName>
    <definedName name="DUR_PUMP" localSheetId="21">[1]DURATIONS!$B$22</definedName>
    <definedName name="DUR_PUMP" localSheetId="1">[2]DURATIONS!$B$22</definedName>
    <definedName name="DUR_PUMP" localSheetId="20">[1]DURATIONS!$B$22</definedName>
    <definedName name="DUR_PUMP" localSheetId="19">[1]DURATIONS!$B$22</definedName>
    <definedName name="DUR_PUMP">[3]DURATIONS!$B$22</definedName>
    <definedName name="DUR_RTU" localSheetId="21">[1]DURATIONS!$B$11</definedName>
    <definedName name="DUR_RTU" localSheetId="1">[2]DURATIONS!$B$11</definedName>
    <definedName name="DUR_RTU" localSheetId="20">[1]DURATIONS!$B$11</definedName>
    <definedName name="DUR_RTU" localSheetId="19">[1]DURATIONS!$B$11</definedName>
    <definedName name="DUR_RTU">[3]DURATIONS!$B$11</definedName>
    <definedName name="DUR_UH" localSheetId="21">[1]DURATIONS!$B$20</definedName>
    <definedName name="DUR_UH" localSheetId="1">[2]DURATIONS!$B$20</definedName>
    <definedName name="DUR_UH" localSheetId="20">[1]DURATIONS!$B$20</definedName>
    <definedName name="DUR_UH" localSheetId="19">[1]DURATIONS!$B$20</definedName>
    <definedName name="DUR_UH">[3]DURATIONS!$B$20</definedName>
    <definedName name="DX_Reference">[3]Builder!#REF!</definedName>
    <definedName name="EH_MANF_1" localSheetId="21">[1]Builder!#REF!</definedName>
    <definedName name="EH_MANF_1" localSheetId="1">[2]Builder!#REF!</definedName>
    <definedName name="EH_MANF_1" localSheetId="20">[1]Builder!#REF!</definedName>
    <definedName name="EH_MANF_1" localSheetId="19">[1]Builder!#REF!</definedName>
    <definedName name="EH_MANF_1" localSheetId="10">[5]Builder!#REF!</definedName>
    <definedName name="EH_MANF_1" localSheetId="9">[3]Builder!#REF!</definedName>
    <definedName name="EH_MANF_1">[3]Builder!#REF!</definedName>
    <definedName name="EH_MODEL_1" localSheetId="21">[1]Builder!#REF!</definedName>
    <definedName name="EH_MODEL_1" localSheetId="1">[2]Builder!#REF!</definedName>
    <definedName name="EH_MODEL_1" localSheetId="20">[1]Builder!#REF!</definedName>
    <definedName name="EH_MODEL_1" localSheetId="19">[1]Builder!#REF!</definedName>
    <definedName name="EH_MODEL_1" localSheetId="10">[5]Builder!#REF!</definedName>
    <definedName name="EH_MODEL_1" localSheetId="9">[3]Builder!#REF!</definedName>
    <definedName name="EH_MODEL_1">[3]Builder!#REF!</definedName>
    <definedName name="ERV_1" localSheetId="21">[1]Builder!$D$196</definedName>
    <definedName name="ERV_1" localSheetId="1">[2]Builder!$D$166</definedName>
    <definedName name="ERV_1" localSheetId="20">[1]Builder!$D$196</definedName>
    <definedName name="ERV_1" localSheetId="19">[1]Builder!$D$196</definedName>
    <definedName name="ERV_ATU_CLGMAX_1" localSheetId="21">[1]Builder!$O$202</definedName>
    <definedName name="ERV_ATU_CLGMAX_1" localSheetId="1">[2]Builder!$O$172</definedName>
    <definedName name="ERV_ATU_CLGMAX_1" localSheetId="20">[1]Builder!$O$202</definedName>
    <definedName name="ERV_ATU_CLGMAX_1" localSheetId="19">[1]Builder!$O$202</definedName>
    <definedName name="ERV_ATU_Num_Outlets_1" localSheetId="21">[1]Builder!$AH$202</definedName>
    <definedName name="ERV_ATU_Num_Outlets_1" localSheetId="1">[2]Builder!$AI$172</definedName>
    <definedName name="ERV_ATU_Num_Outlets_1" localSheetId="20">[1]Builder!$AH$202</definedName>
    <definedName name="ERV_ATU_Num_Outlets_1" localSheetId="19">[1]Builder!$AH$202</definedName>
    <definedName name="ERV_ATU_Outlet_Reference" localSheetId="21">[1]Builder!$D$211</definedName>
    <definedName name="ERV_ATU_Outlet_Reference" localSheetId="1">[2]Builder!$D$181</definedName>
    <definedName name="ERV_ATU_Outlet_Reference" localSheetId="20">[1]Builder!$D$211</definedName>
    <definedName name="ERV_ATU_Outlet_Reference" localSheetId="19">[1]Builder!$D$211</definedName>
    <definedName name="ERV_ATU_Reference" localSheetId="21">[1]Builder!$D$199</definedName>
    <definedName name="ERV_ATU_Reference" localSheetId="1">[2]Builder!$D$169</definedName>
    <definedName name="ERV_ATU_Reference" localSheetId="20">[1]Builder!$D$199</definedName>
    <definedName name="ERV_ATU_Reference" localSheetId="19">[1]Builder!$D$199</definedName>
    <definedName name="ERV_ATUOutlet_1" localSheetId="21">[1]Builder!$D$214</definedName>
    <definedName name="ERV_ATUOutlet_1" localSheetId="1">[2]Builder!$D$184</definedName>
    <definedName name="ERV_ATUOutlet_1" localSheetId="20">[1]Builder!$D$214</definedName>
    <definedName name="ERV_ATUOutlet_1" localSheetId="19">[1]Builder!$D$214</definedName>
    <definedName name="ERV_ATUOutlet_CFM_1" localSheetId="21">[1]Builder!$J$214</definedName>
    <definedName name="ERV_ATUOutlet_CFM_1" localSheetId="1">[2]Builder!$J$184</definedName>
    <definedName name="ERV_ATUOutlet_CFM_1" localSheetId="20">[1]Builder!$J$214</definedName>
    <definedName name="ERV_ATUOutlet_CFM_1" localSheetId="19">[1]Builder!$J$214</definedName>
    <definedName name="ERV_DUR_Inlets" localSheetId="10">[5]Builder!#REF!</definedName>
    <definedName name="ERV_DUR_Inlets" localSheetId="9">[3]Builder!#REF!</definedName>
    <definedName name="ERV_DUR_SUB_1" localSheetId="10">[5]Builder!#REF!</definedName>
    <definedName name="ERV_DUR_SUB_1" localSheetId="9">[3]Builder!#REF!</definedName>
    <definedName name="ERV_Exhaust_ATU_EH_Sum">[3]Builder!#REF!</definedName>
    <definedName name="ERV_Exhaust_ATU_Fan_AMPs">[3]Builder!#REF!</definedName>
    <definedName name="ERV_Exhaust_ATU_Fan_CFM">[3]Builder!#REF!</definedName>
    <definedName name="ERV_Exhaust_ATU_Fan_HP">[3]Builder!#REF!</definedName>
    <definedName name="ERV_Exhaust_ATU_Fan_Volts">[3]Builder!#REF!</definedName>
    <definedName name="ERV_Exhaust_ATU_HHW_Sum">[3]Builder!#REF!</definedName>
    <definedName name="ERV_Exhaust_ATU_HTG_Max_CFM">[3]Builder!#REF!</definedName>
    <definedName name="ERV_Exhaust_ATU_HTG_Min_CFM">[3]Builder!#REF!</definedName>
    <definedName name="ERV_Exhaust_ATU_OA_Min_CFM">[3]Builder!#REF!</definedName>
    <definedName name="ERV_Exhaust_ATU_OA_Shape">[3]Builder!#REF!</definedName>
    <definedName name="ERV_Exhaust_ATU_OA_Size">[3]Builder!#REF!</definedName>
    <definedName name="ERV_Exhaust_Outside_CFM">[3]Builder!#REF!</definedName>
    <definedName name="ERV_Exhaust_Outside_Trav">[3]Builder!#REF!</definedName>
    <definedName name="ERV_Exhaust_Return_CFM">[3]Builder!#REF!</definedName>
    <definedName name="ERV_Exhaust_Return_Trav">[3]Builder!#REF!</definedName>
    <definedName name="ERV_Exhuast_ATU_OA_Max_CFM">[3]Builder!#REF!</definedName>
    <definedName name="ERV_Inlet_Reference" localSheetId="21">[1]Builder!$D$217</definedName>
    <definedName name="ERV_Inlet_Reference" localSheetId="1">[2]Builder!$D$187</definedName>
    <definedName name="ERV_Inlet_Reference" localSheetId="20">[1]Builder!$D$217</definedName>
    <definedName name="ERV_Inlet_Reference" localSheetId="19">[1]Builder!$D$217</definedName>
    <definedName name="ERV_InletSum_1" localSheetId="21">[1]Builder!$D$220</definedName>
    <definedName name="ERV_InletSum_1" localSheetId="1">[2]Builder!$D$190</definedName>
    <definedName name="ERV_InletSum_1" localSheetId="20">[1]Builder!$D$220</definedName>
    <definedName name="ERV_InletSum_1" localSheetId="19">[1]Builder!$D$220</definedName>
    <definedName name="ERV_InletSum_CFM" localSheetId="21">[1]Builder!$J$220</definedName>
    <definedName name="ERV_InletSum_CFM" localSheetId="1">[2]Builder!$J$190</definedName>
    <definedName name="ERV_InletSum_CFM" localSheetId="20">[1]Builder!$J$220</definedName>
    <definedName name="ERV_InletSum_CFM" localSheetId="19">[1]Builder!$J$220</definedName>
    <definedName name="ERV_Num_ATU_1" localSheetId="21">[1]Builder!$AO$196</definedName>
    <definedName name="ERV_Num_ATU_1" localSheetId="1">[2]Builder!$AP$166</definedName>
    <definedName name="ERV_Num_ATU_1" localSheetId="20">[1]Builder!$AO$196</definedName>
    <definedName name="ERV_Num_ATU_1" localSheetId="19">[1]Builder!$AO$196</definedName>
    <definedName name="ERV_Num_Inlets_1" localSheetId="21">[1]Builder!$AN$196</definedName>
    <definedName name="ERV_Num_Inlets_1" localSheetId="1">[2]Builder!$AO$166</definedName>
    <definedName name="ERV_Num_Inlets_1" localSheetId="20">[1]Builder!$AN$196</definedName>
    <definedName name="ERV_Num_Inlets_1" localSheetId="19">[1]Builder!$AN$196</definedName>
    <definedName name="ERV_Num_Outlets_1" localSheetId="21">[1]Builder!$AM$196</definedName>
    <definedName name="ERV_Num_Outlets_1" localSheetId="1">[2]Builder!$AN$166</definedName>
    <definedName name="ERV_Num_Outlets_1" localSheetId="20">[1]Builder!$AM$196</definedName>
    <definedName name="ERV_Num_Outlets_1" localSheetId="19">[1]Builder!$AM$196</definedName>
    <definedName name="ERV_Outlet_Reference" localSheetId="21">[1]Builder!$D$205</definedName>
    <definedName name="ERV_Outlet_Reference" localSheetId="1">[2]Builder!$D$175</definedName>
    <definedName name="ERV_Outlet_Reference" localSheetId="20">[1]Builder!$D$205</definedName>
    <definedName name="ERV_Outlet_Reference" localSheetId="19">[1]Builder!$D$205</definedName>
    <definedName name="ERV_OutletSum_1" localSheetId="21">[1]Builder!$D$208</definedName>
    <definedName name="ERV_OutletSum_1" localSheetId="1">[2]Builder!$D$178</definedName>
    <definedName name="ERV_OutletSum_1" localSheetId="20">[1]Builder!$D$208</definedName>
    <definedName name="ERV_OutletSum_1" localSheetId="19">[1]Builder!$D$208</definedName>
    <definedName name="ERV_OutletSum_CFM" localSheetId="21">[1]Builder!$J$208</definedName>
    <definedName name="ERV_OutletSum_CFM" localSheetId="1">[2]Builder!$J$178</definedName>
    <definedName name="ERV_OutletSum_CFM" localSheetId="20">[1]Builder!$J$208</definedName>
    <definedName name="ERV_OutletSum_CFM" localSheetId="19">[1]Builder!$J$208</definedName>
    <definedName name="ERV_Reference" localSheetId="21">[1]Builder!$D$192</definedName>
    <definedName name="ERV_Reference" localSheetId="1">[2]Builder!$D$162</definedName>
    <definedName name="ERV_Reference" localSheetId="20">[1]Builder!$D$192</definedName>
    <definedName name="ERV_Reference" localSheetId="19">[1]Builder!$D$192</definedName>
    <definedName name="ERV_Supply_Outside_CFM">[3]Builder!#REF!</definedName>
    <definedName name="ERV_Supply_Return_CFM">[3]Builder!#REF!</definedName>
    <definedName name="ERV_System_1" localSheetId="21">[1]Builder!$D$202</definedName>
    <definedName name="ERV_System_1" localSheetId="1">[2]Builder!$D$172</definedName>
    <definedName name="ERV_System_1" localSheetId="20">[1]Builder!$D$202</definedName>
    <definedName name="ERV_System_1" localSheetId="19">[1]Builder!$D$202</definedName>
    <definedName name="FAN_1" localSheetId="21">[1]Builder!$D$227</definedName>
    <definedName name="FAN_1" localSheetId="1">[2]Builder!$D$197</definedName>
    <definedName name="FAN_1" localSheetId="20">[1]Builder!$D$227</definedName>
    <definedName name="FAN_1" localSheetId="19">[1]Builder!$D$227</definedName>
    <definedName name="FAN_1">[3]Builder!$D$226</definedName>
    <definedName name="FAN_InletSum_1" localSheetId="21">[1]Builder!$D$233</definedName>
    <definedName name="FAN_InletSum_1" localSheetId="1">[2]Builder!$D$203</definedName>
    <definedName name="FAN_InletSum_1" localSheetId="20">[1]Builder!$D$233</definedName>
    <definedName name="FAN_InletSum_1" localSheetId="19">[1]Builder!$D$233</definedName>
    <definedName name="FAN_InletSum_1">[3]Builder!$D$232</definedName>
    <definedName name="FAN_InletSum_CFM" localSheetId="21">[1]Builder!$J$233</definedName>
    <definedName name="FAN_InletSum_CFM" localSheetId="1">[2]Builder!$J$203</definedName>
    <definedName name="FAN_InletSum_CFM" localSheetId="20">[1]Builder!$J$233</definedName>
    <definedName name="FAN_InletSum_CFM" localSheetId="19">[1]Builder!$J$233</definedName>
    <definedName name="FAN_InletSum_CFM">[3]Builder!$J$232</definedName>
    <definedName name="FAN_Num_Inlets_1" localSheetId="21">[1]Builder!$T$227</definedName>
    <definedName name="FAN_Num_Inlets_1" localSheetId="1">[2]Builder!$T$197</definedName>
    <definedName name="FAN_Num_Inlets_1" localSheetId="20">[1]Builder!$T$227</definedName>
    <definedName name="FAN_Num_Inlets_1" localSheetId="19">[1]Builder!$T$227</definedName>
    <definedName name="FAN_Num_Inlets_1">[3]Builder!$T$226</definedName>
    <definedName name="FAN_Outlet_Reference" localSheetId="21">[1]Builder!$D$230</definedName>
    <definedName name="FAN_Outlet_Reference" localSheetId="1">[2]Builder!$D$200</definedName>
    <definedName name="FAN_Outlet_Reference" localSheetId="20">[1]Builder!$D$230</definedName>
    <definedName name="FAN_Outlet_Reference" localSheetId="19">[1]Builder!$D$230</definedName>
    <definedName name="FAN_Outlet_Reference">[3]Builder!$D$229</definedName>
    <definedName name="FAN_Reference" localSheetId="21">[1]Builder!$D$224</definedName>
    <definedName name="FAN_Reference" localSheetId="1">[2]Builder!$D$194</definedName>
    <definedName name="FAN_Reference" localSheetId="20">[1]Builder!$D$224</definedName>
    <definedName name="FAN_Reference" localSheetId="19">[1]Builder!$D$224</definedName>
    <definedName name="FAN_Reference">[3]Builder!$D$223</definedName>
    <definedName name="FCU_1" localSheetId="21">[1]Builder!$D$138</definedName>
    <definedName name="FCU_1" localSheetId="1">[2]Builder!$D$108</definedName>
    <definedName name="FCU_1" localSheetId="20">[1]Builder!$D$138</definedName>
    <definedName name="FCU_1" localSheetId="19">[1]Builder!$D$138</definedName>
    <definedName name="FCU_1">[3]Builder!$D$114</definedName>
    <definedName name="FCU_Inlet_Reference" localSheetId="21">[1]Builder!$D$147</definedName>
    <definedName name="FCU_Inlet_Reference" localSheetId="1">[2]Builder!$D$117</definedName>
    <definedName name="FCU_Inlet_Reference" localSheetId="20">[1]Builder!$D$147</definedName>
    <definedName name="FCU_Inlet_Reference" localSheetId="19">[1]Builder!$D$147</definedName>
    <definedName name="FCU_Inlet_Reference">[3]Builder!$D$123</definedName>
    <definedName name="FCU_InletSum_1" localSheetId="21">[1]Builder!$D$150</definedName>
    <definedName name="FCU_InletSum_1" localSheetId="1">[2]Builder!$D$120</definedName>
    <definedName name="FCU_InletSum_1" localSheetId="20">[1]Builder!$D$150</definedName>
    <definedName name="FCU_InletSum_1" localSheetId="19">[1]Builder!$D$150</definedName>
    <definedName name="FCU_InletSum_1">[3]Builder!$D$126</definedName>
    <definedName name="FCU_InletSum_CFM" localSheetId="21">[1]Builder!$J$150</definedName>
    <definedName name="FCU_InletSum_CFM" localSheetId="1">[2]Builder!$J$120</definedName>
    <definedName name="FCU_InletSum_CFM" localSheetId="20">[1]Builder!$J$150</definedName>
    <definedName name="FCU_InletSum_CFM" localSheetId="19">[1]Builder!$J$150</definedName>
    <definedName name="FCU_InletSum_CFM">[3]Builder!$J$126</definedName>
    <definedName name="FCU_Num_Inlets_1" localSheetId="21">[1]Builder!$AC$138</definedName>
    <definedName name="FCU_Num_Inlets_1" localSheetId="1">[2]Builder!$AD$108</definedName>
    <definedName name="FCU_Num_Inlets_1" localSheetId="20">[1]Builder!$AC$138</definedName>
    <definedName name="FCU_Num_Inlets_1" localSheetId="19">[1]Builder!$AC$138</definedName>
    <definedName name="FCU_Num_Inlets_1">[3]Builder!$AD$114</definedName>
    <definedName name="FCU_Num_Outlets_1" localSheetId="21">[1]Builder!$AB$138</definedName>
    <definedName name="FCU_Num_Outlets_1" localSheetId="1">[2]Builder!$AC$108</definedName>
    <definedName name="FCU_Num_Outlets_1" localSheetId="20">[1]Builder!$AB$138</definedName>
    <definedName name="FCU_Num_Outlets_1" localSheetId="19">[1]Builder!$AB$138</definedName>
    <definedName name="FCU_Num_Outlets_1">[3]Builder!$AC$114</definedName>
    <definedName name="FCU_Outlet_Reference" localSheetId="21">[1]Builder!$D$141</definedName>
    <definedName name="FCU_Outlet_Reference" localSheetId="1">[2]Builder!$D$111</definedName>
    <definedName name="FCU_Outlet_Reference" localSheetId="20">[1]Builder!$D$141</definedName>
    <definedName name="FCU_Outlet_Reference" localSheetId="19">[1]Builder!$D$141</definedName>
    <definedName name="FCU_Outlet_Reference">[3]Builder!$D$117</definedName>
    <definedName name="FCU_OutletSum_1" localSheetId="21">[1]Builder!$D$144</definedName>
    <definedName name="FCU_OutletSum_1" localSheetId="1">[2]Builder!$D$114</definedName>
    <definedName name="FCU_OutletSum_1" localSheetId="20">[1]Builder!$D$144</definedName>
    <definedName name="FCU_OutletSum_1" localSheetId="19">[1]Builder!$D$144</definedName>
    <definedName name="FCU_OutletSum_1">[3]Builder!$D$120</definedName>
    <definedName name="FCU_OutletSum_CFM" localSheetId="21">[1]Builder!$J$144</definedName>
    <definedName name="FCU_OutletSum_CFM" localSheetId="1">[2]Builder!$J$114</definedName>
    <definedName name="FCU_OutletSum_CFM" localSheetId="20">[1]Builder!$J$144</definedName>
    <definedName name="FCU_OutletSum_CFM" localSheetId="19">[1]Builder!$J$144</definedName>
    <definedName name="FCU_OutletSum_CFM">[3]Builder!$J$120</definedName>
    <definedName name="FCU_Reference" localSheetId="21">[1]Builder!$D$135</definedName>
    <definedName name="FCU_Reference" localSheetId="1">[2]Builder!$D$105</definedName>
    <definedName name="FCU_Reference" localSheetId="20">[1]Builder!$D$135</definedName>
    <definedName name="FCU_Reference" localSheetId="19">[1]Builder!$D$135</definedName>
    <definedName name="FCU_Reference">[3]Builder!$D$111</definedName>
    <definedName name="HWP_1" localSheetId="21">[1]Builder!$D$268</definedName>
    <definedName name="HWP_1" localSheetId="1">[2]Builder!$D$238</definedName>
    <definedName name="HWP_1" localSheetId="20">[1]Builder!$D$268</definedName>
    <definedName name="HWP_1" localSheetId="19">[1]Builder!$D$268</definedName>
    <definedName name="HWP_1">[3]Builder!$D$267</definedName>
    <definedName name="HWP_Reference" localSheetId="21">[1]Builder!$D$265</definedName>
    <definedName name="HWP_Reference" localSheetId="1">[2]Builder!$D$235</definedName>
    <definedName name="HWP_Reference" localSheetId="20">[1]Builder!$D$265</definedName>
    <definedName name="HWP_Reference" localSheetId="19">[1]Builder!$D$265</definedName>
    <definedName name="HWP_Reference">[3]Builder!$D$264</definedName>
    <definedName name="Inlet_Reference" localSheetId="21">[1]Builder!$D$97</definedName>
    <definedName name="Inlet_Reference" localSheetId="1">[2]Builder!$D$67</definedName>
    <definedName name="Inlet_Reference" localSheetId="20">[1]Builder!$D$97</definedName>
    <definedName name="Inlet_Reference" localSheetId="19">[1]Builder!$D$97</definedName>
    <definedName name="Inlet_Reference">[3]Builder!$D$72</definedName>
    <definedName name="Number_ACs" localSheetId="21">[1]Builder!$C$152</definedName>
    <definedName name="Number_ACs" localSheetId="1">[2]Builder!$C$122</definedName>
    <definedName name="Number_ACs" localSheetId="20">[1]Builder!$C$152</definedName>
    <definedName name="Number_ACs" localSheetId="19">[1]Builder!$C$152</definedName>
    <definedName name="Number_ACs">[3]Builder!$C$128</definedName>
    <definedName name="Number_AHUs" localSheetId="21">[1]Builder!$C$41</definedName>
    <definedName name="Number_AHUs" localSheetId="1">[2]Builder!$C$41</definedName>
    <definedName name="Number_AHUs" localSheetId="20">[1]Builder!$C$41</definedName>
    <definedName name="Number_AHUs" localSheetId="19">[1]Builder!$C$41</definedName>
    <definedName name="Number_AHUs">[3]Builder!$C$41</definedName>
    <definedName name="Number_BOILERs" localSheetId="21">[1]Builder!$C$278</definedName>
    <definedName name="Number_BOILERs" localSheetId="1">[2]Builder!$C$248</definedName>
    <definedName name="Number_BOILERs" localSheetId="20">[1]Builder!$C$278</definedName>
    <definedName name="Number_BOILERs" localSheetId="19">[1]Builder!$C$278</definedName>
    <definedName name="Number_BOILERs">[3]Builder!$C$277</definedName>
    <definedName name="Number_CHILLERs" localSheetId="21">[1]Builder!$C$242</definedName>
    <definedName name="Number_CHILLERs" localSheetId="1">[2]Builder!$C$212</definedName>
    <definedName name="Number_CHILLERs" localSheetId="20">[1]Builder!$C$242</definedName>
    <definedName name="Number_CHILLERs" localSheetId="19">[1]Builder!$C$242</definedName>
    <definedName name="Number_CHILLERs">[3]Builder!$C$241</definedName>
    <definedName name="Number_CHWPs" localSheetId="21">[1]Builder!$C$249</definedName>
    <definedName name="Number_CHWPs" localSheetId="1">[2]Builder!$C$219</definedName>
    <definedName name="Number_CHWPs" localSheetId="20">[1]Builder!$C$249</definedName>
    <definedName name="Number_CHWPs" localSheetId="19">[1]Builder!$C$249</definedName>
    <definedName name="Number_CHWPs">[3]Builder!$C$248</definedName>
    <definedName name="Number_CRACs" localSheetId="21">[1]Builder!$C$171</definedName>
    <definedName name="Number_CRACs" localSheetId="1">[2]Builder!$C$141</definedName>
    <definedName name="Number_CRACs" localSheetId="20">[1]Builder!$C$171</definedName>
    <definedName name="Number_CRACs" localSheetId="19">[1]Builder!$C$171</definedName>
    <definedName name="Number_CRACs">[3]Builder!$C$147</definedName>
    <definedName name="Number_CTs" localSheetId="21">[1]Builder!$C$270</definedName>
    <definedName name="Number_CTs" localSheetId="1">[2]Builder!$C$240</definedName>
    <definedName name="Number_CTs" localSheetId="20">[1]Builder!$C$270</definedName>
    <definedName name="Number_CTs" localSheetId="19">[1]Builder!$C$270</definedName>
    <definedName name="Number_CTs">[3]Builder!$C$269</definedName>
    <definedName name="Number_CWPs" localSheetId="21">[1]Builder!$C$256</definedName>
    <definedName name="Number_CWPs" localSheetId="1">[2]Builder!$C$226</definedName>
    <definedName name="Number_CWPs" localSheetId="20">[1]Builder!$C$256</definedName>
    <definedName name="Number_CWPs" localSheetId="19">[1]Builder!$C$256</definedName>
    <definedName name="Number_CWPs">[3]Builder!$C$255</definedName>
    <definedName name="Number_CWs" localSheetId="21">[1]Builder!#REF!</definedName>
    <definedName name="Number_CWs" localSheetId="1">[2]Builder!#REF!</definedName>
    <definedName name="Number_CWs" localSheetId="22">[3]Builder!#REF!</definedName>
    <definedName name="Number_CWs" localSheetId="18">[4]Builder!#REF!</definedName>
    <definedName name="Number_CWs" localSheetId="20">[1]Builder!#REF!</definedName>
    <definedName name="Number_CWs" localSheetId="19">[1]Builder!#REF!</definedName>
    <definedName name="Number_CWs" localSheetId="16">[4]Builder!#REF!</definedName>
    <definedName name="Number_CWs" localSheetId="10">[5]Builder!#REF!</definedName>
    <definedName name="Number_CWs" localSheetId="9">[3]Builder!#REF!</definedName>
    <definedName name="Number_CWs">[3]Builder!#REF!</definedName>
    <definedName name="Number_ERVs" localSheetId="21">[1]Builder!$C$190</definedName>
    <definedName name="Number_ERVs" localSheetId="1">[2]Builder!$C$160</definedName>
    <definedName name="Number_ERVs" localSheetId="20">[1]Builder!$C$190</definedName>
    <definedName name="Number_ERVs" localSheetId="19">[1]Builder!$C$190</definedName>
    <definedName name="Number_FANs" localSheetId="21">[1]Builder!$C$222</definedName>
    <definedName name="Number_FANs" localSheetId="1">[2]Builder!$C$192</definedName>
    <definedName name="Number_FANs" localSheetId="20">[1]Builder!$C$222</definedName>
    <definedName name="Number_FANs" localSheetId="19">[1]Builder!$C$222</definedName>
    <definedName name="Number_FANs">[3]Builder!$C$221</definedName>
    <definedName name="Number_FCUs" localSheetId="21">[1]Builder!$C$133</definedName>
    <definedName name="Number_FCUs" localSheetId="1">[2]Builder!$C$103</definedName>
    <definedName name="Number_FCUs" localSheetId="20">[1]Builder!$C$133</definedName>
    <definedName name="Number_FCUs" localSheetId="19">[1]Builder!$C$133</definedName>
    <definedName name="Number_FCUs">[3]Builder!$C$109</definedName>
    <definedName name="Number_HWPs" localSheetId="21">[1]Builder!$C$263</definedName>
    <definedName name="Number_HWPs" localSheetId="1">[2]Builder!$C$233</definedName>
    <definedName name="Number_HWPs" localSheetId="20">[1]Builder!$C$263</definedName>
    <definedName name="Number_HWPs" localSheetId="19">[1]Builder!$C$263</definedName>
    <definedName name="Number_HWPs">[3]Builder!$C$262</definedName>
    <definedName name="Number_RTUs" localSheetId="21">[1]Builder!$C$102</definedName>
    <definedName name="Number_RTUs" localSheetId="1">[2]Builder!$C$72</definedName>
    <definedName name="Number_RTUs" localSheetId="20">[1]Builder!$C$102</definedName>
    <definedName name="Number_RTUs" localSheetId="19">[1]Builder!$C$102</definedName>
    <definedName name="Number_RTUs">[3]Builder!$C$78</definedName>
    <definedName name="Number_UHs" localSheetId="21">[1]Builder!$C$235</definedName>
    <definedName name="Number_UHs" localSheetId="1">[2]Builder!$C$205</definedName>
    <definedName name="Number_UHs" localSheetId="20">[1]Builder!$C$235</definedName>
    <definedName name="Number_UHs" localSheetId="19">[1]Builder!$C$235</definedName>
    <definedName name="Number_UHs">[3]Builder!$C$234</definedName>
    <definedName name="Outlet_Reference" localSheetId="21">[1]Builder!$D$67</definedName>
    <definedName name="Outlet_Reference" localSheetId="1">[2]Builder!$D$55</definedName>
    <definedName name="Outlet_Reference" localSheetId="20">[1]Builder!$D$67</definedName>
    <definedName name="Outlet_Reference" localSheetId="19">[1]Builder!$D$67</definedName>
    <definedName name="Outlet_Reference">[3]Builder!$D$56</definedName>
    <definedName name="_xlnm.Print_Area" localSheetId="14">ATUMT!$A$1:$AI$62</definedName>
    <definedName name="_xlnm.Print_Area" localSheetId="13">ATUSUMMT!$A$1:$AV$42</definedName>
    <definedName name="_xlnm.Print_Area" localSheetId="6">CURVEMT!$A$1:$AI$62</definedName>
    <definedName name="_xlnm.Print_Area" localSheetId="15">DDATUMT!$A$1:$AI$62</definedName>
    <definedName name="_xlnm.Print_Area" localSheetId="5">DF_DOUBLE_SPMT!$A$1:$AI$62</definedName>
    <definedName name="_xlnm.Print_Area" localSheetId="4">DF_SINGLE_SPMT!$A$1:$AI$62</definedName>
    <definedName name="_xlnm.Print_Area" localSheetId="3">DFMT!$A$1:$AI$62</definedName>
    <definedName name="_xlnm.Print_Area" localSheetId="21">EAVMT!$A$1:$AI$62</definedName>
    <definedName name="_xlnm.Print_Area" localSheetId="1">FLYERMT!$A$1:$AI$62</definedName>
    <definedName name="_xlnm.Print_Area" localSheetId="22">HHWMT!$A$1:$AV$42</definedName>
    <definedName name="_xlnm.Print_Area" localSheetId="2">MAINMT!$A$1:$AI$62</definedName>
    <definedName name="_xlnm.Print_Area" localSheetId="7">OUTLETSUMMT!$A$1:$AI$62</definedName>
    <definedName name="_xlnm.Print_Area" localSheetId="18">PFPBMT!$A$1:$AI$62</definedName>
    <definedName name="_xlnm.Print_Area" localSheetId="20">RAVMT!$A$1:$AI$62</definedName>
    <definedName name="_xlnm.Print_Area" localSheetId="12">RND_AF_TRAVMT!$A$1:$AV$42</definedName>
    <definedName name="_xlnm.Print_Area" localSheetId="11">RNDTRAVMT!$A$1:$AV$42</definedName>
    <definedName name="_xlnm.Print_Area" localSheetId="19">SAVMT!$A$1:$AI$62</definedName>
    <definedName name="_xlnm.Print_Area" localSheetId="16">SFPBMT!$A$1:$AI$62</definedName>
    <definedName name="_xlnm.Print_Area" localSheetId="17">SFPBOAMT!$A$1:$AI$62</definedName>
    <definedName name="_xlnm.Print_Area" localSheetId="10">STD_AF_TRAVMT!$A$1:$AV$42</definedName>
    <definedName name="_xlnm.Print_Area" localSheetId="9">STDPTORAVMT!$A$1:$AV$42</definedName>
    <definedName name="_xlnm.Print_Area" localSheetId="8">TRAVMT!$A$1:$AV$42</definedName>
    <definedName name="RTU_ATU_CLGMAX_1" localSheetId="21">[1]Builder!$O$113</definedName>
    <definedName name="RTU_ATU_CLGMAX_1" localSheetId="1">[2]Builder!$O$83</definedName>
    <definedName name="RTU_ATU_CLGMAX_1" localSheetId="20">[1]Builder!$O$113</definedName>
    <definedName name="RTU_ATU_CLGMAX_1" localSheetId="19">[1]Builder!$O$113</definedName>
    <definedName name="RTU_ATU_CLGMAX_1">[3]Builder!$O$89</definedName>
    <definedName name="RTU_ATU_Num_Outlets_1" localSheetId="21">[1]Builder!$AH$113</definedName>
    <definedName name="RTU_ATU_Num_Outlets_1" localSheetId="1">[2]Builder!$AI$83</definedName>
    <definedName name="RTU_ATU_Num_Outlets_1" localSheetId="20">[1]Builder!$AH$113</definedName>
    <definedName name="RTU_ATU_Num_Outlets_1" localSheetId="19">[1]Builder!$AH$113</definedName>
    <definedName name="RTU_ATU_Num_Outlets_1">[3]Builder!$AI$89</definedName>
    <definedName name="RTU_ATU_Outlet_Reference" localSheetId="21">[1]Builder!$D$122</definedName>
    <definedName name="RTU_ATU_Outlet_Reference" localSheetId="1">[2]Builder!$D$92</definedName>
    <definedName name="RTU_ATU_Outlet_Reference" localSheetId="20">[1]Builder!$D$122</definedName>
    <definedName name="RTU_ATU_Outlet_Reference" localSheetId="19">[1]Builder!$D$122</definedName>
    <definedName name="RTU_ATU_Outlet_Reference">[3]Builder!$D$98</definedName>
    <definedName name="RTU_ATU_Reference" localSheetId="21">[1]Builder!$D$110</definedName>
    <definedName name="RTU_ATU_Reference" localSheetId="1">[2]Builder!$D$80</definedName>
    <definedName name="RTU_ATU_Reference" localSheetId="20">[1]Builder!$D$110</definedName>
    <definedName name="RTU_ATU_Reference" localSheetId="19">[1]Builder!$D$110</definedName>
    <definedName name="RTU_ATU_Reference">[3]Builder!$D$86</definedName>
    <definedName name="RTU_ATUOutlet_1" localSheetId="21">[1]Builder!$D$125</definedName>
    <definedName name="RTU_ATUOutlet_1" localSheetId="1">[2]Builder!$D$95</definedName>
    <definedName name="RTU_ATUOutlet_1" localSheetId="20">[1]Builder!$D$125</definedName>
    <definedName name="RTU_ATUOutlet_1" localSheetId="19">[1]Builder!$D$125</definedName>
    <definedName name="RTU_ATUOutlet_1">[3]Builder!$D$101</definedName>
    <definedName name="RTU_ATUOutlet_CFM_1" localSheetId="21">[1]Builder!$J$125</definedName>
    <definedName name="RTU_ATUOutlet_CFM_1" localSheetId="1">[2]Builder!$J$95</definedName>
    <definedName name="RTU_ATUOutlet_CFM_1" localSheetId="20">[1]Builder!$J$125</definedName>
    <definedName name="RTU_ATUOutlet_CFM_1" localSheetId="19">[1]Builder!$J$125</definedName>
    <definedName name="RTU_ATUOutlet_CFM_1">[3]Builder!$J$101</definedName>
    <definedName name="RTU_Inlet_Reference" localSheetId="21">[1]Builder!$D$128</definedName>
    <definedName name="RTU_Inlet_Reference" localSheetId="1">[2]Builder!$D$98</definedName>
    <definedName name="RTU_Inlet_Reference" localSheetId="20">[1]Builder!$D$128</definedName>
    <definedName name="RTU_Inlet_Reference" localSheetId="19">[1]Builder!$D$128</definedName>
    <definedName name="RTU_Inlet_Reference">[3]Builder!$D$104</definedName>
    <definedName name="RTU_InletSum_1" localSheetId="21">[1]Builder!$D$131</definedName>
    <definedName name="RTU_InletSum_1" localSheetId="1">[2]Builder!$D$101</definedName>
    <definedName name="RTU_InletSum_1" localSheetId="20">[1]Builder!$D$131</definedName>
    <definedName name="RTU_InletSum_1" localSheetId="19">[1]Builder!$D$131</definedName>
    <definedName name="RTU_InletSum_1">[3]Builder!$D$107</definedName>
    <definedName name="RTU_InletSum_CFM" localSheetId="21">[1]Builder!$J$131</definedName>
    <definedName name="RTU_InletSum_CFM" localSheetId="1">[2]Builder!$J$101</definedName>
    <definedName name="RTU_InletSum_CFM" localSheetId="20">[1]Builder!$J$131</definedName>
    <definedName name="RTU_InletSum_CFM" localSheetId="19">[1]Builder!$J$131</definedName>
    <definedName name="RTU_InletSum_CFM">[3]Builder!$J$107</definedName>
    <definedName name="RTU_Num_ATU_1" localSheetId="21">[1]Builder!$AF$107</definedName>
    <definedName name="RTU_Num_ATU_1" localSheetId="1">[2]Builder!$AG$77</definedName>
    <definedName name="RTU_Num_ATU_1" localSheetId="20">[1]Builder!$AF$107</definedName>
    <definedName name="RTU_Num_ATU_1" localSheetId="19">[1]Builder!$AF$107</definedName>
    <definedName name="RTU_Num_ATU_1">[3]Builder!$AG$83</definedName>
    <definedName name="RTU_Num_Inlets_1" localSheetId="21">[1]Builder!$AE$107</definedName>
    <definedName name="RTU_Num_Inlets_1" localSheetId="1">[2]Builder!$AF$77</definedName>
    <definedName name="RTU_Num_Inlets_1" localSheetId="20">[1]Builder!$AE$107</definedName>
    <definedName name="RTU_Num_Inlets_1" localSheetId="19">[1]Builder!$AE$107</definedName>
    <definedName name="RTU_Num_Inlets_1">[3]Builder!$AF$83</definedName>
    <definedName name="RTU_Num_Outlets_1" localSheetId="21">[1]Builder!$AD$107</definedName>
    <definedName name="RTU_Num_Outlets_1" localSheetId="1">[2]Builder!$AE$77</definedName>
    <definedName name="RTU_Num_Outlets_1" localSheetId="20">[1]Builder!$AD$107</definedName>
    <definedName name="RTU_Num_Outlets_1" localSheetId="19">[1]Builder!$AD$107</definedName>
    <definedName name="RTU_Num_Outlets_1">[3]Builder!$AE$83</definedName>
    <definedName name="RTU_Outlet_Reference" localSheetId="21">[1]Builder!$D$116</definedName>
    <definedName name="RTU_Outlet_Reference" localSheetId="1">[2]Builder!$D$86</definedName>
    <definedName name="RTU_Outlet_Reference" localSheetId="20">[1]Builder!$D$116</definedName>
    <definedName name="RTU_Outlet_Reference" localSheetId="19">[1]Builder!$D$116</definedName>
    <definedName name="RTU_Outlet_Reference">[3]Builder!$D$92</definedName>
    <definedName name="RTU_OutletSum_1" localSheetId="21">[1]Builder!$D$119</definedName>
    <definedName name="RTU_OutletSum_1" localSheetId="1">[2]Builder!$D$89</definedName>
    <definedName name="RTU_OutletSum_1" localSheetId="20">[1]Builder!$D$119</definedName>
    <definedName name="RTU_OutletSum_1" localSheetId="19">[1]Builder!$D$119</definedName>
    <definedName name="RTU_OutletSum_1">[3]Builder!$D$95</definedName>
    <definedName name="RTU_OutletSum_CFM" localSheetId="21">[1]Builder!$J$119</definedName>
    <definedName name="RTU_OutletSum_CFM" localSheetId="1">[2]Builder!$J$89</definedName>
    <definedName name="RTU_OutletSum_CFM" localSheetId="20">[1]Builder!$J$119</definedName>
    <definedName name="RTU_OutletSum_CFM" localSheetId="19">[1]Builder!$J$119</definedName>
    <definedName name="RTU_OutletSum_CFM">[3]Builder!$J$95</definedName>
    <definedName name="RTU_Reference" localSheetId="21">[1]Builder!$D$104</definedName>
    <definedName name="RTU_Reference" localSheetId="1">[2]Builder!$D$74</definedName>
    <definedName name="RTU_Reference" localSheetId="20">[1]Builder!$D$104</definedName>
    <definedName name="RTU_Reference" localSheetId="19">[1]Builder!$D$104</definedName>
    <definedName name="RTU_Reference">[3]Builder!$D$80</definedName>
    <definedName name="RTU_System_1" localSheetId="21">[1]Builder!$D$113</definedName>
    <definedName name="RTU_System_1" localSheetId="1">[2]Builder!$D$83</definedName>
    <definedName name="RTU_System_1" localSheetId="20">[1]Builder!$D$113</definedName>
    <definedName name="RTU_System_1" localSheetId="19">[1]Builder!$D$113</definedName>
    <definedName name="RTU_System_1">[3]Builder!$D$89</definedName>
    <definedName name="RTU_Unit_Number" localSheetId="21">[1]Builder!$D$107</definedName>
    <definedName name="RTU_Unit_Number" localSheetId="1">[2]Builder!$D$77</definedName>
    <definedName name="RTU_Unit_Number" localSheetId="20">[1]Builder!$D$107</definedName>
    <definedName name="RTU_Unit_Number" localSheetId="19">[1]Builder!$D$107</definedName>
    <definedName name="RTU_Unit_Number">[3]Builder!$D$83</definedName>
    <definedName name="TEST" localSheetId="14">[3]MAINMT!#REF!</definedName>
    <definedName name="TEST" localSheetId="6">[3]MAINMT!#REF!</definedName>
    <definedName name="TEST" localSheetId="21">[1]MAINMT!$AK$4</definedName>
    <definedName name="TEST" localSheetId="22">#REF!</definedName>
    <definedName name="TEST" localSheetId="7">[3]MAINMT!#REF!</definedName>
    <definedName name="TEST" localSheetId="20">[1]MAINMT!$AK$4</definedName>
    <definedName name="TEST" localSheetId="19">[1]MAINMT!$AK$4</definedName>
    <definedName name="UH_1" localSheetId="21">[1]Builder!$D$240</definedName>
    <definedName name="UH_1" localSheetId="1">[2]Builder!$D$210</definedName>
    <definedName name="UH_1" localSheetId="20">[1]Builder!$D$240</definedName>
    <definedName name="UH_1" localSheetId="19">[1]Builder!$D$240</definedName>
    <definedName name="UH_1">[3]Builder!$D$239</definedName>
    <definedName name="UH_Reference" localSheetId="21">[1]Builder!$D$237</definedName>
    <definedName name="UH_Reference" localSheetId="1">[2]Builder!$D$207</definedName>
    <definedName name="UH_Reference" localSheetId="20">[1]Builder!$D$237</definedName>
    <definedName name="UH_Reference" localSheetId="19">[1]Builder!$D$237</definedName>
    <definedName name="UH_Reference">[3]Builder!$D$236</definedName>
    <definedName name="VAVReport_Box_1" localSheetId="14">#REF!</definedName>
    <definedName name="VAVReport_Box_1" localSheetId="21">#REF!</definedName>
    <definedName name="VAVReport_Box_1" localSheetId="20">#REF!</definedName>
    <definedName name="VAVReport_Box_1" localSheetId="19">#REF!</definedName>
    <definedName name="VAVReport_Box_1">ATUSUMMT!$A$13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4" i="24" l="1"/>
  <c r="AO34" i="24"/>
  <c r="BM33" i="24"/>
  <c r="BA33" i="24"/>
  <c r="AO33" i="24"/>
  <c r="BG33" i="24" s="1"/>
  <c r="AI33" i="24"/>
  <c r="Z33" i="24"/>
  <c r="T33" i="24"/>
  <c r="BJ32" i="24"/>
  <c r="BG32" i="24"/>
  <c r="BA32" i="24"/>
  <c r="Z32" i="24"/>
  <c r="T32" i="24"/>
  <c r="BM31" i="24"/>
  <c r="BA31" i="24"/>
  <c r="BJ31" i="24" s="1"/>
  <c r="AO31" i="24"/>
  <c r="BG31" i="24" s="1"/>
  <c r="BP31" i="24" s="1"/>
  <c r="AI31" i="24"/>
  <c r="Z31" i="24"/>
  <c r="T31" i="24"/>
  <c r="BJ30" i="24"/>
  <c r="BG30" i="24"/>
  <c r="BA30" i="24"/>
  <c r="Z30" i="24"/>
  <c r="T30" i="24"/>
  <c r="BM29" i="24"/>
  <c r="BA29" i="24"/>
  <c r="BP29" i="24" s="1"/>
  <c r="AO29" i="24"/>
  <c r="BG29" i="24" s="1"/>
  <c r="AI29" i="24"/>
  <c r="Z29" i="24"/>
  <c r="T29" i="24"/>
  <c r="BJ28" i="24"/>
  <c r="BG28" i="24"/>
  <c r="BA28" i="24"/>
  <c r="Z28" i="24"/>
  <c r="T28" i="24"/>
  <c r="BM27" i="24"/>
  <c r="BA27" i="24"/>
  <c r="AO27" i="24"/>
  <c r="BG27" i="24" s="1"/>
  <c r="AI27" i="24"/>
  <c r="Z27" i="24"/>
  <c r="T27" i="24"/>
  <c r="BJ26" i="24"/>
  <c r="BG26" i="24"/>
  <c r="BA26" i="24"/>
  <c r="Z26" i="24"/>
  <c r="T26" i="24"/>
  <c r="BM25" i="24"/>
  <c r="BA25" i="24"/>
  <c r="AO25" i="24"/>
  <c r="BG25" i="24" s="1"/>
  <c r="Z25" i="24"/>
  <c r="T25" i="24"/>
  <c r="BJ24" i="24"/>
  <c r="BG24" i="24"/>
  <c r="BA24" i="24"/>
  <c r="Z24" i="24"/>
  <c r="T24" i="24"/>
  <c r="BM23" i="24"/>
  <c r="BA23" i="24"/>
  <c r="AI23" i="24" s="1"/>
  <c r="AO23" i="24"/>
  <c r="BG23" i="24" s="1"/>
  <c r="Z23" i="24"/>
  <c r="T23" i="24"/>
  <c r="BJ22" i="24"/>
  <c r="BG22" i="24"/>
  <c r="BA22" i="24"/>
  <c r="Z22" i="24"/>
  <c r="T22" i="24"/>
  <c r="BM21" i="24"/>
  <c r="BA21" i="24"/>
  <c r="BJ21" i="24" s="1"/>
  <c r="AO21" i="24"/>
  <c r="BG21" i="24" s="1"/>
  <c r="AI21" i="24"/>
  <c r="Z21" i="24"/>
  <c r="T21" i="24"/>
  <c r="BJ20" i="24"/>
  <c r="BG20" i="24"/>
  <c r="BA20" i="24"/>
  <c r="Z20" i="24"/>
  <c r="T20" i="24"/>
  <c r="BM19" i="24"/>
  <c r="BJ19" i="24"/>
  <c r="BG19" i="24"/>
  <c r="BP19" i="24" s="1"/>
  <c r="BA19" i="24"/>
  <c r="AO19" i="24"/>
  <c r="AI19" i="24"/>
  <c r="Z19" i="24"/>
  <c r="T19" i="24"/>
  <c r="BJ18" i="24"/>
  <c r="BG18" i="24"/>
  <c r="BA18" i="24"/>
  <c r="Z18" i="24"/>
  <c r="T18" i="24"/>
  <c r="BM17" i="24"/>
  <c r="BJ17" i="24"/>
  <c r="BG17" i="24"/>
  <c r="BP17" i="24" s="1"/>
  <c r="BA17" i="24"/>
  <c r="AO17" i="24"/>
  <c r="AI17" i="24"/>
  <c r="Z17" i="24"/>
  <c r="T17" i="24"/>
  <c r="BJ16" i="24"/>
  <c r="BG16" i="24"/>
  <c r="BA16" i="24"/>
  <c r="Z16" i="24"/>
  <c r="T16" i="24"/>
  <c r="BM15" i="24"/>
  <c r="BA15" i="24"/>
  <c r="AO15" i="24"/>
  <c r="BG15" i="24" s="1"/>
  <c r="AI15" i="24"/>
  <c r="Z15" i="24"/>
  <c r="T15" i="24"/>
  <c r="BJ14" i="24"/>
  <c r="BG14" i="24"/>
  <c r="BA14" i="24"/>
  <c r="Z14" i="24"/>
  <c r="T14" i="24"/>
  <c r="BM13" i="24"/>
  <c r="BA13" i="24"/>
  <c r="AO13" i="24"/>
  <c r="AR35" i="24" s="1"/>
  <c r="Z13" i="24"/>
  <c r="T13" i="24"/>
  <c r="BJ12" i="24"/>
  <c r="BG12" i="24"/>
  <c r="BA12" i="24"/>
  <c r="Z12" i="24"/>
  <c r="T12" i="24"/>
  <c r="AK53" i="23"/>
  <c r="AN51" i="23" s="1"/>
  <c r="AC53" i="23"/>
  <c r="AE13" i="23" s="1"/>
  <c r="Z53" i="23"/>
  <c r="W53" i="23"/>
  <c r="T53" i="23"/>
  <c r="Q53" i="23"/>
  <c r="AU52" i="23"/>
  <c r="AU51" i="23"/>
  <c r="AU50" i="23"/>
  <c r="AU49" i="23"/>
  <c r="AN49" i="23"/>
  <c r="AQ49" i="23" s="1"/>
  <c r="AK49" i="23"/>
  <c r="AU48" i="23"/>
  <c r="AU47" i="23"/>
  <c r="AU46" i="23"/>
  <c r="AU45" i="23"/>
  <c r="AU44" i="23"/>
  <c r="AU43" i="23"/>
  <c r="AU42" i="23"/>
  <c r="AU41" i="23"/>
  <c r="AU40" i="23"/>
  <c r="AU39" i="23"/>
  <c r="AU38" i="23"/>
  <c r="AU37" i="23"/>
  <c r="AU36" i="23"/>
  <c r="AU35" i="23"/>
  <c r="AU34" i="23"/>
  <c r="AU33" i="23"/>
  <c r="AU53" i="22"/>
  <c r="AC53" i="22"/>
  <c r="Z53" i="22"/>
  <c r="W53" i="22"/>
  <c r="T53" i="22"/>
  <c r="AK53" i="22" s="1"/>
  <c r="Q53" i="22"/>
  <c r="AU52" i="22"/>
  <c r="AU51" i="22"/>
  <c r="AU50" i="22"/>
  <c r="AU49" i="22"/>
  <c r="AU48" i="22"/>
  <c r="AU47" i="22"/>
  <c r="AU46" i="22"/>
  <c r="AU45" i="22"/>
  <c r="AU44" i="22"/>
  <c r="AU43" i="22"/>
  <c r="AU42" i="22"/>
  <c r="AU41" i="22"/>
  <c r="AU40" i="22"/>
  <c r="AU39" i="22"/>
  <c r="AU38" i="22"/>
  <c r="AU37" i="22"/>
  <c r="AU36" i="22"/>
  <c r="AU35" i="22"/>
  <c r="AU34" i="22"/>
  <c r="AU33" i="22"/>
  <c r="AE13" i="22"/>
  <c r="AC53" i="21"/>
  <c r="AE13" i="21" s="1"/>
  <c r="Z53" i="21"/>
  <c r="W53" i="21"/>
  <c r="T53" i="21"/>
  <c r="AK53" i="21" s="1"/>
  <c r="Q53" i="21"/>
  <c r="AU52" i="21"/>
  <c r="AU51" i="21"/>
  <c r="AU50" i="21"/>
  <c r="AU49" i="21"/>
  <c r="AU48" i="21"/>
  <c r="AU47" i="21"/>
  <c r="AU46" i="21"/>
  <c r="AU45" i="21"/>
  <c r="AU44" i="21"/>
  <c r="AU43" i="21"/>
  <c r="AU42" i="21"/>
  <c r="AU41" i="21"/>
  <c r="AU40" i="21"/>
  <c r="AU39" i="21"/>
  <c r="AU38" i="21"/>
  <c r="AU37" i="21"/>
  <c r="AU36" i="21"/>
  <c r="AU35" i="21"/>
  <c r="AU34" i="21"/>
  <c r="AU33" i="21"/>
  <c r="AC53" i="20"/>
  <c r="AU53" i="20" s="1"/>
  <c r="Z53" i="20"/>
  <c r="W53" i="20"/>
  <c r="T53" i="20"/>
  <c r="AK53" i="20" s="1"/>
  <c r="AN50" i="20" s="1"/>
  <c r="Q53" i="20"/>
  <c r="AU52" i="20"/>
  <c r="AN52" i="20"/>
  <c r="AU51" i="20"/>
  <c r="AU50" i="20"/>
  <c r="AU49" i="20"/>
  <c r="AU48" i="20"/>
  <c r="AU47" i="20"/>
  <c r="AN47" i="20"/>
  <c r="AU46" i="20"/>
  <c r="AU45" i="20"/>
  <c r="AU44" i="20"/>
  <c r="AU43" i="20"/>
  <c r="AU42" i="20"/>
  <c r="AN42" i="20"/>
  <c r="AU41" i="20"/>
  <c r="AU40" i="20"/>
  <c r="AQ40" i="20"/>
  <c r="AN40" i="20"/>
  <c r="AK40" i="20"/>
  <c r="AU39" i="20"/>
  <c r="AU38" i="20"/>
  <c r="AU37" i="20"/>
  <c r="AN37" i="20"/>
  <c r="AU36" i="20"/>
  <c r="AU35" i="20"/>
  <c r="AU34" i="20"/>
  <c r="AU33" i="20"/>
  <c r="AH25" i="20"/>
  <c r="AE22" i="20"/>
  <c r="AE19" i="20"/>
  <c r="AQ16" i="20"/>
  <c r="AN16" i="20"/>
  <c r="BH15" i="20"/>
  <c r="AZ15" i="20"/>
  <c r="AE15" i="20"/>
  <c r="BH14" i="20"/>
  <c r="AZ14" i="20"/>
  <c r="AE14" i="20"/>
  <c r="BH13" i="20"/>
  <c r="AZ13" i="20"/>
  <c r="AC53" i="19"/>
  <c r="AU53" i="19" s="1"/>
  <c r="Z53" i="19"/>
  <c r="W53" i="19"/>
  <c r="T53" i="19"/>
  <c r="AK56" i="19" s="1"/>
  <c r="Q53" i="19"/>
  <c r="AU52" i="19"/>
  <c r="AN52" i="19"/>
  <c r="AU51" i="19"/>
  <c r="AU50" i="19"/>
  <c r="AN50" i="19"/>
  <c r="AQ50" i="19" s="1"/>
  <c r="AK50" i="19"/>
  <c r="AU49" i="19"/>
  <c r="AU48" i="19"/>
  <c r="AU47" i="19"/>
  <c r="AN47" i="19"/>
  <c r="AU46" i="19"/>
  <c r="AU45" i="19"/>
  <c r="AN45" i="19"/>
  <c r="AQ45" i="19" s="1"/>
  <c r="AK45" i="19"/>
  <c r="AU44" i="19"/>
  <c r="AU43" i="19"/>
  <c r="AU42" i="19"/>
  <c r="AN42" i="19"/>
  <c r="AU41" i="19"/>
  <c r="AU40" i="19"/>
  <c r="AN40" i="19"/>
  <c r="AQ40" i="19" s="1"/>
  <c r="AK40" i="19"/>
  <c r="AU39" i="19"/>
  <c r="AU38" i="19"/>
  <c r="AU37" i="19"/>
  <c r="AN37" i="19"/>
  <c r="AU36" i="19"/>
  <c r="O23" i="19"/>
  <c r="AE19" i="19"/>
  <c r="AE20" i="19" s="1"/>
  <c r="AE22" i="19" s="1"/>
  <c r="AQ16" i="19"/>
  <c r="AN16" i="19"/>
  <c r="BH15" i="19"/>
  <c r="AZ15" i="19"/>
  <c r="AE15" i="19"/>
  <c r="BH14" i="19"/>
  <c r="AZ14" i="19"/>
  <c r="AE14" i="19"/>
  <c r="BH13" i="19"/>
  <c r="AZ13" i="19"/>
  <c r="AU53" i="18"/>
  <c r="AC53" i="18"/>
  <c r="Z53" i="18"/>
  <c r="W53" i="18"/>
  <c r="T53" i="18"/>
  <c r="Q53" i="18"/>
  <c r="AU52" i="18"/>
  <c r="AU51" i="18"/>
  <c r="AU50" i="18"/>
  <c r="AU49" i="18"/>
  <c r="AU48" i="18"/>
  <c r="AU47" i="18"/>
  <c r="AU46" i="18"/>
  <c r="AU45" i="18"/>
  <c r="AU44" i="18"/>
  <c r="AU43" i="18"/>
  <c r="AU42" i="18"/>
  <c r="AU41" i="18"/>
  <c r="AU40" i="18"/>
  <c r="AU39" i="18"/>
  <c r="AU38" i="18"/>
  <c r="AU37" i="18"/>
  <c r="AU36" i="18"/>
  <c r="AU35" i="18"/>
  <c r="AU34" i="18"/>
  <c r="AU33" i="18"/>
  <c r="AH25" i="18"/>
  <c r="AE19" i="18"/>
  <c r="AE20" i="18" s="1"/>
  <c r="AE22" i="18" s="1"/>
  <c r="AQ16" i="18"/>
  <c r="AN16" i="18"/>
  <c r="BH15" i="18"/>
  <c r="AZ15" i="18"/>
  <c r="AE15" i="18"/>
  <c r="BH14" i="18"/>
  <c r="AZ14" i="18"/>
  <c r="AE14" i="18"/>
  <c r="BH13" i="18"/>
  <c r="AZ13" i="18"/>
  <c r="AC53" i="17"/>
  <c r="AU53" i="17" s="1"/>
  <c r="Z53" i="17"/>
  <c r="W53" i="17"/>
  <c r="T53" i="17"/>
  <c r="Q53" i="17"/>
  <c r="AU52" i="17"/>
  <c r="AU51" i="17"/>
  <c r="AU50" i="17"/>
  <c r="AU49" i="17"/>
  <c r="AU48" i="17"/>
  <c r="AU47" i="17"/>
  <c r="AU46" i="17"/>
  <c r="AU45" i="17"/>
  <c r="AU44" i="17"/>
  <c r="AU43" i="17"/>
  <c r="AU42" i="17"/>
  <c r="AU41" i="17"/>
  <c r="AU40" i="17"/>
  <c r="AU39" i="17"/>
  <c r="AU38" i="17"/>
  <c r="AU37" i="17"/>
  <c r="AU36" i="17"/>
  <c r="AU35" i="17"/>
  <c r="AU34" i="17"/>
  <c r="AU33" i="17"/>
  <c r="U28" i="17"/>
  <c r="K28" i="17"/>
  <c r="U26" i="17"/>
  <c r="K26" i="17"/>
  <c r="AC53" i="16"/>
  <c r="AU53" i="16" s="1"/>
  <c r="Z53" i="16"/>
  <c r="W53" i="16"/>
  <c r="T53" i="16"/>
  <c r="AK53" i="16" s="1"/>
  <c r="AN46" i="16" s="1"/>
  <c r="Q53" i="16"/>
  <c r="AU52" i="16"/>
  <c r="AU51" i="16"/>
  <c r="AU50" i="16"/>
  <c r="AN50" i="16"/>
  <c r="AQ50" i="16" s="1"/>
  <c r="AK50" i="16"/>
  <c r="AU49" i="16"/>
  <c r="AU48" i="16"/>
  <c r="AU47" i="16"/>
  <c r="AU46" i="16"/>
  <c r="AU45" i="16"/>
  <c r="AU44" i="16"/>
  <c r="AU43" i="16"/>
  <c r="AU42" i="16"/>
  <c r="AU41" i="16"/>
  <c r="AN41" i="16"/>
  <c r="AQ41" i="16" s="1"/>
  <c r="AK41" i="16"/>
  <c r="AU40" i="16"/>
  <c r="AN40" i="16"/>
  <c r="AQ40" i="16" s="1"/>
  <c r="AK40" i="16"/>
  <c r="AU39" i="16"/>
  <c r="AU38" i="16"/>
  <c r="AU37" i="16"/>
  <c r="AU36" i="16"/>
  <c r="AU35" i="16"/>
  <c r="AN35" i="16"/>
  <c r="AQ35" i="16" s="1"/>
  <c r="AK35" i="16"/>
  <c r="AU34" i="16"/>
  <c r="AU33" i="16"/>
  <c r="AE13" i="16"/>
  <c r="AC34" i="15"/>
  <c r="Z34" i="15"/>
  <c r="W34" i="15"/>
  <c r="T34" i="15"/>
  <c r="Q34" i="15"/>
  <c r="N34" i="15"/>
  <c r="K34" i="15"/>
  <c r="H34" i="15"/>
  <c r="AC33" i="15"/>
  <c r="Z33" i="15"/>
  <c r="W33" i="15"/>
  <c r="T33" i="15"/>
  <c r="Q33" i="15"/>
  <c r="N33" i="15"/>
  <c r="K33" i="15"/>
  <c r="H33" i="15"/>
  <c r="AP39" i="14"/>
  <c r="P27" i="14"/>
  <c r="J27" i="14"/>
  <c r="D27" i="14"/>
  <c r="P26" i="14"/>
  <c r="P28" i="14" s="1"/>
  <c r="J26" i="14"/>
  <c r="D26" i="14"/>
  <c r="D25" i="14"/>
  <c r="D24" i="14"/>
  <c r="D23" i="14"/>
  <c r="D22" i="14"/>
  <c r="D21" i="14"/>
  <c r="D20" i="14"/>
  <c r="D19" i="14"/>
  <c r="D18" i="14"/>
  <c r="T13" i="14"/>
  <c r="L13" i="14"/>
  <c r="AP36" i="13"/>
  <c r="P27" i="13"/>
  <c r="J27" i="13"/>
  <c r="D27" i="13"/>
  <c r="P26" i="13"/>
  <c r="J26" i="13"/>
  <c r="D26" i="13"/>
  <c r="P25" i="13"/>
  <c r="J25" i="13"/>
  <c r="D25" i="13"/>
  <c r="P24" i="13"/>
  <c r="J24" i="13"/>
  <c r="D24" i="13"/>
  <c r="P23" i="13"/>
  <c r="J23" i="13"/>
  <c r="D23" i="13"/>
  <c r="P22" i="13"/>
  <c r="J22" i="13"/>
  <c r="D22" i="13"/>
  <c r="P21" i="13"/>
  <c r="P28" i="13" s="1"/>
  <c r="J21" i="13"/>
  <c r="J28" i="13" s="1"/>
  <c r="AP35" i="13" s="1"/>
  <c r="AP37" i="13" s="1"/>
  <c r="AJ13" i="13" s="1"/>
  <c r="D21" i="13"/>
  <c r="P20" i="13"/>
  <c r="J20" i="13"/>
  <c r="D20" i="13"/>
  <c r="P19" i="13"/>
  <c r="J19" i="13"/>
  <c r="D19" i="13"/>
  <c r="P18" i="13"/>
  <c r="J18" i="13"/>
  <c r="D18" i="13"/>
  <c r="T13" i="13"/>
  <c r="L13" i="13"/>
  <c r="AP39" i="13" s="1"/>
  <c r="AP36" i="12"/>
  <c r="BD23" i="12"/>
  <c r="BD24" i="12" s="1"/>
  <c r="BD17" i="12"/>
  <c r="BD18" i="12" s="1"/>
  <c r="N13" i="12"/>
  <c r="T13" i="12" s="1"/>
  <c r="AP39" i="11"/>
  <c r="AU29" i="11"/>
  <c r="AQ29" i="11"/>
  <c r="AM29" i="11"/>
  <c r="AI29" i="11"/>
  <c r="AE29" i="11"/>
  <c r="AA29" i="11"/>
  <c r="W29" i="11"/>
  <c r="S29" i="11"/>
  <c r="O29" i="11"/>
  <c r="K29" i="11"/>
  <c r="G29" i="11"/>
  <c r="AU28" i="11"/>
  <c r="AQ28" i="11"/>
  <c r="AM28" i="11"/>
  <c r="AI28" i="11"/>
  <c r="AE28" i="11"/>
  <c r="AA28" i="11"/>
  <c r="W28" i="11"/>
  <c r="S28" i="11"/>
  <c r="O28" i="11"/>
  <c r="K28" i="11"/>
  <c r="G28" i="11"/>
  <c r="AU27" i="11"/>
  <c r="AQ27" i="11"/>
  <c r="AM27" i="11"/>
  <c r="AI27" i="11"/>
  <c r="AE27" i="11"/>
  <c r="AA27" i="11"/>
  <c r="W27" i="11"/>
  <c r="S27" i="11"/>
  <c r="O27" i="11"/>
  <c r="K27" i="11"/>
  <c r="G27" i="11"/>
  <c r="AU26" i="11"/>
  <c r="AQ26" i="11"/>
  <c r="AM26" i="11"/>
  <c r="AI26" i="11"/>
  <c r="AE26" i="11"/>
  <c r="AA26" i="11"/>
  <c r="W26" i="11"/>
  <c r="S26" i="11"/>
  <c r="O26" i="11"/>
  <c r="K26" i="11"/>
  <c r="G26" i="11"/>
  <c r="AU25" i="11"/>
  <c r="AQ25" i="11"/>
  <c r="AM25" i="11"/>
  <c r="AI25" i="11"/>
  <c r="AE25" i="11"/>
  <c r="AA25" i="11"/>
  <c r="W25" i="11"/>
  <c r="S25" i="11"/>
  <c r="O25" i="11"/>
  <c r="K25" i="11"/>
  <c r="G25" i="11"/>
  <c r="AU24" i="11"/>
  <c r="AQ24" i="11"/>
  <c r="AM24" i="11"/>
  <c r="AI24" i="11"/>
  <c r="AE24" i="11"/>
  <c r="AA24" i="11"/>
  <c r="W24" i="11"/>
  <c r="S24" i="11"/>
  <c r="O24" i="11"/>
  <c r="K24" i="11"/>
  <c r="G24" i="11"/>
  <c r="BD23" i="11"/>
  <c r="BD24" i="11" s="1"/>
  <c r="AU23" i="11"/>
  <c r="AQ23" i="11"/>
  <c r="AM23" i="11"/>
  <c r="AI23" i="11"/>
  <c r="AE23" i="11"/>
  <c r="AA23" i="11"/>
  <c r="W23" i="11"/>
  <c r="S23" i="11"/>
  <c r="O23" i="11"/>
  <c r="K23" i="11"/>
  <c r="G23" i="11"/>
  <c r="AU22" i="11"/>
  <c r="AQ22" i="11"/>
  <c r="AM22" i="11"/>
  <c r="AI22" i="11"/>
  <c r="AE22" i="11"/>
  <c r="AA22" i="11"/>
  <c r="W22" i="11"/>
  <c r="S22" i="11"/>
  <c r="O22" i="11"/>
  <c r="K22" i="11"/>
  <c r="G22" i="11"/>
  <c r="AU21" i="11"/>
  <c r="AQ21" i="11"/>
  <c r="AM21" i="11"/>
  <c r="AI21" i="11"/>
  <c r="AE21" i="11"/>
  <c r="AA21" i="11"/>
  <c r="W21" i="11"/>
  <c r="S21" i="11"/>
  <c r="O21" i="11"/>
  <c r="K21" i="11"/>
  <c r="G21" i="11"/>
  <c r="AU20" i="11"/>
  <c r="AQ20" i="11"/>
  <c r="AM20" i="11"/>
  <c r="AI20" i="11"/>
  <c r="AE20" i="11"/>
  <c r="AA20" i="11"/>
  <c r="W20" i="11"/>
  <c r="S20" i="11"/>
  <c r="O20" i="11"/>
  <c r="K20" i="11"/>
  <c r="G20" i="11"/>
  <c r="BD18" i="11"/>
  <c r="BD19" i="11" s="1"/>
  <c r="BD17" i="11"/>
  <c r="T13" i="11"/>
  <c r="N13" i="11"/>
  <c r="AP39" i="10"/>
  <c r="AP36" i="10"/>
  <c r="BD26" i="10"/>
  <c r="BD20" i="10"/>
  <c r="BD21" i="10" s="1"/>
  <c r="G20" i="10"/>
  <c r="N13" i="10"/>
  <c r="T13" i="10" s="1"/>
  <c r="AC53" i="9"/>
  <c r="Z53" i="9"/>
  <c r="W53" i="9"/>
  <c r="T53" i="9"/>
  <c r="Q53" i="9"/>
  <c r="AU52" i="9"/>
  <c r="AK52" i="9"/>
  <c r="AC52" i="9"/>
  <c r="Z52" i="9"/>
  <c r="W52" i="9"/>
  <c r="T52" i="9"/>
  <c r="Q52" i="9"/>
  <c r="AU51" i="9"/>
  <c r="AN51" i="9"/>
  <c r="AQ51" i="9" s="1"/>
  <c r="AK51" i="9"/>
  <c r="AU50" i="9"/>
  <c r="AU49" i="9"/>
  <c r="AU48" i="9"/>
  <c r="AN48" i="9"/>
  <c r="AU47" i="9"/>
  <c r="AU46" i="9"/>
  <c r="AU45" i="9"/>
  <c r="AU44" i="9"/>
  <c r="AU43" i="9"/>
  <c r="AN43" i="9"/>
  <c r="AU42" i="9"/>
  <c r="AU41" i="9"/>
  <c r="AN41" i="9"/>
  <c r="AQ41" i="9" s="1"/>
  <c r="AK41" i="9"/>
  <c r="AU40" i="9"/>
  <c r="AU39" i="9"/>
  <c r="AU38" i="9"/>
  <c r="AN38" i="9"/>
  <c r="AU37" i="9"/>
  <c r="AU36" i="9"/>
  <c r="AU35" i="9"/>
  <c r="AU34" i="9"/>
  <c r="AU33" i="9"/>
  <c r="AN33" i="9"/>
  <c r="AU32" i="9"/>
  <c r="AU31" i="9"/>
  <c r="AN31" i="9"/>
  <c r="AQ31" i="9" s="1"/>
  <c r="AK31" i="9"/>
  <c r="AU30" i="9"/>
  <c r="AU29" i="9"/>
  <c r="AU28" i="9"/>
  <c r="AN28" i="9"/>
  <c r="AU27" i="9"/>
  <c r="AU26" i="9"/>
  <c r="AU25" i="9"/>
  <c r="AU24" i="9"/>
  <c r="AU23" i="9"/>
  <c r="AN23" i="9"/>
  <c r="AU22" i="9"/>
  <c r="AU21" i="9"/>
  <c r="AN21" i="9"/>
  <c r="AQ21" i="9" s="1"/>
  <c r="AK21" i="9"/>
  <c r="AU20" i="9"/>
  <c r="AU19" i="9"/>
  <c r="AU18" i="9"/>
  <c r="AN18" i="9"/>
  <c r="AU17" i="9"/>
  <c r="AU16" i="9"/>
  <c r="AU15" i="9"/>
  <c r="AU14" i="9"/>
  <c r="AU13" i="9"/>
  <c r="AN13" i="9"/>
  <c r="AH16" i="7"/>
  <c r="AG16" i="7"/>
  <c r="AE16" i="7"/>
  <c r="AD16" i="7"/>
  <c r="AB16" i="7"/>
  <c r="AA16" i="7"/>
  <c r="Y16" i="7"/>
  <c r="X16" i="7"/>
  <c r="V16" i="7"/>
  <c r="U16" i="7"/>
  <c r="S16" i="7"/>
  <c r="R16" i="7"/>
  <c r="P16" i="7"/>
  <c r="O16" i="7"/>
  <c r="M16" i="7"/>
  <c r="L16" i="7"/>
  <c r="J16" i="7"/>
  <c r="I16" i="7"/>
  <c r="G16" i="7"/>
  <c r="F16" i="7"/>
  <c r="D16" i="7"/>
  <c r="AH9" i="7"/>
  <c r="AG9" i="7"/>
  <c r="AE9" i="7"/>
  <c r="AD9" i="7"/>
  <c r="AB9" i="7"/>
  <c r="AA9" i="7"/>
  <c r="Y9" i="7"/>
  <c r="X9" i="7"/>
  <c r="V9" i="7"/>
  <c r="U9" i="7"/>
  <c r="S9" i="7"/>
  <c r="R9" i="7"/>
  <c r="P9" i="7"/>
  <c r="O9" i="7"/>
  <c r="M9" i="7"/>
  <c r="L9" i="7"/>
  <c r="J9" i="7"/>
  <c r="I9" i="7"/>
  <c r="G9" i="7"/>
  <c r="F9" i="7"/>
  <c r="D9" i="7"/>
  <c r="AH9" i="6"/>
  <c r="AG9" i="6"/>
  <c r="AE9" i="6"/>
  <c r="AD9" i="6"/>
  <c r="AB9" i="6"/>
  <c r="AA9" i="6"/>
  <c r="Y9" i="6"/>
  <c r="X9" i="6"/>
  <c r="V9" i="6"/>
  <c r="U9" i="6"/>
  <c r="S9" i="6"/>
  <c r="R9" i="6"/>
  <c r="P9" i="6"/>
  <c r="O9" i="6"/>
  <c r="M9" i="6"/>
  <c r="L9" i="6"/>
  <c r="J9" i="6"/>
  <c r="I9" i="6"/>
  <c r="G9" i="6"/>
  <c r="F9" i="6"/>
  <c r="D9" i="6"/>
  <c r="BP25" i="24" l="1"/>
  <c r="AN45" i="21"/>
  <c r="AN44" i="21"/>
  <c r="AN50" i="21"/>
  <c r="AN35" i="21"/>
  <c r="AN48" i="21"/>
  <c r="AN43" i="21"/>
  <c r="AN38" i="21"/>
  <c r="AN33" i="21"/>
  <c r="AN52" i="21"/>
  <c r="AN47" i="21"/>
  <c r="AN42" i="21"/>
  <c r="AN37" i="21"/>
  <c r="AN51" i="21"/>
  <c r="AN46" i="21"/>
  <c r="AN41" i="21"/>
  <c r="AN36" i="21"/>
  <c r="AN40" i="21"/>
  <c r="AN49" i="21"/>
  <c r="AN39" i="21"/>
  <c r="AN34" i="21"/>
  <c r="AN52" i="22"/>
  <c r="AN42" i="22"/>
  <c r="AN51" i="22"/>
  <c r="AN41" i="22"/>
  <c r="AN48" i="22"/>
  <c r="AN38" i="22"/>
  <c r="AN46" i="22"/>
  <c r="AN36" i="22"/>
  <c r="AN50" i="22"/>
  <c r="AN45" i="22"/>
  <c r="AN40" i="22"/>
  <c r="AN35" i="22"/>
  <c r="AN49" i="22"/>
  <c r="AN44" i="22"/>
  <c r="AN39" i="22"/>
  <c r="AN34" i="22"/>
  <c r="AN43" i="22"/>
  <c r="AN33" i="22"/>
  <c r="AN47" i="22"/>
  <c r="AN37" i="22"/>
  <c r="BP27" i="24"/>
  <c r="AQ51" i="23"/>
  <c r="AK51" i="23"/>
  <c r="BP15" i="24"/>
  <c r="BP33" i="24"/>
  <c r="AN35" i="23"/>
  <c r="AN40" i="23"/>
  <c r="AN50" i="23"/>
  <c r="AU53" i="21"/>
  <c r="BP21" i="24"/>
  <c r="BJ27" i="24"/>
  <c r="BG13" i="24"/>
  <c r="BP13" i="24" s="1"/>
  <c r="AN37" i="23"/>
  <c r="AN42" i="23"/>
  <c r="AN47" i="23"/>
  <c r="AN52" i="23"/>
  <c r="BJ13" i="24"/>
  <c r="AI25" i="24"/>
  <c r="BJ33" i="24"/>
  <c r="BJ15" i="24"/>
  <c r="AN33" i="23"/>
  <c r="AN38" i="23"/>
  <c r="AN43" i="23"/>
  <c r="AN48" i="23"/>
  <c r="BJ25" i="24"/>
  <c r="AN34" i="23"/>
  <c r="AN44" i="23"/>
  <c r="AU53" i="23"/>
  <c r="AN36" i="23"/>
  <c r="AN46" i="23"/>
  <c r="AO35" i="24"/>
  <c r="AN39" i="23"/>
  <c r="BJ23" i="24"/>
  <c r="AN45" i="23"/>
  <c r="BP23" i="24"/>
  <c r="BJ29" i="24"/>
  <c r="AN41" i="23"/>
  <c r="AQ50" i="20"/>
  <c r="AK50" i="20"/>
  <c r="H14" i="12"/>
  <c r="C20" i="12" s="1"/>
  <c r="BK11" i="12" s="1"/>
  <c r="BD25" i="12"/>
  <c r="AQ46" i="16"/>
  <c r="AK46" i="16"/>
  <c r="J20" i="10"/>
  <c r="AQ38" i="9"/>
  <c r="AK38" i="9"/>
  <c r="AQ37" i="20"/>
  <c r="AK37" i="20"/>
  <c r="AN51" i="16"/>
  <c r="AQ48" i="9"/>
  <c r="AK48" i="9"/>
  <c r="AP36" i="14"/>
  <c r="J28" i="14"/>
  <c r="AP35" i="14" s="1"/>
  <c r="AP37" i="14" s="1"/>
  <c r="AJ13" i="14" s="1"/>
  <c r="AQ47" i="20"/>
  <c r="AK47" i="20"/>
  <c r="AK53" i="18"/>
  <c r="AQ37" i="19"/>
  <c r="AK37" i="19"/>
  <c r="AQ47" i="19"/>
  <c r="AK47" i="19"/>
  <c r="BD22" i="10"/>
  <c r="AQ13" i="9"/>
  <c r="AK13" i="9"/>
  <c r="AN50" i="9"/>
  <c r="AN45" i="9"/>
  <c r="AN40" i="9"/>
  <c r="AN35" i="9"/>
  <c r="AN30" i="9"/>
  <c r="AN25" i="9"/>
  <c r="AN20" i="9"/>
  <c r="AN15" i="9"/>
  <c r="AN49" i="9"/>
  <c r="AN44" i="9"/>
  <c r="AN39" i="9"/>
  <c r="AN34" i="9"/>
  <c r="AN29" i="9"/>
  <c r="AN24" i="9"/>
  <c r="AN19" i="9"/>
  <c r="AN14" i="9"/>
  <c r="AN47" i="9"/>
  <c r="AN42" i="9"/>
  <c r="AN37" i="9"/>
  <c r="AN32" i="9"/>
  <c r="AN27" i="9"/>
  <c r="AN22" i="9"/>
  <c r="AN17" i="9"/>
  <c r="AQ42" i="20"/>
  <c r="AK42" i="20"/>
  <c r="AN16" i="9"/>
  <c r="AN26" i="9"/>
  <c r="AN36" i="9"/>
  <c r="AN46" i="9"/>
  <c r="AP39" i="12"/>
  <c r="AN36" i="16"/>
  <c r="AQ28" i="9"/>
  <c r="AK28" i="9"/>
  <c r="G31" i="10"/>
  <c r="BB32" i="10"/>
  <c r="BD19" i="12"/>
  <c r="H13" i="12"/>
  <c r="E18" i="12" s="1"/>
  <c r="AP40" i="13"/>
  <c r="AR13" i="13" s="1"/>
  <c r="AX13" i="13" s="1"/>
  <c r="AQ42" i="19"/>
  <c r="AK42" i="19"/>
  <c r="AQ52" i="19"/>
  <c r="AK52" i="19"/>
  <c r="AN49" i="20"/>
  <c r="AN44" i="20"/>
  <c r="AN39" i="20"/>
  <c r="AN34" i="20"/>
  <c r="AN48" i="20"/>
  <c r="AN43" i="20"/>
  <c r="AN38" i="20"/>
  <c r="AN33" i="20"/>
  <c r="AN46" i="20"/>
  <c r="AN51" i="20"/>
  <c r="AN41" i="20"/>
  <c r="AN36" i="20"/>
  <c r="AQ43" i="9"/>
  <c r="AK43" i="9"/>
  <c r="AP36" i="11"/>
  <c r="AN45" i="16"/>
  <c r="AQ23" i="9"/>
  <c r="AK23" i="9"/>
  <c r="H14" i="11"/>
  <c r="C20" i="11" s="1"/>
  <c r="BK11" i="11" s="1"/>
  <c r="BD25" i="11"/>
  <c r="C21" i="11"/>
  <c r="D21" i="10"/>
  <c r="AZ33" i="10" s="1"/>
  <c r="BD27" i="10"/>
  <c r="BD28" i="10" s="1"/>
  <c r="AQ18" i="9"/>
  <c r="AK18" i="9"/>
  <c r="AK53" i="17"/>
  <c r="AQ33" i="9"/>
  <c r="AK33" i="9"/>
  <c r="AN43" i="16"/>
  <c r="AN49" i="16"/>
  <c r="AN44" i="16"/>
  <c r="AN39" i="16"/>
  <c r="AN34" i="16"/>
  <c r="AN48" i="16"/>
  <c r="AN33" i="16"/>
  <c r="AN38" i="16"/>
  <c r="AN52" i="16"/>
  <c r="AN47" i="16"/>
  <c r="AN42" i="16"/>
  <c r="AN37" i="16"/>
  <c r="AQ52" i="20"/>
  <c r="AK52" i="20"/>
  <c r="AN49" i="19"/>
  <c r="AN44" i="19"/>
  <c r="AN39" i="19"/>
  <c r="AN48" i="19"/>
  <c r="AN43" i="19"/>
  <c r="AN38" i="19"/>
  <c r="AN51" i="19"/>
  <c r="AN46" i="19"/>
  <c r="AN41" i="19"/>
  <c r="AN36" i="19"/>
  <c r="AN35" i="20"/>
  <c r="AN45" i="20"/>
  <c r="H13" i="11"/>
  <c r="E18" i="11" s="1"/>
  <c r="AQ47" i="22" l="1"/>
  <c r="AK47" i="22"/>
  <c r="AQ33" i="22"/>
  <c r="AK33" i="22"/>
  <c r="AQ40" i="21"/>
  <c r="AK40" i="21"/>
  <c r="AQ45" i="23"/>
  <c r="AK45" i="23"/>
  <c r="AQ42" i="23"/>
  <c r="AK42" i="23"/>
  <c r="AQ37" i="23"/>
  <c r="AK37" i="23"/>
  <c r="AQ39" i="23"/>
  <c r="AK39" i="23"/>
  <c r="AQ51" i="21"/>
  <c r="AK51" i="21"/>
  <c r="AQ35" i="22"/>
  <c r="AK35" i="22"/>
  <c r="AQ37" i="21"/>
  <c r="AK37" i="21"/>
  <c r="AK46" i="23"/>
  <c r="AQ46" i="23"/>
  <c r="AQ40" i="22"/>
  <c r="AK40" i="22"/>
  <c r="AQ42" i="21"/>
  <c r="AK42" i="21"/>
  <c r="AQ36" i="23"/>
  <c r="AK36" i="23"/>
  <c r="AQ45" i="22"/>
  <c r="AK45" i="22"/>
  <c r="AQ47" i="21"/>
  <c r="AK47" i="21"/>
  <c r="AQ41" i="23"/>
  <c r="AK41" i="23"/>
  <c r="AQ49" i="21"/>
  <c r="AK49" i="21"/>
  <c r="AQ43" i="22"/>
  <c r="AK43" i="22"/>
  <c r="AQ47" i="23"/>
  <c r="AK47" i="23"/>
  <c r="AQ39" i="22"/>
  <c r="AK39" i="22"/>
  <c r="AQ50" i="23"/>
  <c r="AK50" i="23"/>
  <c r="AQ44" i="23"/>
  <c r="AK44" i="23"/>
  <c r="AQ40" i="23"/>
  <c r="AK40" i="23"/>
  <c r="AQ35" i="23"/>
  <c r="AK35" i="23"/>
  <c r="AQ46" i="22"/>
  <c r="AK46" i="22"/>
  <c r="AQ38" i="21"/>
  <c r="AK38" i="21"/>
  <c r="AQ38" i="22"/>
  <c r="AK38" i="22"/>
  <c r="AQ43" i="21"/>
  <c r="AK43" i="21"/>
  <c r="AQ52" i="21"/>
  <c r="AK52" i="21"/>
  <c r="AK34" i="23"/>
  <c r="AQ34" i="23"/>
  <c r="AQ48" i="22"/>
  <c r="AK48" i="22"/>
  <c r="AQ35" i="21"/>
  <c r="AK35" i="21"/>
  <c r="AQ33" i="23"/>
  <c r="AK33" i="23"/>
  <c r="AK42" i="22"/>
  <c r="AQ42" i="22"/>
  <c r="AK44" i="21"/>
  <c r="AQ44" i="21"/>
  <c r="AQ36" i="21"/>
  <c r="AK36" i="21"/>
  <c r="AQ46" i="21"/>
  <c r="AK46" i="21"/>
  <c r="AQ36" i="22"/>
  <c r="AK36" i="22"/>
  <c r="AQ38" i="23"/>
  <c r="AK38" i="23"/>
  <c r="AQ51" i="22"/>
  <c r="AK51" i="22"/>
  <c r="AQ52" i="22"/>
  <c r="AK52" i="22"/>
  <c r="AK45" i="21"/>
  <c r="AQ45" i="21"/>
  <c r="AQ39" i="21"/>
  <c r="AK39" i="21"/>
  <c r="AQ52" i="23"/>
  <c r="AK52" i="23"/>
  <c r="AQ34" i="22"/>
  <c r="AK34" i="22"/>
  <c r="AQ41" i="21"/>
  <c r="AK41" i="21"/>
  <c r="AQ44" i="22"/>
  <c r="AK44" i="22"/>
  <c r="AQ49" i="22"/>
  <c r="AK49" i="22"/>
  <c r="AQ50" i="22"/>
  <c r="AK50" i="22"/>
  <c r="AK33" i="21"/>
  <c r="AQ33" i="21"/>
  <c r="AQ48" i="23"/>
  <c r="AK48" i="23"/>
  <c r="AQ48" i="21"/>
  <c r="AK48" i="21"/>
  <c r="AQ43" i="23"/>
  <c r="AK43" i="23"/>
  <c r="AQ41" i="22"/>
  <c r="AK41" i="22"/>
  <c r="AQ50" i="21"/>
  <c r="AK50" i="21"/>
  <c r="AQ37" i="22"/>
  <c r="AK37" i="22"/>
  <c r="AQ34" i="21"/>
  <c r="AK34" i="21"/>
  <c r="AK48" i="20"/>
  <c r="AQ48" i="20"/>
  <c r="BM10" i="11"/>
  <c r="G30" i="11"/>
  <c r="I18" i="11"/>
  <c r="AK24" i="9"/>
  <c r="AQ24" i="9"/>
  <c r="AQ29" i="9"/>
  <c r="AK29" i="9"/>
  <c r="AQ49" i="20"/>
  <c r="AK49" i="20"/>
  <c r="AQ39" i="16"/>
  <c r="AK39" i="16"/>
  <c r="AQ20" i="9"/>
  <c r="AK20" i="9"/>
  <c r="AK16" i="9"/>
  <c r="AQ16" i="9"/>
  <c r="AQ45" i="16"/>
  <c r="AK45" i="16"/>
  <c r="AQ35" i="9"/>
  <c r="AK35" i="9"/>
  <c r="BM10" i="12"/>
  <c r="G30" i="12"/>
  <c r="AQ32" i="9"/>
  <c r="AK32" i="9"/>
  <c r="AK47" i="16"/>
  <c r="AQ47" i="16"/>
  <c r="AK52" i="16"/>
  <c r="AQ52" i="16"/>
  <c r="AQ34" i="16"/>
  <c r="AK34" i="16"/>
  <c r="AQ15" i="9"/>
  <c r="AK15" i="9"/>
  <c r="AQ43" i="16"/>
  <c r="AK43" i="16"/>
  <c r="AK43" i="19"/>
  <c r="AQ43" i="19"/>
  <c r="I18" i="12"/>
  <c r="AQ37" i="9"/>
  <c r="AK37" i="9"/>
  <c r="J31" i="10"/>
  <c r="BD32" i="10"/>
  <c r="M20" i="10"/>
  <c r="AQ49" i="9"/>
  <c r="AK49" i="9"/>
  <c r="AQ44" i="16"/>
  <c r="AK44" i="16"/>
  <c r="AQ49" i="16"/>
  <c r="AK49" i="16"/>
  <c r="AQ42" i="9"/>
  <c r="AK42" i="9"/>
  <c r="C21" i="12"/>
  <c r="AQ34" i="9"/>
  <c r="AK34" i="9"/>
  <c r="AQ39" i="20"/>
  <c r="AK39" i="20"/>
  <c r="AQ44" i="20"/>
  <c r="AK44" i="20"/>
  <c r="AQ36" i="9"/>
  <c r="AK36" i="9"/>
  <c r="AQ51" i="19"/>
  <c r="AK51" i="19"/>
  <c r="AQ25" i="9"/>
  <c r="AK25" i="9"/>
  <c r="AQ38" i="19"/>
  <c r="AK38" i="19"/>
  <c r="AQ30" i="9"/>
  <c r="AK30" i="9"/>
  <c r="AP40" i="14"/>
  <c r="AR13" i="14" s="1"/>
  <c r="AX13" i="14" s="1"/>
  <c r="AQ17" i="9"/>
  <c r="AK17" i="9"/>
  <c r="AQ39" i="19"/>
  <c r="AK39" i="19"/>
  <c r="AQ22" i="9"/>
  <c r="AK22" i="9"/>
  <c r="AN51" i="17"/>
  <c r="AN46" i="17"/>
  <c r="AN41" i="17"/>
  <c r="AN36" i="17"/>
  <c r="AN50" i="17"/>
  <c r="AN40" i="17"/>
  <c r="AN45" i="17"/>
  <c r="AN35" i="17"/>
  <c r="AN49" i="17"/>
  <c r="AN44" i="17"/>
  <c r="AN39" i="17"/>
  <c r="AN34" i="17"/>
  <c r="AN38" i="17"/>
  <c r="AN52" i="17"/>
  <c r="AN42" i="17"/>
  <c r="AN48" i="17"/>
  <c r="AN43" i="17"/>
  <c r="AN33" i="17"/>
  <c r="AN47" i="17"/>
  <c r="AN37" i="17"/>
  <c r="AQ27" i="9"/>
  <c r="AK27" i="9"/>
  <c r="AQ36" i="20"/>
  <c r="AK36" i="20"/>
  <c r="AQ46" i="20"/>
  <c r="AK46" i="20"/>
  <c r="AQ47" i="9"/>
  <c r="AK47" i="9"/>
  <c r="AQ43" i="20"/>
  <c r="AK43" i="20"/>
  <c r="BK12" i="11"/>
  <c r="C22" i="11"/>
  <c r="AN45" i="18"/>
  <c r="AN51" i="18"/>
  <c r="AN46" i="18"/>
  <c r="AN41" i="18"/>
  <c r="AN36" i="18"/>
  <c r="AN50" i="18"/>
  <c r="AN40" i="18"/>
  <c r="AN35" i="18"/>
  <c r="AN49" i="18"/>
  <c r="AN44" i="18"/>
  <c r="AN39" i="18"/>
  <c r="AN34" i="18"/>
  <c r="AN42" i="18"/>
  <c r="AN33" i="18"/>
  <c r="AN48" i="18"/>
  <c r="AN38" i="18"/>
  <c r="AN47" i="18"/>
  <c r="AN43" i="18"/>
  <c r="AN37" i="18"/>
  <c r="AN52" i="18"/>
  <c r="AQ34" i="20"/>
  <c r="AK34" i="20"/>
  <c r="AQ45" i="20"/>
  <c r="AK45" i="20"/>
  <c r="AQ36" i="16"/>
  <c r="AK36" i="16"/>
  <c r="AK35" i="20"/>
  <c r="AQ35" i="20"/>
  <c r="AQ41" i="19"/>
  <c r="AK41" i="19"/>
  <c r="AQ46" i="19"/>
  <c r="AK46" i="19"/>
  <c r="AK26" i="9"/>
  <c r="AQ26" i="9"/>
  <c r="AQ48" i="19"/>
  <c r="AK48" i="19"/>
  <c r="AQ44" i="19"/>
  <c r="AK44" i="19"/>
  <c r="AQ50" i="9"/>
  <c r="AK50" i="9"/>
  <c r="D22" i="10"/>
  <c r="AZ34" i="10" s="1"/>
  <c r="D23" i="10"/>
  <c r="AZ35" i="10" s="1"/>
  <c r="AK37" i="16"/>
  <c r="AQ37" i="16"/>
  <c r="AK33" i="20"/>
  <c r="AQ33" i="20"/>
  <c r="AQ14" i="9"/>
  <c r="AK14" i="9"/>
  <c r="AQ38" i="16"/>
  <c r="AK38" i="16"/>
  <c r="AK33" i="16"/>
  <c r="AQ33" i="16"/>
  <c r="AQ39" i="9"/>
  <c r="AK39" i="9"/>
  <c r="AQ48" i="16"/>
  <c r="AK48" i="16"/>
  <c r="AK44" i="9"/>
  <c r="AQ44" i="9"/>
  <c r="AQ36" i="19"/>
  <c r="AK36" i="19"/>
  <c r="AK46" i="9"/>
  <c r="AQ46" i="9"/>
  <c r="AQ51" i="16"/>
  <c r="AK51" i="16"/>
  <c r="AQ40" i="9"/>
  <c r="AK40" i="9"/>
  <c r="AQ45" i="9"/>
  <c r="AK45" i="9"/>
  <c r="AQ49" i="19"/>
  <c r="AK49" i="19"/>
  <c r="AQ41" i="20"/>
  <c r="AK41" i="20"/>
  <c r="AK51" i="20"/>
  <c r="AQ51" i="20"/>
  <c r="AK42" i="16"/>
  <c r="AQ42" i="16"/>
  <c r="AK38" i="20"/>
  <c r="AQ38" i="20"/>
  <c r="AK19" i="9"/>
  <c r="AQ19" i="9"/>
  <c r="AQ41" i="17" l="1"/>
  <c r="AK41" i="17"/>
  <c r="AK49" i="18"/>
  <c r="AQ49" i="18"/>
  <c r="D24" i="10"/>
  <c r="AK42" i="17"/>
  <c r="AQ42" i="17"/>
  <c r="AK45" i="18"/>
  <c r="AQ45" i="18"/>
  <c r="AQ37" i="18"/>
  <c r="AK37" i="18"/>
  <c r="AQ43" i="18"/>
  <c r="AK43" i="18"/>
  <c r="AQ47" i="18"/>
  <c r="AK47" i="18"/>
  <c r="AQ49" i="17"/>
  <c r="AK49" i="17"/>
  <c r="AK39" i="18"/>
  <c r="AQ39" i="18"/>
  <c r="AK37" i="17"/>
  <c r="AQ37" i="17"/>
  <c r="AQ33" i="17"/>
  <c r="AK33" i="17"/>
  <c r="AQ38" i="17"/>
  <c r="AK38" i="17"/>
  <c r="BK13" i="11"/>
  <c r="C23" i="11"/>
  <c r="AQ44" i="17"/>
  <c r="AK44" i="17"/>
  <c r="AQ38" i="18"/>
  <c r="AK38" i="18"/>
  <c r="AK35" i="17"/>
  <c r="AQ35" i="17"/>
  <c r="BO10" i="11"/>
  <c r="K30" i="11"/>
  <c r="M18" i="11"/>
  <c r="AK44" i="18"/>
  <c r="AQ44" i="18"/>
  <c r="AK35" i="18"/>
  <c r="AQ35" i="18"/>
  <c r="AK47" i="17"/>
  <c r="AQ47" i="17"/>
  <c r="AK50" i="18"/>
  <c r="AQ50" i="18"/>
  <c r="AQ43" i="17"/>
  <c r="AK43" i="17"/>
  <c r="AQ51" i="18"/>
  <c r="AK51" i="18"/>
  <c r="AQ34" i="17"/>
  <c r="AK34" i="17"/>
  <c r="AQ45" i="17"/>
  <c r="AK45" i="17"/>
  <c r="M31" i="10"/>
  <c r="BF32" i="10"/>
  <c r="P20" i="10"/>
  <c r="AK40" i="18"/>
  <c r="AQ40" i="18"/>
  <c r="AQ52" i="18"/>
  <c r="AK52" i="18"/>
  <c r="AQ33" i="18"/>
  <c r="AK33" i="18"/>
  <c r="AQ40" i="17"/>
  <c r="AK40" i="17"/>
  <c r="AQ46" i="17"/>
  <c r="AK46" i="17"/>
  <c r="BK12" i="12"/>
  <c r="C22" i="12"/>
  <c r="AK52" i="17"/>
  <c r="AQ52" i="17"/>
  <c r="AQ39" i="17"/>
  <c r="AK39" i="17"/>
  <c r="AQ48" i="18"/>
  <c r="AK48" i="18"/>
  <c r="AK42" i="18"/>
  <c r="AQ42" i="18"/>
  <c r="AQ50" i="17"/>
  <c r="AK50" i="17"/>
  <c r="BO10" i="12"/>
  <c r="K30" i="12"/>
  <c r="M18" i="12"/>
  <c r="AQ51" i="17"/>
  <c r="AK51" i="17"/>
  <c r="AQ36" i="18"/>
  <c r="AK36" i="18"/>
  <c r="AQ41" i="18"/>
  <c r="AK41" i="18"/>
  <c r="AK48" i="17"/>
  <c r="AQ48" i="17"/>
  <c r="AQ46" i="18"/>
  <c r="AK46" i="18"/>
  <c r="AK34" i="18"/>
  <c r="AQ34" i="18"/>
  <c r="AQ36" i="17"/>
  <c r="AK36" i="17"/>
  <c r="BQ10" i="11" l="1"/>
  <c r="Q18" i="11"/>
  <c r="O30" i="11"/>
  <c r="BK13" i="12"/>
  <c r="C23" i="12"/>
  <c r="AZ36" i="10"/>
  <c r="D25" i="10"/>
  <c r="P31" i="10"/>
  <c r="BH32" i="10"/>
  <c r="BJ32" i="10"/>
  <c r="S20" i="10"/>
  <c r="BQ10" i="12"/>
  <c r="O30" i="12"/>
  <c r="Q18" i="12"/>
  <c r="BK14" i="11"/>
  <c r="C24" i="11"/>
  <c r="BK14" i="12" l="1"/>
  <c r="C24" i="12"/>
  <c r="BS10" i="12"/>
  <c r="S30" i="12"/>
  <c r="U18" i="12"/>
  <c r="AZ37" i="10"/>
  <c r="D26" i="10"/>
  <c r="BS10" i="11"/>
  <c r="U18" i="11"/>
  <c r="S30" i="11"/>
  <c r="BK15" i="11"/>
  <c r="C25" i="11"/>
  <c r="S31" i="10"/>
  <c r="BL32" i="10"/>
  <c r="V20" i="10"/>
  <c r="AZ38" i="10" l="1"/>
  <c r="D27" i="10"/>
  <c r="BK16" i="11"/>
  <c r="C26" i="11"/>
  <c r="BU10" i="11"/>
  <c r="W30" i="11"/>
  <c r="Y18" i="11"/>
  <c r="W30" i="12"/>
  <c r="BU10" i="12"/>
  <c r="Y18" i="12"/>
  <c r="BK15" i="12"/>
  <c r="C25" i="12"/>
  <c r="V31" i="10"/>
  <c r="BN32" i="10"/>
  <c r="Y20" i="10"/>
  <c r="Y31" i="10" l="1"/>
  <c r="BP32" i="10"/>
  <c r="AB20" i="10"/>
  <c r="BK16" i="12"/>
  <c r="C26" i="12"/>
  <c r="AZ39" i="10"/>
  <c r="D28" i="10"/>
  <c r="AA30" i="12"/>
  <c r="BW10" i="12"/>
  <c r="AC18" i="12"/>
  <c r="BK17" i="11"/>
  <c r="C27" i="11"/>
  <c r="BW10" i="11"/>
  <c r="AA30" i="11"/>
  <c r="AC18" i="11"/>
  <c r="BK17" i="12" l="1"/>
  <c r="C27" i="12"/>
  <c r="BK18" i="11"/>
  <c r="C28" i="11"/>
  <c r="AB31" i="10"/>
  <c r="AE20" i="10"/>
  <c r="AZ40" i="10"/>
  <c r="D29" i="10"/>
  <c r="AE30" i="11"/>
  <c r="BY10" i="11"/>
  <c r="AG18" i="11"/>
  <c r="AE30" i="12"/>
  <c r="BY10" i="12"/>
  <c r="AG18" i="12"/>
  <c r="AI30" i="12" l="1"/>
  <c r="CA10" i="12"/>
  <c r="AK18" i="12"/>
  <c r="AI30" i="11"/>
  <c r="CA10" i="11"/>
  <c r="AK18" i="11"/>
  <c r="AZ41" i="10"/>
  <c r="D30" i="10"/>
  <c r="AZ42" i="10" s="1"/>
  <c r="BR32" i="10"/>
  <c r="AE31" i="10"/>
  <c r="AH20" i="10"/>
  <c r="BK19" i="11"/>
  <c r="C29" i="11"/>
  <c r="BK20" i="11" s="1"/>
  <c r="BK18" i="12"/>
  <c r="C28" i="12"/>
  <c r="BK19" i="12" l="1"/>
  <c r="C29" i="12"/>
  <c r="BK20" i="12" s="1"/>
  <c r="AM30" i="12"/>
  <c r="CC10" i="12"/>
  <c r="AO18" i="12"/>
  <c r="BT32" i="10"/>
  <c r="AH31" i="10"/>
  <c r="AK20" i="10"/>
  <c r="AM30" i="11"/>
  <c r="CC10" i="11"/>
  <c r="AO18" i="11"/>
  <c r="AS18" i="11" l="1"/>
  <c r="AQ30" i="11"/>
  <c r="CE10" i="11"/>
  <c r="CE10" i="12"/>
  <c r="AQ30" i="12"/>
  <c r="AS18" i="12"/>
  <c r="BV32" i="10"/>
  <c r="AK31" i="10"/>
  <c r="AN20" i="10"/>
  <c r="BX32" i="10" l="1"/>
  <c r="AN31" i="10"/>
  <c r="AQ20" i="10"/>
  <c r="CG10" i="12"/>
  <c r="AU30" i="12"/>
  <c r="AP35" i="12" s="1"/>
  <c r="AP37" i="12" s="1"/>
  <c r="CG10" i="11"/>
  <c r="AU30" i="11"/>
  <c r="AP35" i="11" s="1"/>
  <c r="AP37" i="11" s="1"/>
  <c r="AJ13" i="12" l="1"/>
  <c r="AP40" i="12"/>
  <c r="AR13" i="12" s="1"/>
  <c r="AX13" i="12" s="1"/>
  <c r="AJ13" i="11"/>
  <c r="AP40" i="11"/>
  <c r="AR13" i="11" s="1"/>
  <c r="AX13" i="11" s="1"/>
  <c r="BZ32" i="10"/>
  <c r="AQ31" i="10"/>
  <c r="AT20" i="10"/>
  <c r="CB32" i="10" l="1"/>
  <c r="AT31" i="10"/>
  <c r="AP35" i="10" s="1"/>
  <c r="AP37" i="10" s="1"/>
  <c r="AJ13" i="10" l="1"/>
  <c r="AP40" i="10"/>
  <c r="AR13" i="10" s="1"/>
  <c r="AX13" i="10" s="1"/>
  <c r="AD43" i="3" l="1"/>
  <c r="L43" i="3"/>
  <c r="AE41" i="3"/>
  <c r="M41" i="3"/>
  <c r="AE40" i="3"/>
  <c r="M40" i="3"/>
  <c r="AE39" i="3"/>
  <c r="M39" i="3"/>
  <c r="AK30" i="3"/>
  <c r="BH25" i="3"/>
  <c r="AT25" i="3"/>
  <c r="AG25" i="3"/>
  <c r="G25" i="3"/>
  <c r="BH23" i="3"/>
  <c r="AT23" i="3"/>
  <c r="T23" i="3"/>
  <c r="BH22" i="3"/>
  <c r="BH24" i="3" s="1"/>
  <c r="AT22" i="3"/>
  <c r="AT24" i="3" s="1"/>
  <c r="T22" i="3"/>
  <c r="T21" i="3"/>
  <c r="AQ17" i="3"/>
  <c r="AN17" i="3"/>
  <c r="BH16" i="3"/>
  <c r="AZ16" i="3"/>
  <c r="BH15" i="3"/>
  <c r="AZ15" i="3"/>
  <c r="AZ14" i="3"/>
  <c r="AQ8" i="3"/>
  <c r="AN8" i="3"/>
  <c r="BH7" i="3"/>
  <c r="AZ7" i="3"/>
  <c r="BH6" i="3"/>
  <c r="AZ6" i="3"/>
  <c r="BH5" i="3"/>
  <c r="AZ5" i="3"/>
  <c r="AH43" i="2"/>
  <c r="AG43" i="2"/>
  <c r="AE43" i="2"/>
  <c r="AD43" i="2"/>
  <c r="AB43" i="2"/>
  <c r="AA43" i="2"/>
  <c r="Y43" i="2"/>
  <c r="X43" i="2"/>
  <c r="V43" i="2"/>
  <c r="U43" i="2"/>
  <c r="S43" i="2"/>
  <c r="R43" i="2"/>
  <c r="P43" i="2"/>
  <c r="O43" i="2"/>
  <c r="M43" i="2"/>
  <c r="L43" i="2"/>
  <c r="J43" i="2"/>
  <c r="I43" i="2"/>
  <c r="G43" i="2"/>
  <c r="F43" i="2"/>
  <c r="D43" i="2"/>
  <c r="M40" i="2"/>
  <c r="M39" i="2"/>
  <c r="M38" i="2"/>
  <c r="AK34" i="2"/>
  <c r="AT24" i="2"/>
  <c r="AD24" i="2"/>
  <c r="AT22" i="2"/>
  <c r="P22" i="2"/>
  <c r="AT21" i="2"/>
  <c r="AT23" i="2" s="1"/>
  <c r="AQ16" i="2"/>
  <c r="AN16" i="2"/>
  <c r="BH15" i="2"/>
  <c r="AZ15" i="2"/>
  <c r="BH14" i="2"/>
  <c r="AZ14" i="2"/>
  <c r="BH13" i="2"/>
  <c r="AZ13" i="2"/>
</calcChain>
</file>

<file path=xl/sharedStrings.xml><?xml version="1.0" encoding="utf-8"?>
<sst xmlns="http://schemas.openxmlformats.org/spreadsheetml/2006/main" count="2939" uniqueCount="920">
  <si>
    <t>SHEET ID</t>
  </si>
  <si>
    <t xml:space="preserve">INPUT DESCRIPTION </t>
  </si>
  <si>
    <t>USER INPUT</t>
  </si>
  <si>
    <t>General Information Setup</t>
  </si>
  <si>
    <t>Project Name</t>
  </si>
  <si>
    <t>Project Location</t>
  </si>
  <si>
    <t>Campos Start Date on Project</t>
  </si>
  <si>
    <t>Campos End Date on Project</t>
  </si>
  <si>
    <t>Assigned Campos Project Manager</t>
  </si>
  <si>
    <t>Client Report Prepared for</t>
  </si>
  <si>
    <t>Client Name</t>
  </si>
  <si>
    <t>Client Address</t>
  </si>
  <si>
    <t>Client Phone Number</t>
  </si>
  <si>
    <t>Report Certifications Flyer</t>
  </si>
  <si>
    <t>Owner Name</t>
  </si>
  <si>
    <t>Architect Name</t>
  </si>
  <si>
    <t>MEP Engineer Name</t>
  </si>
  <si>
    <t>Contractor Name</t>
  </si>
  <si>
    <t>Campos NEBB Supervisor</t>
  </si>
  <si>
    <t>Campos Project No.</t>
  </si>
  <si>
    <t>Campos Sealing P.E.</t>
  </si>
  <si>
    <t>Campos NEBB Supervisor Email Address</t>
  </si>
  <si>
    <t>NEBB Sealing Office</t>
  </si>
  <si>
    <t>Report Type</t>
  </si>
  <si>
    <r>
      <t xml:space="preserve">Bid Estimate Durations </t>
    </r>
    <r>
      <rPr>
        <b/>
        <u/>
        <sz val="9"/>
        <color theme="1"/>
        <rFont val="Arial"/>
        <family val="2"/>
      </rPr>
      <t>(Hrs.)</t>
    </r>
  </si>
  <si>
    <t>NOTE: If Dur. = 0 input .001</t>
  </si>
  <si>
    <t>Deficiency List</t>
  </si>
  <si>
    <t>Field Check &amp; Meeting</t>
  </si>
  <si>
    <t>Pre-Site (90%)</t>
  </si>
  <si>
    <t>30/60/90/Opp</t>
  </si>
  <si>
    <t>Control Verification</t>
  </si>
  <si>
    <t>TAB Plan Report</t>
  </si>
  <si>
    <t>Preparation Time</t>
  </si>
  <si>
    <t>Report Time</t>
  </si>
  <si>
    <t>T&amp;B REPORT BUILDER</t>
  </si>
  <si>
    <t>NOTE-5: SELECT ALL IF YOU DON'T KNOW TRAV. TYPE. NON-USED TAVS. CAN BE DELETED LATER IN THE FIELD.</t>
  </si>
  <si>
    <t>NOTE-4: DO NOT USE ANY OF THE FOLLOWING IN UNIT NAMES \ / ? * [ ] :</t>
  </si>
  <si>
    <t>NOTE-3: DO NOT COPY (OR DRAG) CELL HORIZONTALLY.</t>
  </si>
  <si>
    <t>NOTE-2: DO NOT ADJUST COLUMN WIDTHS OR ACTIVATE TEXT WRAP. IF YOUR TEXT DOES NOT FIT USE AN ABBREVIATION.</t>
  </si>
  <si>
    <t>NOTE-1: YELLOW CELLS INDICATE REQUIRED DATA FOR REPORT BUILDER TO FUNCTION PROPERLY.</t>
  </si>
  <si>
    <t>© 2016 - 2023 Campos Engineering, Inc.</t>
  </si>
  <si>
    <t>Report Equipment</t>
  </si>
  <si>
    <t>How many AHU's?</t>
  </si>
  <si>
    <t>AHU</t>
  </si>
  <si>
    <t>Sheet Data</t>
  </si>
  <si>
    <t>Design Unit Data</t>
  </si>
  <si>
    <t>System (KEY)</t>
  </si>
  <si>
    <t>Area Served</t>
  </si>
  <si>
    <t>Location</t>
  </si>
  <si>
    <t>Manufacturer (MFG.)</t>
  </si>
  <si>
    <t>Type</t>
  </si>
  <si>
    <t>Model No.</t>
  </si>
  <si>
    <t>Single or Dual Fan?</t>
  </si>
  <si>
    <t>Design Supply Data</t>
  </si>
  <si>
    <t>Design Airflow Data</t>
  </si>
  <si>
    <t>Additional AHU Workbook Sheets</t>
  </si>
  <si>
    <t>CFM</t>
  </si>
  <si>
    <t>TSP</t>
  </si>
  <si>
    <t>ESP</t>
  </si>
  <si>
    <t>RPM</t>
  </si>
  <si>
    <t>BHP</t>
  </si>
  <si>
    <t>Return (CFM)</t>
  </si>
  <si>
    <t>Outside (CFM)</t>
  </si>
  <si>
    <t>Supply Fan Curve?</t>
  </si>
  <si>
    <t>CHW Coil Summary?</t>
  </si>
  <si>
    <t>HHW Coil Summary?</t>
  </si>
  <si>
    <t>DX Coil Summary?</t>
  </si>
  <si>
    <t>HP Coil Summary?</t>
  </si>
  <si>
    <t>Elec. Heat Summary?</t>
  </si>
  <si>
    <t>Gas Heat Summary?</t>
  </si>
  <si>
    <t>Outlet Sheet or ATU Summary?</t>
  </si>
  <si>
    <t>How Many Supply Outlets?</t>
  </si>
  <si>
    <t>How Many Ducted Return Inlets? IF=1, use cell G26 on parent sheet.</t>
  </si>
  <si>
    <t>How Many ATU's?</t>
  </si>
  <si>
    <t>Supply Traverse?</t>
  </si>
  <si>
    <t>Inlet Sheet or ATU Summary?</t>
  </si>
  <si>
    <t>If Dual, Type of Secondary Fan?</t>
  </si>
  <si>
    <t>How Many Inlets?</t>
  </si>
  <si>
    <t>How Many Outlets?</t>
  </si>
  <si>
    <t>Outlet Data</t>
  </si>
  <si>
    <t>Area Served / Location</t>
  </si>
  <si>
    <t>Outlet No.</t>
  </si>
  <si>
    <t>Outlet Type</t>
  </si>
  <si>
    <t>Outlet Size " (Do not include units)</t>
  </si>
  <si>
    <t>Design CFM</t>
  </si>
  <si>
    <t>Box No. (KEY)</t>
  </si>
  <si>
    <t>Inlet Data</t>
  </si>
  <si>
    <t>Inlet No.</t>
  </si>
  <si>
    <t>Inlet Type</t>
  </si>
  <si>
    <t>Inlet Size " (Do not include units)</t>
  </si>
  <si>
    <t>Design Performance Data</t>
  </si>
  <si>
    <t>Series &amp; Parallel FPB Additional Data</t>
  </si>
  <si>
    <t>Series &amp; Parallel FPB w/ OA. Additional Data</t>
  </si>
  <si>
    <t>Additional ATU Information</t>
  </si>
  <si>
    <t>Type of ATU Data Sheet</t>
  </si>
  <si>
    <t>Inlet Size "                                                                          (Do not include units)</t>
  </si>
  <si>
    <t>Inlet Shape</t>
  </si>
  <si>
    <t>CLG. MAX. CFM</t>
  </si>
  <si>
    <t>CLG. MIN. CFM</t>
  </si>
  <si>
    <t>HTG. MAX. CFM</t>
  </si>
  <si>
    <t>HTG. MIN. CFM</t>
  </si>
  <si>
    <t>Fan CFM</t>
  </si>
  <si>
    <t>Fan H.P.</t>
  </si>
  <si>
    <t>Fan AMPs</t>
  </si>
  <si>
    <t>Fan Volts</t>
  </si>
  <si>
    <t>OA. MIN. CFM</t>
  </si>
  <si>
    <t>OA. MAX. CFM</t>
  </si>
  <si>
    <t>OA. Inlet Size "                                                                          (Do not include units)</t>
  </si>
  <si>
    <t>OA. Inlet Shape</t>
  </si>
  <si>
    <t>AHU Supply ATU</t>
  </si>
  <si>
    <t>AHU Supply</t>
  </si>
  <si>
    <t>AHU Secondary Fan</t>
  </si>
  <si>
    <t>AHU Secondary ATU</t>
  </si>
  <si>
    <t>AHU Supply Outlet</t>
  </si>
  <si>
    <t>AHU Supply ATU Outlet</t>
  </si>
  <si>
    <t>AHU Supply Ducted Return  Inlet</t>
  </si>
  <si>
    <t>AHU Secondary Inlet</t>
  </si>
  <si>
    <t>AHU Secondary ATU Inlet</t>
  </si>
  <si>
    <t>AHU Secondary</t>
  </si>
  <si>
    <t>ahu1</t>
  </si>
  <si>
    <t>Dual</t>
  </si>
  <si>
    <t>area</t>
  </si>
  <si>
    <t>location</t>
  </si>
  <si>
    <t>mfg</t>
  </si>
  <si>
    <t>HDT</t>
  </si>
  <si>
    <t>Yes</t>
  </si>
  <si>
    <t>ALL</t>
  </si>
  <si>
    <t>Outlet Sheet</t>
  </si>
  <si>
    <t>ATU Summary</t>
  </si>
  <si>
    <t>Single Duct VAV</t>
  </si>
  <si>
    <t>key1</t>
  </si>
  <si>
    <t>Series FPB</t>
  </si>
  <si>
    <t>Supply Air Valve</t>
  </si>
  <si>
    <t>key2</t>
  </si>
  <si>
    <t>key3</t>
  </si>
  <si>
    <t>area1</t>
  </si>
  <si>
    <t>Double Duct VAV</t>
  </si>
  <si>
    <t>loc1</t>
  </si>
  <si>
    <t>Round</t>
  </si>
  <si>
    <t>Oval</t>
  </si>
  <si>
    <t>Rectangle</t>
  </si>
  <si>
    <t>mfg1</t>
  </si>
  <si>
    <t>VAV</t>
  </si>
  <si>
    <t>DDVAV</t>
  </si>
  <si>
    <t>FPB</t>
  </si>
  <si>
    <t>no1</t>
  </si>
  <si>
    <t>loc2</t>
  </si>
  <si>
    <t>loc3</t>
  </si>
  <si>
    <t>loc4</t>
  </si>
  <si>
    <t>out1</t>
  </si>
  <si>
    <t>out2</t>
  </si>
  <si>
    <t>out3</t>
  </si>
  <si>
    <t>out4</t>
  </si>
  <si>
    <t>out5</t>
  </si>
  <si>
    <t>out6</t>
  </si>
  <si>
    <t>out7</t>
  </si>
  <si>
    <t>out8</t>
  </si>
  <si>
    <t>loc5</t>
  </si>
  <si>
    <t>loc6</t>
  </si>
  <si>
    <t>INTERNAL USE ONLY - DOES NOT PRINT</t>
  </si>
  <si>
    <t>GENERAL FIELD CALC. AREA</t>
  </si>
  <si>
    <t>PROJECT</t>
  </si>
  <si>
    <t>SYSTEM</t>
  </si>
  <si>
    <t>AREA SERVED</t>
  </si>
  <si>
    <t>LOCATION</t>
  </si>
  <si>
    <t>UNIT DATA</t>
  </si>
  <si>
    <t>FILTER DATA</t>
  </si>
  <si>
    <t>MOTOR ACTUAL BHP CALCS.</t>
  </si>
  <si>
    <t>MFG.</t>
  </si>
  <si>
    <t>FILTER SECTION</t>
  </si>
  <si>
    <t>AMPS.</t>
  </si>
  <si>
    <t>VOLTS</t>
  </si>
  <si>
    <r>
      <t>AMP IMBALANCE TEST</t>
    </r>
    <r>
      <rPr>
        <vertAlign val="superscript"/>
        <sz val="9"/>
        <color theme="1"/>
        <rFont val="Arial"/>
        <family val="2"/>
      </rPr>
      <t>1</t>
    </r>
  </si>
  <si>
    <r>
      <t>VOLT IMBALANCE TEST</t>
    </r>
    <r>
      <rPr>
        <vertAlign val="superscript"/>
        <sz val="9"/>
        <color theme="1"/>
        <rFont val="Arial"/>
        <family val="2"/>
      </rPr>
      <t>2</t>
    </r>
  </si>
  <si>
    <t>TYPE</t>
  </si>
  <si>
    <t>QUANTITY</t>
  </si>
  <si>
    <t>TEST 1</t>
  </si>
  <si>
    <t>MOTOR EFF.</t>
  </si>
  <si>
    <t>MODEL NO.</t>
  </si>
  <si>
    <t>SIZE (in.)</t>
  </si>
  <si>
    <t>TEST 2</t>
  </si>
  <si>
    <t>SERVICE</t>
  </si>
  <si>
    <t>Conditioned Air</t>
  </si>
  <si>
    <t>TEST 3</t>
  </si>
  <si>
    <t>POWER FACTOR</t>
  </si>
  <si>
    <t>SERIAL NO.</t>
  </si>
  <si>
    <t>S.P. ACROSS</t>
  </si>
  <si>
    <t>"w.c.</t>
  </si>
  <si>
    <t>AVG.</t>
  </si>
  <si>
    <t>1. Amp imbalance may indicate problems with the motor or power supply.</t>
  </si>
  <si>
    <t>CONDITION</t>
  </si>
  <si>
    <t>MOTOR PHASE</t>
  </si>
  <si>
    <t>2. Volt imbalance may cause motors to overheat. Many solid-state motor controllers and inverters are sensitive to imbalanced voltage.</t>
  </si>
  <si>
    <t>SUPPLY FAN DATA</t>
  </si>
  <si>
    <t>ROTATION</t>
  </si>
  <si>
    <t>POWER TRANSMISSION (PT) CALCS.</t>
  </si>
  <si>
    <t>DETERMINING FAN ROTATION</t>
  </si>
  <si>
    <t>DESIGN</t>
  </si>
  <si>
    <t>MTR TO FAN SHEAVE RATIO</t>
  </si>
  <si>
    <t>ACTUAL</t>
  </si>
  <si>
    <t>CALC. BELT LENGTH</t>
  </si>
  <si>
    <t>"</t>
  </si>
  <si>
    <t>FAN MOTOR RPM PER PT</t>
  </si>
  <si>
    <t>AIRFLOW DATA</t>
  </si>
  <si>
    <t>POWER TRANSMISSION DATA</t>
  </si>
  <si>
    <t>X</t>
  </si>
  <si>
    <r>
      <t>MIN. FAN MTR RPM PER PT</t>
    </r>
    <r>
      <rPr>
        <vertAlign val="superscript"/>
        <sz val="9"/>
        <color theme="1"/>
        <rFont val="Arial"/>
        <family val="2"/>
      </rPr>
      <t>1</t>
    </r>
  </si>
  <si>
    <t>RETURN</t>
  </si>
  <si>
    <t>OUTSIDE</t>
  </si>
  <si>
    <t>TRANSMISSION TYPE</t>
  </si>
  <si>
    <t xml:space="preserve">1. If fan motor RPM falls below this min. number (cell red) check for belt slippage or belt riding on motor shaft. Based on 0.5" reduction on motor and fan sheave. </t>
  </si>
  <si>
    <t>DESIGN (CFM)</t>
  </si>
  <si>
    <t>MOTOR SHEAVE MFG.</t>
  </si>
  <si>
    <t>ACTUAL (CFM)</t>
  </si>
  <si>
    <t>MOTOR SHEAVE</t>
  </si>
  <si>
    <t>"I.D.</t>
  </si>
  <si>
    <t>"O.D.</t>
  </si>
  <si>
    <t>DAMPER POS.</t>
  </si>
  <si>
    <t>Open</t>
  </si>
  <si>
    <t>FAN SHEAVE MFG.</t>
  </si>
  <si>
    <t>FAN SHEAVE</t>
  </si>
  <si>
    <t>MOTOR DATA</t>
  </si>
  <si>
    <t>BELT MFG.</t>
  </si>
  <si>
    <t>NO. BELTS &amp; SIZE</t>
  </si>
  <si>
    <t>@</t>
  </si>
  <si>
    <t>FRAME</t>
  </si>
  <si>
    <t>CENTER DISTANCE</t>
  </si>
  <si>
    <t>"C.C.</t>
  </si>
  <si>
    <t>H.P.</t>
  </si>
  <si>
    <t>DUCT DP SETPOINT CALC. (+20% Tol.)</t>
  </si>
  <si>
    <t>SERVICE FACTOR</t>
  </si>
  <si>
    <t>DUCT STATIC PRESSURE</t>
  </si>
  <si>
    <t>SETPOINT</t>
  </si>
  <si>
    <t>ACT. MEASUREMENT</t>
  </si>
  <si>
    <t>FULL LOAD AMPS.</t>
  </si>
  <si>
    <t>---</t>
  </si>
  <si>
    <t>CRT. NAME AMPS.</t>
  </si>
  <si>
    <t>OP. AMPS.</t>
  </si>
  <si>
    <t>SUPPLY FAN SPEED FINAL SETTING</t>
  </si>
  <si>
    <t>STATIC PRESSURE PROFILE SELECTIONS</t>
  </si>
  <si>
    <t>BASIC TESTING WORKFLOW (Indicate Complete with x)</t>
  </si>
  <si>
    <t>A - B</t>
  </si>
  <si>
    <t>Verify duct layout (areas served) vs drawings and neck sizes.</t>
  </si>
  <si>
    <t xml:space="preserve">STATIC PRESSURE PROFILE "w.c. </t>
  </si>
  <si>
    <t>B - C</t>
  </si>
  <si>
    <t>Check nameplate against submittal.</t>
  </si>
  <si>
    <t>COMPONENT</t>
  </si>
  <si>
    <t>C - D</t>
  </si>
  <si>
    <t>Open dampers and check that automatic dampers open when the system is energized.</t>
  </si>
  <si>
    <t>D - E</t>
  </si>
  <si>
    <t>Check pulley alignment and tightness.</t>
  </si>
  <si>
    <t>E - F</t>
  </si>
  <si>
    <t>Put the unit into full cooling.</t>
  </si>
  <si>
    <t>F - G</t>
  </si>
  <si>
    <t>Check rotation.</t>
  </si>
  <si>
    <t>PRESSURE</t>
  </si>
  <si>
    <t>G - H</t>
  </si>
  <si>
    <t>Measure the inlets / outlets on the system.</t>
  </si>
  <si>
    <t>H - I</t>
  </si>
  <si>
    <t>Proportion the inlets / outlets to the available airflow.</t>
  </si>
  <si>
    <t>I - J</t>
  </si>
  <si>
    <t>Adjust rpm as needed to achieve design airflow based on rpm vs cfm equation.</t>
  </si>
  <si>
    <t>REMARKS</t>
  </si>
  <si>
    <t>J - K</t>
  </si>
  <si>
    <t>Adjust outside and return air to design.</t>
  </si>
  <si>
    <t>Measure rpm, amperage and voltage.</t>
  </si>
  <si>
    <t>Measure inlets / outlets on the system.</t>
  </si>
  <si>
    <t>Record unit pressure profile (before filter, after filter, suction and discharge pressures etc.)</t>
  </si>
  <si>
    <t>Measure the entering and leaving chilled water pressure and set to design if applicable.</t>
  </si>
  <si>
    <t>Measure the entering and leaving dry and wet bulb temperatures across the cooling coil.</t>
  </si>
  <si>
    <t>Put the unit into full heating if applicable.</t>
  </si>
  <si>
    <t>Measure the total airflow and record differences to design.</t>
  </si>
  <si>
    <t>Measure electric heating components or heating hot water pressures and set to design.</t>
  </si>
  <si>
    <t>Measure entering and leaving air temperature (dry bulb only).</t>
  </si>
  <si>
    <t>Note - Measure total supply, return and outside airflows by traverse when possible.</t>
  </si>
  <si>
    <t>Make sure all information on the data sheet is filled out.</t>
  </si>
  <si>
    <t>TEST DATE</t>
  </si>
  <si>
    <t>READINGS BY</t>
  </si>
  <si>
    <t>SUPPLY MOTOR ACTUAL BHP CALCS.</t>
  </si>
  <si>
    <t>RETURN MOTOR ACTUAL BHP CALCS.</t>
  </si>
  <si>
    <t>RETURN FAN DATA</t>
  </si>
  <si>
    <t>SUPPLY</t>
  </si>
  <si>
    <t>SUPPLY POWER TRANSMISSION (PT) CALCS.</t>
  </si>
  <si>
    <t>RETURN POWER TRANSMISSION (PT) CALCS.</t>
  </si>
  <si>
    <t>RELIEF</t>
  </si>
  <si>
    <t>DUCT DIFF. PRESSURE</t>
  </si>
  <si>
    <t>DDC READOUT</t>
  </si>
  <si>
    <t>RETURN FAN SPEED FINAL SETTING</t>
  </si>
  <si>
    <t>ECM SETTING</t>
  </si>
  <si>
    <t>VFD SETTING</t>
  </si>
  <si>
    <t>Return</t>
  </si>
  <si>
    <t>pName</t>
  </si>
  <si>
    <t>SUPPLY STATIC PRESSURE PROFILE SELECTIONS</t>
  </si>
  <si>
    <r>
      <t>SUPPLY</t>
    </r>
    <r>
      <rPr>
        <sz val="9"/>
        <color theme="1"/>
        <rFont val="Arial"/>
        <family val="2"/>
      </rPr>
      <t xml:space="preserve"> </t>
    </r>
    <r>
      <rPr>
        <b/>
        <sz val="9"/>
        <color theme="1"/>
        <rFont val="Arial"/>
        <family val="2"/>
      </rPr>
      <t xml:space="preserve">STATIC PRESSURE PROFILE "w.c. </t>
    </r>
  </si>
  <si>
    <t xml:space="preserve">EXHAUST STATIC PRESSURE PROFILE "w.c. </t>
  </si>
  <si>
    <t>EXHAUST STATIC PRESSURE PROFILE SELECTIONS</t>
  </si>
  <si>
    <t>OUTLET TEST REPORT</t>
  </si>
  <si>
    <t>PROJECT TOLERANCES</t>
  </si>
  <si>
    <t>ABOVE DESIGN</t>
  </si>
  <si>
    <t>FOR PROPORTIONS, CORRECTION FACTORS, ETC.</t>
  </si>
  <si>
    <t>BELOW DESIGN</t>
  </si>
  <si>
    <t>AREA SERVED LOCATION</t>
  </si>
  <si>
    <t>OUTLETS</t>
  </si>
  <si>
    <t>DESIGN CFM</t>
  </si>
  <si>
    <t>PRELIMINARY CFM</t>
  </si>
  <si>
    <t>FINAL CFM</t>
  </si>
  <si>
    <t>NO.</t>
  </si>
  <si>
    <t>SIZE (IN.)</t>
  </si>
  <si>
    <t>TEST1</t>
  </si>
  <si>
    <t>FINAL CFM TOLERANCE CHECK</t>
  </si>
  <si>
    <t>SUB-TOTAL</t>
  </si>
  <si>
    <t>TRAVERSE DATA</t>
  </si>
  <si>
    <t>TRAVERSE AREA</t>
  </si>
  <si>
    <t>DESIGN AIRFLOW</t>
  </si>
  <si>
    <t>ACTUAL AIRFLOW</t>
  </si>
  <si>
    <t>SIZE</t>
  </si>
  <si>
    <t>"W</t>
  </si>
  <si>
    <t>"H</t>
  </si>
  <si>
    <t>SQ. FT.</t>
  </si>
  <si>
    <t>FPM</t>
  </si>
  <si>
    <t>OP. FREQ. FINAL SETTING</t>
  </si>
  <si>
    <t>TESTING EQUIPMENT</t>
  </si>
  <si>
    <t>INSTRUMENT</t>
  </si>
  <si>
    <t>Air Data Multimeter - Velocity Grid</t>
  </si>
  <si>
    <t>AIR VELOCITY READINGS (FPM)</t>
  </si>
  <si>
    <t>(W) WIDTH DISTANCE AND NO. OF POINT CALCS.</t>
  </si>
  <si>
    <t>POSITION (IN.)</t>
  </si>
  <si>
    <t>POINT</t>
  </si>
  <si>
    <t>WIDTH "</t>
  </si>
  <si>
    <t>NO. OF POINTS</t>
  </si>
  <si>
    <t>POINT DISTANCE "</t>
  </si>
  <si>
    <t>(H) HEIGHT DISTANCE AND NO. OF POINT CALCS.</t>
  </si>
  <si>
    <t>HEIGHT "</t>
  </si>
  <si>
    <t>DECIMAL TO FRACTION CONVERTER (Fraction as Quarters)</t>
  </si>
  <si>
    <t>POSITION</t>
  </si>
  <si>
    <t>CENTERLINE TRAVERSE SP</t>
  </si>
  <si>
    <t>AIR TEMPERATURE</t>
  </si>
  <si>
    <t>°F</t>
  </si>
  <si>
    <t>TOTAL READINGS</t>
  </si>
  <si>
    <t>NO. READINGS</t>
  </si>
  <si>
    <t>AVG. VELOCITY</t>
  </si>
  <si>
    <t>EFFECTIVE AREA MULTIPLIER</t>
  </si>
  <si>
    <t>AREA</t>
  </si>
  <si>
    <t>TOTAL AIRFLOW</t>
  </si>
  <si>
    <t>DUCT SIZE</t>
  </si>
  <si>
    <t>PORT #</t>
  </si>
  <si>
    <t>TESTING EQUIPMENT INSTRUMENT</t>
  </si>
  <si>
    <t>Air Data Multimeter - Pitot Tube</t>
  </si>
  <si>
    <t>VP</t>
  </si>
  <si>
    <t>VEL</t>
  </si>
  <si>
    <t>CENTERLINE TRAVERSE ("w.c.)</t>
  </si>
  <si>
    <t>TP</t>
  </si>
  <si>
    <t>SP</t>
  </si>
  <si>
    <t>If you have a VP that is 0.00 you need to unlock the sheet and adjust ALL VP</t>
  </si>
  <si>
    <t>columns to the thousandth decimal place and re-enter the traverse with three digits.</t>
  </si>
  <si>
    <t xml:space="preserve">In most cases a 0.00 will move to a 0.002 or a 0.001 etc.  A legitimate zero VP (0.00 or 0.000) is a </t>
  </si>
  <si>
    <t>red flag in report reviews.  Note: Do not adjust the decimal place for the "VEL" columns.</t>
  </si>
  <si>
    <t>Air Data Multimeter - Air Foil</t>
  </si>
  <si>
    <t>" ROUND</t>
  </si>
  <si>
    <t>X AXIS</t>
  </si>
  <si>
    <t>Y AXIS</t>
  </si>
  <si>
    <t>AIR TERMINAL UNIT SUMMARY REPORT</t>
  </si>
  <si>
    <t>AIR TERMINAL UNIT DATA</t>
  </si>
  <si>
    <t>AIR TERMINAL NO.</t>
  </si>
  <si>
    <t>AIRFLOW</t>
  </si>
  <si>
    <t>FAN</t>
  </si>
  <si>
    <t>HEATING</t>
  </si>
  <si>
    <t>CALIBRATION DATA</t>
  </si>
  <si>
    <t>DESIGN MAX.</t>
  </si>
  <si>
    <t>ACTUAL MAX.</t>
  </si>
  <si>
    <t>DESIGN MIN.</t>
  </si>
  <si>
    <t>ACTUAL MIN.</t>
  </si>
  <si>
    <t>DESIGN FAN</t>
  </si>
  <si>
    <t>ACTUAL FAN</t>
  </si>
  <si>
    <t>DESIGN HEAT MAX</t>
  </si>
  <si>
    <t>ACTUAL HEAT MAX</t>
  </si>
  <si>
    <t>CALIBRATION CODE</t>
  </si>
  <si>
    <t>INLET SIZE (IN.)</t>
  </si>
  <si>
    <t>DDC. ADDRESS</t>
  </si>
  <si>
    <t>TOTAL</t>
  </si>
  <si>
    <t>VARIABLE AIR VOLUME UNIT TEST REPORT</t>
  </si>
  <si>
    <t>TIME TO COMPLETE STEPS (MINS.)</t>
  </si>
  <si>
    <t>Get controls communicating.</t>
  </si>
  <si>
    <t>Verify duct layout vs drawings with neck size.</t>
  </si>
  <si>
    <t>VAV UNIT DATA</t>
  </si>
  <si>
    <t>VAV PERFORMANCE DATA</t>
  </si>
  <si>
    <t>Open dampers.</t>
  </si>
  <si>
    <t>VAV #</t>
  </si>
  <si>
    <t>Put box in cooling.</t>
  </si>
  <si>
    <t xml:space="preserve">INLET SIZE </t>
  </si>
  <si>
    <t>Nameplate check against submittal.</t>
  </si>
  <si>
    <t>Measure outlets in cooling.</t>
  </si>
  <si>
    <t>Calibrate flow at max.</t>
  </si>
  <si>
    <t>Balance at calibrated max w/ double check readings.</t>
  </si>
  <si>
    <t>Put box to satisfied.</t>
  </si>
  <si>
    <t>Measure outlets in satisfied condition, record flow.</t>
  </si>
  <si>
    <t>DDC TERMINAL #</t>
  </si>
  <si>
    <t>Put box in heat.</t>
  </si>
  <si>
    <t>COR. FACTOR</t>
  </si>
  <si>
    <t>Measure outlets and record total.</t>
  </si>
  <si>
    <t>LEGEND</t>
  </si>
  <si>
    <t>Measure elec. heat components (or water).</t>
  </si>
  <si>
    <t>EIT</t>
  </si>
  <si>
    <t>Measure LAT.</t>
  </si>
  <si>
    <t>TECH</t>
  </si>
  <si>
    <t>Release the box.</t>
  </si>
  <si>
    <t>TEAM</t>
  </si>
  <si>
    <t>DUAL DUCT VARIABLE AIR VOLUME UNIT TEST REPORT</t>
  </si>
  <si>
    <t>COOILING PERFORMANCE DATA</t>
  </si>
  <si>
    <t>CLG. MAX CFM</t>
  </si>
  <si>
    <t>DDC CORR. FACTOR</t>
  </si>
  <si>
    <t>.</t>
  </si>
  <si>
    <t>HEATING PERFORMANCE DATA</t>
  </si>
  <si>
    <t>HTG. MAX CFM</t>
  </si>
  <si>
    <t>HOT DECK</t>
  </si>
  <si>
    <t>COLD DECK</t>
  </si>
  <si>
    <t>FULL COOLING PERFORMANCE</t>
  </si>
  <si>
    <t>FULL HEATING PERFORMANCE</t>
  </si>
  <si>
    <t>SERIES FAN POWERED BOX TEST REPORT</t>
  </si>
  <si>
    <t>FAN POWERED BOX DATA</t>
  </si>
  <si>
    <t>FAN MOTOR DATA</t>
  </si>
  <si>
    <t>MOTOR ACTUAL AMPS. &amp; VOLTS CALCS.</t>
  </si>
  <si>
    <t>BOX #</t>
  </si>
  <si>
    <t>FAN PERFORMANCE DATA</t>
  </si>
  <si>
    <t>FAN CFM</t>
  </si>
  <si>
    <t>FINAL SETTINGS</t>
  </si>
  <si>
    <t>MOTOR SPEED SETTING</t>
  </si>
  <si>
    <t>SERIES FAN POWERED BOX WITH OA. TEST REPORT</t>
  </si>
  <si>
    <t>OUTSIDE AIR DATA</t>
  </si>
  <si>
    <t>PARALLEL FAN POWERED BOX TEST REPORT</t>
  </si>
  <si>
    <t>SUPPLY AIR VALVE UNIT TEST REPORT</t>
  </si>
  <si>
    <t>AIR VALVE UNIT DATA</t>
  </si>
  <si>
    <t>AIR VALVE PERFORMANCE DATA</t>
  </si>
  <si>
    <t>AIR VALVE #</t>
  </si>
  <si>
    <t>RETURN AIR VALVE UNIT TEST REPORT</t>
  </si>
  <si>
    <t>MAX. CFM</t>
  </si>
  <si>
    <t>MIN. CFM</t>
  </si>
  <si>
    <t>INLETS</t>
  </si>
  <si>
    <t>EXHAUST AIR VALVE UNIT TEST REPORT</t>
  </si>
  <si>
    <t>Ventilation</t>
  </si>
  <si>
    <t>HEATED WATER COIL SUMMARY REPORT</t>
  </si>
  <si>
    <t>COIL PERFORMANCE DATA</t>
  </si>
  <si>
    <t>SENS. MBH</t>
  </si>
  <si>
    <t>WATER SENS.
MBH</t>
  </si>
  <si>
    <t>GPM AIR</t>
  </si>
  <si>
    <t>GPM WATER</t>
  </si>
  <si>
    <t>% Air vs. Water</t>
  </si>
  <si>
    <t>EQUIPMENT</t>
  </si>
  <si>
    <t>DATA TYPE</t>
  </si>
  <si>
    <t>AIRFLOW CFM</t>
  </si>
  <si>
    <r>
      <t>EAT (</t>
    </r>
    <r>
      <rPr>
        <sz val="9"/>
        <color theme="1"/>
        <rFont val="Symbol"/>
        <family val="1"/>
        <charset val="2"/>
      </rPr>
      <t>°</t>
    </r>
    <r>
      <rPr>
        <sz val="9"/>
        <color theme="1"/>
        <rFont val="Arial"/>
        <family val="2"/>
      </rPr>
      <t>F)</t>
    </r>
  </si>
  <si>
    <r>
      <t>LAT (</t>
    </r>
    <r>
      <rPr>
        <sz val="9"/>
        <color theme="1"/>
        <rFont val="Symbol"/>
        <family val="1"/>
        <charset val="2"/>
      </rPr>
      <t>°</t>
    </r>
    <r>
      <rPr>
        <sz val="9"/>
        <color theme="1"/>
        <rFont val="Arial"/>
        <family val="2"/>
      </rPr>
      <t>F)</t>
    </r>
  </si>
  <si>
    <t>EWT °F</t>
  </si>
  <si>
    <t>LWT °F</t>
  </si>
  <si>
    <t>HHW P.D. FT W.C.</t>
  </si>
  <si>
    <t>HHW GPM</t>
  </si>
  <si>
    <t>VALVE POSITION</t>
  </si>
  <si>
    <t>DB</t>
  </si>
  <si>
    <t>WB</t>
  </si>
  <si>
    <t>TOTAL DESIGN HHW GPM</t>
  </si>
  <si>
    <t>TOTAL ACTUAL HHW GPM</t>
  </si>
  <si>
    <t>locOut1</t>
  </si>
  <si>
    <t>locOut2</t>
  </si>
  <si>
    <t>locOut3</t>
  </si>
  <si>
    <t>locOut4</t>
  </si>
  <si>
    <t>locOut5</t>
  </si>
  <si>
    <t>locOut6</t>
  </si>
  <si>
    <t>locOut7</t>
  </si>
  <si>
    <t>locOut8</t>
  </si>
  <si>
    <t>locOut9</t>
  </si>
  <si>
    <t>locOut10</t>
  </si>
  <si>
    <t>locOut11</t>
  </si>
  <si>
    <t>locOut12</t>
  </si>
  <si>
    <t>locOut13</t>
  </si>
  <si>
    <t>locOut14</t>
  </si>
  <si>
    <t>locOut15</t>
  </si>
  <si>
    <t>locOut16</t>
  </si>
  <si>
    <t>locOut17</t>
  </si>
  <si>
    <t>locOut18</t>
  </si>
  <si>
    <t>locOut19</t>
  </si>
  <si>
    <t>locOut20</t>
  </si>
  <si>
    <t>locOut21</t>
  </si>
  <si>
    <t>locOut22</t>
  </si>
  <si>
    <t>locOut23</t>
  </si>
  <si>
    <t>locOut24</t>
  </si>
  <si>
    <t>locOut25</t>
  </si>
  <si>
    <t>locOut26</t>
  </si>
  <si>
    <t>locOut27</t>
  </si>
  <si>
    <t>locOut28</t>
  </si>
  <si>
    <t>locOut29</t>
  </si>
  <si>
    <t>locOut30</t>
  </si>
  <si>
    <t>locOut31</t>
  </si>
  <si>
    <t>locOut32</t>
  </si>
  <si>
    <t>locOut33</t>
  </si>
  <si>
    <t>locOut34</t>
  </si>
  <si>
    <t>locOut35</t>
  </si>
  <si>
    <t>locOut36</t>
  </si>
  <si>
    <t>locOut37</t>
  </si>
  <si>
    <t>locOut38</t>
  </si>
  <si>
    <t>locOut39</t>
  </si>
  <si>
    <t>locOut40</t>
  </si>
  <si>
    <t>locOut41</t>
  </si>
  <si>
    <t>locOut42</t>
  </si>
  <si>
    <t>locOut43</t>
  </si>
  <si>
    <t>locOut44</t>
  </si>
  <si>
    <t>locOut45</t>
  </si>
  <si>
    <t>locOut46</t>
  </si>
  <si>
    <t>locOut47</t>
  </si>
  <si>
    <t>locOut48</t>
  </si>
  <si>
    <t>locOut49</t>
  </si>
  <si>
    <t>locOut50</t>
  </si>
  <si>
    <t>locOut51</t>
  </si>
  <si>
    <t>locOut52</t>
  </si>
  <si>
    <t>locOut53</t>
  </si>
  <si>
    <t>locOut54</t>
  </si>
  <si>
    <t>locOut55</t>
  </si>
  <si>
    <t>locOut56</t>
  </si>
  <si>
    <t>locOut57</t>
  </si>
  <si>
    <t>out9</t>
  </si>
  <si>
    <t>out10</t>
  </si>
  <si>
    <t>out11</t>
  </si>
  <si>
    <t>out12</t>
  </si>
  <si>
    <t>out13</t>
  </si>
  <si>
    <t>out14</t>
  </si>
  <si>
    <t>out15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</si>
  <si>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</si>
  <si>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</si>
  <si>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</si>
  <si>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</si>
  <si>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</si>
  <si>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</si>
  <si>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</si>
  <si>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</si>
  <si>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</si>
  <si>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</si>
  <si>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out26</t>
  </si>
  <si>
    <t>out27</t>
  </si>
  <si>
    <t>out28</t>
  </si>
  <si>
    <t>out29</t>
  </si>
  <si>
    <t>out30</t>
  </si>
  <si>
    <t>out31</t>
  </si>
  <si>
    <t>out32</t>
  </si>
  <si>
    <t>out33</t>
  </si>
  <si>
    <t>out34</t>
  </si>
  <si>
    <t>out35</t>
  </si>
  <si>
    <t>out36</t>
  </si>
  <si>
    <t>out37</t>
  </si>
  <si>
    <t>out38</t>
  </si>
  <si>
    <t>out39</t>
  </si>
  <si>
    <t>out40</t>
  </si>
  <si>
    <t>out41</t>
  </si>
  <si>
    <t>out42</t>
  </si>
  <si>
    <t>out43</t>
  </si>
  <si>
    <t>out44</t>
  </si>
  <si>
    <t>out45</t>
  </si>
  <si>
    <t>out46</t>
  </si>
  <si>
    <t>out47</t>
  </si>
  <si>
    <t>out48</t>
  </si>
  <si>
    <t>out49</t>
  </si>
  <si>
    <t>out50</t>
  </si>
  <si>
    <t>out51</t>
  </si>
  <si>
    <t>out52</t>
  </si>
  <si>
    <t>out53</t>
  </si>
  <si>
    <t>out54</t>
  </si>
  <si>
    <t>out55</t>
  </si>
  <si>
    <t>out56</t>
  </si>
  <si>
    <t>out57</t>
  </si>
  <si>
    <t>outType1</t>
  </si>
  <si>
    <t>outType2</t>
  </si>
  <si>
    <t>outType3</t>
  </si>
  <si>
    <t>outType4</t>
  </si>
  <si>
    <t>outType5</t>
  </si>
  <si>
    <t>outType6</t>
  </si>
  <si>
    <t>outType7</t>
  </si>
  <si>
    <t>outType8</t>
  </si>
  <si>
    <t>outType9</t>
  </si>
  <si>
    <t>outType10</t>
  </si>
  <si>
    <t>outType11</t>
  </si>
  <si>
    <t>outType12</t>
  </si>
  <si>
    <t>outType13</t>
  </si>
  <si>
    <t>outType14</t>
  </si>
  <si>
    <t>outType15</t>
  </si>
  <si>
    <t>outType16</t>
  </si>
  <si>
    <t>outType17</t>
  </si>
  <si>
    <t>outType18</t>
  </si>
  <si>
    <t>outType19</t>
  </si>
  <si>
    <t>outType20</t>
  </si>
  <si>
    <t>outType21</t>
  </si>
  <si>
    <t>outType22</t>
  </si>
  <si>
    <t>outType23</t>
  </si>
  <si>
    <t>outType24</t>
  </si>
  <si>
    <t>outType25</t>
  </si>
  <si>
    <t>outType26</t>
  </si>
  <si>
    <t>outType27</t>
  </si>
  <si>
    <t>outType28</t>
  </si>
  <si>
    <t>outType29</t>
  </si>
  <si>
    <t>outType30</t>
  </si>
  <si>
    <t>outType31</t>
  </si>
  <si>
    <t>outType32</t>
  </si>
  <si>
    <t>outType33</t>
  </si>
  <si>
    <t>outType34</t>
  </si>
  <si>
    <t>outType35</t>
  </si>
  <si>
    <t>outType36</t>
  </si>
  <si>
    <t>outType37</t>
  </si>
  <si>
    <t>outType38</t>
  </si>
  <si>
    <t>outType39</t>
  </si>
  <si>
    <t>outType40</t>
  </si>
  <si>
    <t>outType41</t>
  </si>
  <si>
    <t>outType42</t>
  </si>
  <si>
    <t>outType43</t>
  </si>
  <si>
    <t>outType44</t>
  </si>
  <si>
    <t>outType45</t>
  </si>
  <si>
    <t>outType46</t>
  </si>
  <si>
    <t>outType47</t>
  </si>
  <si>
    <t>outType48</t>
  </si>
  <si>
    <t>outType49</t>
  </si>
  <si>
    <t>outType50</t>
  </si>
  <si>
    <t>outType51</t>
  </si>
  <si>
    <t>outType52</t>
  </si>
  <si>
    <t>outType53</t>
  </si>
  <si>
    <t>outType54</t>
  </si>
  <si>
    <t>outType55</t>
  </si>
  <si>
    <t>outType56</t>
  </si>
  <si>
    <t>outType57</t>
  </si>
  <si>
    <t>dri1</t>
  </si>
  <si>
    <t>dri2</t>
  </si>
  <si>
    <t>dri3</t>
  </si>
  <si>
    <t>dri4</t>
  </si>
  <si>
    <t>dri5</t>
  </si>
  <si>
    <t>dri6</t>
  </si>
  <si>
    <t>dri7</t>
  </si>
  <si>
    <t>dri8</t>
  </si>
  <si>
    <t>dri9</t>
  </si>
  <si>
    <t>dri10</t>
  </si>
  <si>
    <t>dri11</t>
  </si>
  <si>
    <t>dri12</t>
  </si>
  <si>
    <t>dri13</t>
  </si>
  <si>
    <t>dri14</t>
  </si>
  <si>
    <t>dri15</t>
  </si>
  <si>
    <t>dri16</t>
  </si>
  <si>
    <t>dri17</t>
  </si>
  <si>
    <t>dri18</t>
  </si>
  <si>
    <t>dri19</t>
  </si>
  <si>
    <t>dri20</t>
  </si>
  <si>
    <t>dri21</t>
  </si>
  <si>
    <t>dri22</t>
  </si>
  <si>
    <t>dri23</t>
  </si>
  <si>
    <t>dri24</t>
  </si>
  <si>
    <t>dri25</t>
  </si>
  <si>
    <t>dri26</t>
  </si>
  <si>
    <t>dri27</t>
  </si>
  <si>
    <t>dri28</t>
  </si>
  <si>
    <t>dri29</t>
  </si>
  <si>
    <t>dri30</t>
  </si>
  <si>
    <t>dri31</t>
  </si>
  <si>
    <t>dri32</t>
  </si>
  <si>
    <t>dri33</t>
  </si>
  <si>
    <t>dri34</t>
  </si>
  <si>
    <t>dri35</t>
  </si>
  <si>
    <t>dri36</t>
  </si>
  <si>
    <t>dri37</t>
  </si>
  <si>
    <t>dri38</t>
  </si>
  <si>
    <t>dri39</t>
  </si>
  <si>
    <t>dri40</t>
  </si>
  <si>
    <t>dri41</t>
  </si>
  <si>
    <t>dri42</t>
  </si>
  <si>
    <t>dri43</t>
  </si>
  <si>
    <t>dri44</t>
  </si>
  <si>
    <t>dri45</t>
  </si>
  <si>
    <t>driNo1</t>
  </si>
  <si>
    <t>driNo2</t>
  </si>
  <si>
    <t>driNo3</t>
  </si>
  <si>
    <t>driNo4</t>
  </si>
  <si>
    <t>driNo5</t>
  </si>
  <si>
    <t>driNo6</t>
  </si>
  <si>
    <t>driNo7</t>
  </si>
  <si>
    <t>driNo8</t>
  </si>
  <si>
    <t>driNo9</t>
  </si>
  <si>
    <t>driNo10</t>
  </si>
  <si>
    <t>driNo11</t>
  </si>
  <si>
    <t>driNo12</t>
  </si>
  <si>
    <t>driNo13</t>
  </si>
  <si>
    <t>driNo14</t>
  </si>
  <si>
    <t>driNo15</t>
  </si>
  <si>
    <t>driNo16</t>
  </si>
  <si>
    <t>driNo17</t>
  </si>
  <si>
    <t>driNo18</t>
  </si>
  <si>
    <t>driNo19</t>
  </si>
  <si>
    <t>driNo20</t>
  </si>
  <si>
    <t>driNo21</t>
  </si>
  <si>
    <t>driNo22</t>
  </si>
  <si>
    <t>driNo23</t>
  </si>
  <si>
    <t>driNo24</t>
  </si>
  <si>
    <t>driNo25</t>
  </si>
  <si>
    <t>driNo26</t>
  </si>
  <si>
    <t>driNo27</t>
  </si>
  <si>
    <t>driNo28</t>
  </si>
  <si>
    <t>driNo29</t>
  </si>
  <si>
    <t>driNo30</t>
  </si>
  <si>
    <t>driNo31</t>
  </si>
  <si>
    <t>driNo32</t>
  </si>
  <si>
    <t>driNo33</t>
  </si>
  <si>
    <t>driNo34</t>
  </si>
  <si>
    <t>driNo35</t>
  </si>
  <si>
    <t>driNo36</t>
  </si>
  <si>
    <t>driNo37</t>
  </si>
  <si>
    <t>driNo38</t>
  </si>
  <si>
    <t>driNo39</t>
  </si>
  <si>
    <t>driNo40</t>
  </si>
  <si>
    <t>driNo41</t>
  </si>
  <si>
    <t>driNo42</t>
  </si>
  <si>
    <t>driNo43</t>
  </si>
  <si>
    <t>driNo44</t>
  </si>
  <si>
    <t>driNo45</t>
  </si>
  <si>
    <t>driType1</t>
  </si>
  <si>
    <t>driType2</t>
  </si>
  <si>
    <t>driType3</t>
  </si>
  <si>
    <t>driType4</t>
  </si>
  <si>
    <t>driType5</t>
  </si>
  <si>
    <t>driType6</t>
  </si>
  <si>
    <t>driType7</t>
  </si>
  <si>
    <t>driType8</t>
  </si>
  <si>
    <t>driType9</t>
  </si>
  <si>
    <t>driType10</t>
  </si>
  <si>
    <t>driType11</t>
  </si>
  <si>
    <t>driType12</t>
  </si>
  <si>
    <t>driType13</t>
  </si>
  <si>
    <t>driType14</t>
  </si>
  <si>
    <t>driType15</t>
  </si>
  <si>
    <t>driType16</t>
  </si>
  <si>
    <t>driType17</t>
  </si>
  <si>
    <t>driType18</t>
  </si>
  <si>
    <t>driType19</t>
  </si>
  <si>
    <t>driType20</t>
  </si>
  <si>
    <t>driType21</t>
  </si>
  <si>
    <t>driType22</t>
  </si>
  <si>
    <t>driType23</t>
  </si>
  <si>
    <t>driType24</t>
  </si>
  <si>
    <t>driType25</t>
  </si>
  <si>
    <t>driType26</t>
  </si>
  <si>
    <t>driType27</t>
  </si>
  <si>
    <t>driType28</t>
  </si>
  <si>
    <t>driType29</t>
  </si>
  <si>
    <t>driType30</t>
  </si>
  <si>
    <t>driType31</t>
  </si>
  <si>
    <t>driType32</t>
  </si>
  <si>
    <t>driType33</t>
  </si>
  <si>
    <t>driType34</t>
  </si>
  <si>
    <t>driType35</t>
  </si>
  <si>
    <t>driType36</t>
  </si>
  <si>
    <t>driType37</t>
  </si>
  <si>
    <t>driType38</t>
  </si>
  <si>
    <t>driType39</t>
  </si>
  <si>
    <t>driType40</t>
  </si>
  <si>
    <t>driType41</t>
  </si>
  <si>
    <t>driType42</t>
  </si>
  <si>
    <t>driType43</t>
  </si>
  <si>
    <t>driType44</t>
  </si>
  <si>
    <t>driType45</t>
  </si>
  <si>
    <t>Series FPB w/ OA.</t>
  </si>
  <si>
    <t>Parallel FPB</t>
  </si>
  <si>
    <t>Return Air Valve</t>
  </si>
  <si>
    <t>Exhaust Air Valve</t>
  </si>
  <si>
    <t>key4</t>
  </si>
  <si>
    <t>key5</t>
  </si>
  <si>
    <t>key6</t>
  </si>
  <si>
    <t>key7</t>
  </si>
  <si>
    <t>key8</t>
  </si>
  <si>
    <t>key9</t>
  </si>
  <si>
    <t>key10</t>
  </si>
  <si>
    <t>key11</t>
  </si>
  <si>
    <t>key12</t>
  </si>
  <si>
    <t>key13</t>
  </si>
  <si>
    <t>key14</t>
  </si>
  <si>
    <t>key15</t>
  </si>
  <si>
    <t>key16</t>
  </si>
  <si>
    <t>key17</t>
  </si>
  <si>
    <t>key18</t>
  </si>
  <si>
    <t>key19</t>
  </si>
  <si>
    <t>key20</t>
  </si>
  <si>
    <t>key21</t>
  </si>
  <si>
    <t>key22</t>
  </si>
  <si>
    <t>key23</t>
  </si>
  <si>
    <t>key24</t>
  </si>
  <si>
    <t>key25</t>
  </si>
  <si>
    <t>area2</t>
  </si>
  <si>
    <t>area3</t>
  </si>
  <si>
    <t>area4</t>
  </si>
  <si>
    <t>area5</t>
  </si>
  <si>
    <t>area6</t>
  </si>
  <si>
    <t>area7</t>
  </si>
  <si>
    <t>area8</t>
  </si>
  <si>
    <t>area9</t>
  </si>
  <si>
    <t>area10</t>
  </si>
  <si>
    <t>area11</t>
  </si>
  <si>
    <t>area12</t>
  </si>
  <si>
    <t>area13</t>
  </si>
  <si>
    <t>area14</t>
  </si>
  <si>
    <t>area15</t>
  </si>
  <si>
    <t>area16</t>
  </si>
  <si>
    <t>area17</t>
  </si>
  <si>
    <t>area18</t>
  </si>
  <si>
    <t>area19</t>
  </si>
  <si>
    <t>area20</t>
  </si>
  <si>
    <t>area21</t>
  </si>
  <si>
    <t>area22</t>
  </si>
  <si>
    <t>area23</t>
  </si>
  <si>
    <t>area24</t>
  </si>
  <si>
    <t>area25</t>
  </si>
  <si>
    <t>loc7</t>
  </si>
  <si>
    <t>loc8</t>
  </si>
  <si>
    <t>loc9</t>
  </si>
  <si>
    <t>loc10</t>
  </si>
  <si>
    <t>loc11</t>
  </si>
  <si>
    <t>loc12</t>
  </si>
  <si>
    <t>loc13</t>
  </si>
  <si>
    <t>loc14</t>
  </si>
  <si>
    <t>loc15</t>
  </si>
  <si>
    <t>loc16</t>
  </si>
  <si>
    <t>loc17</t>
  </si>
  <si>
    <t>loc18</t>
  </si>
  <si>
    <t>loc19</t>
  </si>
  <si>
    <t>loc20</t>
  </si>
  <si>
    <t>loc21</t>
  </si>
  <si>
    <t>loc22</t>
  </si>
  <si>
    <t>loc23</t>
  </si>
  <si>
    <t>loc24</t>
  </si>
  <si>
    <t>loc25</t>
  </si>
  <si>
    <t>mfg2</t>
  </si>
  <si>
    <t>mfg3</t>
  </si>
  <si>
    <t>mfg4</t>
  </si>
  <si>
    <t>mfg5</t>
  </si>
  <si>
    <t>mfg6</t>
  </si>
  <si>
    <t>mfg7</t>
  </si>
  <si>
    <t>mfg8</t>
  </si>
  <si>
    <t>mfg9</t>
  </si>
  <si>
    <t>mfg10</t>
  </si>
  <si>
    <t>mfg11</t>
  </si>
  <si>
    <t>mfg12</t>
  </si>
  <si>
    <t>mfg13</t>
  </si>
  <si>
    <t>mfg14</t>
  </si>
  <si>
    <t>mfg15</t>
  </si>
  <si>
    <t>mfg16</t>
  </si>
  <si>
    <t>mfg17</t>
  </si>
  <si>
    <t>mfg18</t>
  </si>
  <si>
    <t>mfg19</t>
  </si>
  <si>
    <t>mfg20</t>
  </si>
  <si>
    <t>mfg21</t>
  </si>
  <si>
    <t>mfg22</t>
  </si>
  <si>
    <t>mfg23</t>
  </si>
  <si>
    <t>mfg24</t>
  </si>
  <si>
    <t>mfg25</t>
  </si>
  <si>
    <t>Air Valve</t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</si>
  <si>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</si>
  <si>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</si>
  <si>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</si>
  <si>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</si>
  <si>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</si>
  <si>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</si>
  <si>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</si>
  <si>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</si>
  <si>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</si>
  <si>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</si>
  <si>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</si>
  <si>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</si>
  <si>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</si>
  <si>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no15</t>
  </si>
  <si>
    <t>no16</t>
  </si>
  <si>
    <t>no17</t>
  </si>
  <si>
    <t>no18</t>
  </si>
  <si>
    <t>no19</t>
  </si>
  <si>
    <t>no20</t>
  </si>
  <si>
    <t>no21</t>
  </si>
  <si>
    <t>no22</t>
  </si>
  <si>
    <t>no23</t>
  </si>
  <si>
    <t>no24</t>
  </si>
  <si>
    <t>no25</t>
  </si>
  <si>
    <t>a</t>
  </si>
  <si>
    <t>b</t>
  </si>
  <si>
    <t>v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</si>
  <si>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</si>
  <si>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</si>
  <si>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</si>
  <si>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</si>
  <si>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</si>
  <si>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</si>
  <si>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</si>
  <si>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</si>
  <si>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</si>
  <si>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</si>
  <si>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</si>
  <si>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</si>
  <si>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</si>
  <si>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</si>
  <si>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</si>
  <si>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</si>
  <si>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</si>
  <si>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</si>
  <si>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</si>
  <si>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</si>
  <si>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</si>
  <si>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</si>
  <si>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SINGLE OR DUAL PRESSURE PROFILE?</t>
  </si>
  <si>
    <t>Secondary Fan Curve?</t>
  </si>
  <si>
    <t>Secondary Traverse?</t>
  </si>
  <si>
    <t>Double-Click to Build Supply and Secondary Rows</t>
  </si>
  <si>
    <t>Double-Click to Reset all Current Information</t>
  </si>
  <si>
    <t>Double-Click to Create Rows for all Supply ATUs, Outlets, and Ducted Return Inlets</t>
  </si>
  <si>
    <t>Double-Click to Reset all Supply ATUs, Outlets, and Ducted Return Inlets</t>
  </si>
  <si>
    <t>Double-Click to Create Rows for all Supply ATU Outlets</t>
  </si>
  <si>
    <t>Double-Click to Reset all Supply ATU Outets</t>
  </si>
  <si>
    <t>Double-Click to Reset all Secondary ATUs and Inlets</t>
  </si>
  <si>
    <t>Double-Click to Create Rows for all Secondary ATUs and Inlets</t>
  </si>
  <si>
    <t>Double-Click to Create Rows for all Secondary ATU Inlets</t>
  </si>
  <si>
    <t>Double-Click to Reset all Secondary ATU Inlets</t>
  </si>
  <si>
    <t>v0.2.1</t>
  </si>
  <si>
    <t>Design Secondary Data</t>
  </si>
  <si>
    <t>Outlet Size "                                                                          (Do not include units)</t>
  </si>
  <si>
    <t>Outlet Shape</t>
  </si>
  <si>
    <t>Double-Click to Create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</si>
</sst>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#\ ??/100"/>
    <numFmt numFmtId="167" formatCode="mm/dd/yy;@"/>
    <numFmt numFmtId="168" formatCode="#\ ??/16"/>
    <numFmt numFmtId="169" formatCode="#\ ?/4"/>
  </numFmts>
  <fonts count="39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9"/>
      <color theme="1"/>
      <name val="Arial"/>
      <family val="2"/>
    </font>
    <font>
      <u/>
      <sz val="9"/>
      <color theme="10"/>
      <name val="Arial"/>
      <family val="2"/>
    </font>
    <font>
      <b/>
      <sz val="14"/>
      <color theme="1"/>
      <name val="Arial"/>
      <family val="2"/>
    </font>
    <font>
      <sz val="7"/>
      <color theme="1"/>
      <name val="Arial"/>
      <family val="2"/>
    </font>
    <font>
      <b/>
      <sz val="13"/>
      <color theme="1"/>
      <name val="Arial"/>
      <family val="2"/>
    </font>
    <font>
      <sz val="8.5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name val="Arial"/>
      <family val="2"/>
    </font>
    <font>
      <sz val="4"/>
      <color rgb="FF002060"/>
      <name val="Arial"/>
      <family val="2"/>
    </font>
    <font>
      <sz val="2"/>
      <color theme="1"/>
      <name val="Arial"/>
      <family val="2"/>
    </font>
    <font>
      <sz val="9"/>
      <color rgb="FF002060"/>
      <name val="Arial"/>
      <family val="2"/>
    </font>
    <font>
      <vertAlign val="superscript"/>
      <sz val="9"/>
      <color theme="1"/>
      <name val="Arial"/>
      <family val="2"/>
    </font>
    <font>
      <sz val="6"/>
      <color theme="1"/>
      <name val="Arial"/>
      <family val="2"/>
    </font>
    <font>
      <b/>
      <sz val="8.5"/>
      <color theme="1"/>
      <name val="Arial"/>
      <family val="2"/>
    </font>
    <font>
      <sz val="7"/>
      <color rgb="FF002060"/>
      <name val="Arial"/>
      <family val="2"/>
    </font>
    <font>
      <b/>
      <sz val="36"/>
      <color rgb="FF00304B"/>
      <name val="Arial"/>
      <family val="2"/>
    </font>
    <font>
      <sz val="25"/>
      <color rgb="FF00304B"/>
      <name val="Arial"/>
      <family val="2"/>
    </font>
    <font>
      <sz val="12"/>
      <color theme="1"/>
      <name val="Arial"/>
      <family val="2"/>
    </font>
    <font>
      <b/>
      <sz val="8"/>
      <color theme="1"/>
      <name val="Arial"/>
      <family val="2"/>
    </font>
    <font>
      <sz val="6"/>
      <color rgb="FF333333"/>
      <name val="Arial"/>
      <family val="2"/>
    </font>
    <font>
      <b/>
      <sz val="6"/>
      <color theme="1"/>
      <name val="Arial"/>
      <family val="2"/>
    </font>
    <font>
      <b/>
      <sz val="36"/>
      <color rgb="FF002060"/>
      <name val="Arial"/>
      <family val="2"/>
    </font>
    <font>
      <sz val="25"/>
      <color rgb="FF002060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8.9"/>
      <color theme="1"/>
      <name val="Arial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9FFF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6" tint="0.39994506668294322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/>
      <right style="medium">
        <color indexed="64"/>
      </right>
      <top style="double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medium">
        <color theme="6" tint="0.59996337778862885"/>
      </left>
      <right style="medium">
        <color theme="6" tint="-0.24994659260841701"/>
      </right>
      <top style="medium">
        <color theme="6" tint="0.59996337778862885"/>
      </top>
      <bottom/>
      <diagonal/>
    </border>
    <border>
      <left style="medium">
        <color theme="6" tint="0.59996337778862885"/>
      </left>
      <right style="medium">
        <color theme="6" tint="-0.24994659260841701"/>
      </right>
      <top/>
      <bottom/>
      <diagonal/>
    </border>
    <border>
      <left style="medium">
        <color theme="6" tint="0.59996337778862885"/>
      </left>
      <right style="medium">
        <color theme="6" tint="-0.24994659260841701"/>
      </right>
      <top/>
      <bottom style="medium">
        <color theme="6" tint="-0.2499465926084170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1134">
    <xf numFmtId="0" fontId="0" fillId="0" borderId="0" xfId="0"/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14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quotePrefix="1" applyFont="1" applyFill="1" applyBorder="1" applyAlignment="1" applyProtection="1">
      <alignment horizontal="center" vertical="center" wrapText="1"/>
      <protection locked="0"/>
    </xf>
    <xf numFmtId="0" fontId="2" fillId="2" borderId="2" xfId="0" quotePrefix="1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1" fillId="2" borderId="3" xfId="0" applyFont="1" applyFill="1" applyBorder="1" applyAlignment="1" applyProtection="1">
      <alignment horizontal="left"/>
      <protection locked="0"/>
    </xf>
    <xf numFmtId="0" fontId="1" fillId="2" borderId="3" xfId="0" applyFont="1" applyFill="1" applyBorder="1" applyAlignment="1" applyProtection="1">
      <alignment vertical="center"/>
      <protection locked="0"/>
    </xf>
    <xf numFmtId="0" fontId="5" fillId="2" borderId="2" xfId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shrinkToFit="1"/>
    </xf>
    <xf numFmtId="2" fontId="2" fillId="2" borderId="2" xfId="0" quotePrefix="1" applyNumberFormat="1" applyFont="1" applyFill="1" applyBorder="1" applyAlignment="1">
      <alignment horizontal="center" vertical="center"/>
    </xf>
    <xf numFmtId="0" fontId="2" fillId="2" borderId="2" xfId="0" quotePrefix="1" applyFont="1" applyFill="1" applyBorder="1" applyAlignment="1">
      <alignment horizontal="center" vertic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1" fontId="2" fillId="3" borderId="2" xfId="0" applyNumberFormat="1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>
      <alignment horizontal="center" vertical="center"/>
    </xf>
    <xf numFmtId="0" fontId="2" fillId="3" borderId="12" xfId="0" quotePrefix="1" applyFont="1" applyFill="1" applyBorder="1" applyAlignment="1" applyProtection="1">
      <alignment horizontal="center"/>
      <protection locked="0"/>
    </xf>
    <xf numFmtId="2" fontId="2" fillId="3" borderId="12" xfId="0" quotePrefix="1" applyNumberFormat="1" applyFont="1" applyFill="1" applyBorder="1" applyAlignment="1" applyProtection="1">
      <alignment horizont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 applyProtection="1">
      <alignment horizontal="center"/>
      <protection locked="0"/>
    </xf>
    <xf numFmtId="0" fontId="1" fillId="8" borderId="1" xfId="0" applyFont="1" applyFill="1" applyBorder="1" applyAlignment="1" applyProtection="1">
      <alignment horizontal="center" vertical="center"/>
      <protection locked="0"/>
    </xf>
    <xf numFmtId="0" fontId="1" fillId="8" borderId="2" xfId="0" applyFont="1" applyFill="1" applyBorder="1" applyAlignment="1" applyProtection="1">
      <alignment horizontal="center" vertical="center"/>
      <protection locked="0"/>
    </xf>
    <xf numFmtId="0" fontId="0" fillId="0" borderId="18" xfId="0" applyBorder="1"/>
    <xf numFmtId="0" fontId="14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5" fillId="2" borderId="0" xfId="0" applyFont="1" applyFill="1" applyAlignment="1">
      <alignment horizontal="center" vertical="center"/>
    </xf>
    <xf numFmtId="0" fontId="2" fillId="11" borderId="0" xfId="0" applyFont="1" applyFill="1" applyAlignment="1" applyProtection="1">
      <alignment vertical="center"/>
      <protection locked="0"/>
    </xf>
    <xf numFmtId="0" fontId="1" fillId="11" borderId="19" xfId="0" applyFont="1" applyFill="1" applyBorder="1" applyAlignment="1">
      <alignment horizontal="left" vertical="center"/>
    </xf>
    <xf numFmtId="0" fontId="1" fillId="11" borderId="20" xfId="0" applyFont="1" applyFill="1" applyBorder="1" applyAlignment="1">
      <alignment horizontal="left" vertical="center"/>
    </xf>
    <xf numFmtId="0" fontId="1" fillId="11" borderId="21" xfId="0" applyFont="1" applyFill="1" applyBorder="1" applyAlignment="1">
      <alignment horizontal="left" vertical="center"/>
    </xf>
    <xf numFmtId="0" fontId="16" fillId="2" borderId="0" xfId="0" applyFont="1" applyFill="1" applyAlignment="1">
      <alignment vertical="center"/>
    </xf>
    <xf numFmtId="0" fontId="1" fillId="0" borderId="0" xfId="0" applyFont="1"/>
    <xf numFmtId="0" fontId="2" fillId="11" borderId="2" xfId="0" applyFont="1" applyFill="1" applyBorder="1" applyAlignment="1">
      <alignment horizontal="center" vertical="center"/>
    </xf>
    <xf numFmtId="165" fontId="2" fillId="0" borderId="0" xfId="0" applyNumberFormat="1" applyFont="1"/>
    <xf numFmtId="0" fontId="2" fillId="0" borderId="0" xfId="0" applyFont="1" applyAlignment="1">
      <alignment horizontal="center"/>
    </xf>
    <xf numFmtId="0" fontId="2" fillId="11" borderId="58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1" borderId="48" xfId="0" applyFont="1" applyFill="1" applyBorder="1" applyAlignment="1">
      <alignment vertical="center"/>
    </xf>
    <xf numFmtId="2" fontId="17" fillId="11" borderId="29" xfId="0" applyNumberFormat="1" applyFont="1" applyFill="1" applyBorder="1" applyAlignment="1">
      <alignment vertical="center"/>
    </xf>
    <xf numFmtId="0" fontId="1" fillId="2" borderId="20" xfId="0" applyFont="1" applyFill="1" applyBorder="1" applyAlignment="1">
      <alignment horizontal="right" vertical="center"/>
    </xf>
    <xf numFmtId="0" fontId="2" fillId="11" borderId="49" xfId="0" applyFont="1" applyFill="1" applyBorder="1" applyAlignment="1">
      <alignment vertical="center"/>
    </xf>
    <xf numFmtId="0" fontId="2" fillId="11" borderId="50" xfId="0" applyFont="1" applyFill="1" applyBorder="1" applyAlignment="1">
      <alignment vertical="center"/>
    </xf>
    <xf numFmtId="0" fontId="2" fillId="11" borderId="53" xfId="0" applyFont="1" applyFill="1" applyBorder="1" applyAlignment="1">
      <alignment vertical="center"/>
    </xf>
    <xf numFmtId="0" fontId="2" fillId="2" borderId="72" xfId="0" applyFont="1" applyFill="1" applyBorder="1" applyAlignment="1">
      <alignment vertical="center" shrinkToFit="1"/>
    </xf>
    <xf numFmtId="2" fontId="17" fillId="2" borderId="72" xfId="0" applyNumberFormat="1" applyFont="1" applyFill="1" applyBorder="1" applyAlignment="1" applyProtection="1">
      <alignment vertical="center"/>
      <protection locked="0"/>
    </xf>
    <xf numFmtId="0" fontId="17" fillId="2" borderId="72" xfId="0" applyFont="1" applyFill="1" applyBorder="1" applyAlignment="1">
      <alignment vertical="center"/>
    </xf>
    <xf numFmtId="0" fontId="2" fillId="11" borderId="72" xfId="0" applyFont="1" applyFill="1" applyBorder="1" applyAlignment="1" applyProtection="1">
      <alignment vertical="center"/>
      <protection locked="0"/>
    </xf>
    <xf numFmtId="0" fontId="2" fillId="11" borderId="76" xfId="0" applyFont="1" applyFill="1" applyBorder="1" applyAlignment="1" applyProtection="1">
      <alignment vertical="center"/>
      <protection locked="0"/>
    </xf>
    <xf numFmtId="0" fontId="2" fillId="11" borderId="6" xfId="0" applyFont="1" applyFill="1" applyBorder="1" applyAlignment="1">
      <alignment horizontal="center" vertical="center"/>
    </xf>
    <xf numFmtId="0" fontId="2" fillId="2" borderId="58" xfId="0" applyFont="1" applyFill="1" applyBorder="1" applyAlignment="1">
      <alignment vertical="center"/>
    </xf>
    <xf numFmtId="2" fontId="17" fillId="2" borderId="0" xfId="0" applyNumberFormat="1" applyFont="1" applyFill="1" applyAlignment="1">
      <alignment vertical="center"/>
    </xf>
    <xf numFmtId="1" fontId="17" fillId="2" borderId="0" xfId="0" applyNumberFormat="1" applyFont="1" applyFill="1" applyAlignment="1">
      <alignment vertical="center"/>
    </xf>
    <xf numFmtId="164" fontId="17" fillId="2" borderId="0" xfId="0" applyNumberFormat="1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2" fillId="11" borderId="41" xfId="0" applyFont="1" applyFill="1" applyBorder="1" applyAlignment="1">
      <alignment horizontal="center" vertical="center"/>
    </xf>
    <xf numFmtId="0" fontId="17" fillId="2" borderId="0" xfId="0" applyFont="1" applyFill="1" applyAlignment="1" applyProtection="1">
      <alignment vertical="center"/>
      <protection locked="0" hidden="1"/>
    </xf>
    <xf numFmtId="0" fontId="17" fillId="2" borderId="0" xfId="0" applyFont="1" applyFill="1" applyAlignment="1" applyProtection="1">
      <alignment horizontal="left" vertical="center"/>
      <protection locked="0"/>
    </xf>
    <xf numFmtId="0" fontId="2" fillId="11" borderId="30" xfId="0" applyFont="1" applyFill="1" applyBorder="1" applyAlignment="1">
      <alignment horizontal="left" vertical="center"/>
    </xf>
    <xf numFmtId="0" fontId="2" fillId="11" borderId="31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/>
    <xf numFmtId="0" fontId="17" fillId="2" borderId="0" xfId="0" applyFont="1" applyFill="1" applyAlignment="1" applyProtection="1">
      <alignment horizontal="center" vertical="center"/>
      <protection locked="0"/>
    </xf>
    <xf numFmtId="0" fontId="19" fillId="11" borderId="0" xfId="0" applyFont="1" applyFill="1" applyAlignment="1" applyProtection="1">
      <alignment vertical="center" wrapText="1"/>
      <protection locked="0"/>
    </xf>
    <xf numFmtId="2" fontId="17" fillId="2" borderId="0" xfId="0" applyNumberFormat="1" applyFont="1" applyFill="1" applyAlignment="1" applyProtection="1">
      <alignment horizontal="center" vertical="center"/>
      <protection locked="0"/>
    </xf>
    <xf numFmtId="0" fontId="2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/>
    </xf>
    <xf numFmtId="0" fontId="17" fillId="2" borderId="0" xfId="0" applyFont="1" applyFill="1" applyAlignment="1" applyProtection="1">
      <alignment vertical="center"/>
      <protection locked="0"/>
    </xf>
    <xf numFmtId="0" fontId="17" fillId="2" borderId="0" xfId="0" applyFont="1" applyFill="1" applyAlignment="1" applyProtection="1">
      <alignment vertical="center"/>
      <protection hidden="1"/>
    </xf>
    <xf numFmtId="164" fontId="2" fillId="0" borderId="0" xfId="0" applyNumberFormat="1" applyFont="1"/>
    <xf numFmtId="1" fontId="2" fillId="0" borderId="0" xfId="0" applyNumberFormat="1" applyFont="1"/>
    <xf numFmtId="0" fontId="2" fillId="0" borderId="0" xfId="0" applyFont="1" applyAlignment="1">
      <alignment vertical="center" wrapText="1"/>
    </xf>
    <xf numFmtId="168" fontId="2" fillId="0" borderId="0" xfId="2" applyNumberFormat="1" applyFont="1" applyFill="1" applyBorder="1" applyAlignment="1"/>
    <xf numFmtId="2" fontId="2" fillId="0" borderId="0" xfId="0" applyNumberFormat="1" applyFont="1"/>
    <xf numFmtId="0" fontId="7" fillId="11" borderId="0" xfId="0" applyFont="1" applyFill="1" applyAlignment="1">
      <alignment vertical="center"/>
    </xf>
    <xf numFmtId="9" fontId="24" fillId="11" borderId="0" xfId="2" applyFont="1" applyFill="1" applyBorder="1" applyAlignment="1">
      <alignment vertical="center" wrapText="1"/>
    </xf>
    <xf numFmtId="0" fontId="1" fillId="2" borderId="72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17" fillId="11" borderId="0" xfId="0" applyFont="1" applyFill="1" applyAlignment="1">
      <alignment vertical="center"/>
    </xf>
    <xf numFmtId="0" fontId="17" fillId="11" borderId="0" xfId="0" applyFont="1" applyFill="1" applyAlignment="1" applyProtection="1">
      <alignment vertical="center"/>
      <protection locked="0"/>
    </xf>
    <xf numFmtId="0" fontId="19" fillId="11" borderId="0" xfId="0" applyFont="1" applyFill="1" applyAlignment="1">
      <alignment vertical="center" wrapText="1"/>
    </xf>
    <xf numFmtId="1" fontId="7" fillId="11" borderId="0" xfId="0" applyNumberFormat="1" applyFont="1" applyFill="1" applyAlignment="1" applyProtection="1">
      <alignment vertical="center" wrapText="1"/>
      <protection locked="0"/>
    </xf>
    <xf numFmtId="0" fontId="20" fillId="11" borderId="0" xfId="0" applyFont="1" applyFill="1" applyAlignment="1">
      <alignment vertical="center"/>
    </xf>
    <xf numFmtId="0" fontId="1" fillId="11" borderId="0" xfId="0" applyFont="1" applyFill="1" applyAlignment="1">
      <alignment vertical="center" wrapText="1"/>
    </xf>
    <xf numFmtId="0" fontId="2" fillId="0" borderId="0" xfId="0" applyFont="1" applyProtection="1">
      <protection locked="0"/>
    </xf>
    <xf numFmtId="0" fontId="26" fillId="2" borderId="0" xfId="0" applyFont="1" applyFill="1" applyAlignment="1">
      <alignment vertical="center"/>
    </xf>
    <xf numFmtId="0" fontId="27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" fillId="2" borderId="0" xfId="0" applyFont="1" applyFill="1"/>
    <xf numFmtId="0" fontId="26" fillId="0" borderId="0" xfId="0" applyFont="1" applyAlignment="1">
      <alignment vertical="center"/>
    </xf>
    <xf numFmtId="0" fontId="2" fillId="11" borderId="0" xfId="0" applyFont="1" applyFill="1" applyProtection="1">
      <protection locked="0"/>
    </xf>
    <xf numFmtId="0" fontId="2" fillId="11" borderId="85" xfId="0" applyFont="1" applyFill="1" applyBorder="1"/>
    <xf numFmtId="0" fontId="2" fillId="11" borderId="76" xfId="0" applyFont="1" applyFill="1" applyBorder="1"/>
    <xf numFmtId="0" fontId="2" fillId="11" borderId="58" xfId="0" applyFont="1" applyFill="1" applyBorder="1"/>
    <xf numFmtId="9" fontId="2" fillId="11" borderId="48" xfId="0" applyNumberFormat="1" applyFont="1" applyFill="1" applyBorder="1"/>
    <xf numFmtId="0" fontId="2" fillId="11" borderId="48" xfId="0" applyFont="1" applyFill="1" applyBorder="1"/>
    <xf numFmtId="0" fontId="2" fillId="11" borderId="49" xfId="0" applyFont="1" applyFill="1" applyBorder="1"/>
    <xf numFmtId="0" fontId="2" fillId="11" borderId="50" xfId="0" applyFont="1" applyFill="1" applyBorder="1"/>
    <xf numFmtId="0" fontId="2" fillId="11" borderId="53" xfId="0" applyFont="1" applyFill="1" applyBorder="1"/>
    <xf numFmtId="0" fontId="31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30" fillId="2" borderId="31" xfId="0" applyFont="1" applyFill="1" applyBorder="1" applyAlignment="1">
      <alignment horizontal="center" vertical="center"/>
    </xf>
    <xf numFmtId="0" fontId="1" fillId="11" borderId="37" xfId="0" applyFont="1" applyFill="1" applyBorder="1" applyAlignment="1">
      <alignment vertical="center"/>
    </xf>
    <xf numFmtId="0" fontId="0" fillId="0" borderId="0" xfId="0" applyAlignment="1">
      <alignment vertical="center"/>
    </xf>
    <xf numFmtId="1" fontId="2" fillId="11" borderId="0" xfId="0" applyNumberFormat="1" applyFont="1" applyFill="1" applyAlignment="1" applyProtection="1">
      <alignment vertical="center"/>
      <protection locked="0"/>
    </xf>
    <xf numFmtId="0" fontId="2" fillId="2" borderId="27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11" borderId="35" xfId="0" applyFont="1" applyFill="1" applyBorder="1" applyAlignment="1">
      <alignment vertical="center"/>
    </xf>
    <xf numFmtId="0" fontId="1" fillId="11" borderId="36" xfId="0" applyFont="1" applyFill="1" applyBorder="1" applyAlignment="1">
      <alignment vertical="center"/>
    </xf>
    <xf numFmtId="0" fontId="30" fillId="2" borderId="27" xfId="0" applyFont="1" applyFill="1" applyBorder="1" applyAlignment="1">
      <alignment horizontal="center" vertical="center"/>
    </xf>
    <xf numFmtId="0" fontId="30" fillId="2" borderId="30" xfId="0" applyFont="1" applyFill="1" applyBorder="1" applyAlignment="1">
      <alignment horizontal="center" vertical="center"/>
    </xf>
    <xf numFmtId="0" fontId="2" fillId="2" borderId="85" xfId="0" applyFont="1" applyFill="1" applyBorder="1" applyAlignment="1">
      <alignment vertical="center"/>
    </xf>
    <xf numFmtId="0" fontId="2" fillId="2" borderId="72" xfId="0" applyFont="1" applyFill="1" applyBorder="1" applyAlignment="1">
      <alignment vertical="center"/>
    </xf>
    <xf numFmtId="0" fontId="1" fillId="2" borderId="73" xfId="0" applyFont="1" applyFill="1" applyBorder="1" applyAlignment="1">
      <alignment vertical="center"/>
    </xf>
    <xf numFmtId="0" fontId="1" fillId="2" borderId="74" xfId="0" applyFont="1" applyFill="1" applyBorder="1" applyAlignment="1">
      <alignment vertical="center"/>
    </xf>
    <xf numFmtId="0" fontId="1" fillId="2" borderId="75" xfId="0" applyFont="1" applyFill="1" applyBorder="1" applyAlignment="1">
      <alignment vertical="center"/>
    </xf>
    <xf numFmtId="0" fontId="2" fillId="2" borderId="49" xfId="0" applyFont="1" applyFill="1" applyBorder="1" applyAlignment="1">
      <alignment vertical="center"/>
    </xf>
    <xf numFmtId="0" fontId="2" fillId="2" borderId="50" xfId="0" applyFont="1" applyFill="1" applyBorder="1" applyAlignment="1">
      <alignment vertical="center"/>
    </xf>
    <xf numFmtId="2" fontId="30" fillId="2" borderId="71" xfId="0" applyNumberFormat="1" applyFont="1" applyFill="1" applyBorder="1" applyAlignment="1">
      <alignment horizontal="center" vertical="center"/>
    </xf>
    <xf numFmtId="2" fontId="30" fillId="2" borderId="36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13" borderId="0" xfId="0" applyFont="1" applyFill="1" applyAlignment="1" applyProtection="1">
      <alignment vertical="center"/>
      <protection locked="0"/>
    </xf>
    <xf numFmtId="0" fontId="34" fillId="2" borderId="73" xfId="0" applyFont="1" applyFill="1" applyBorder="1" applyAlignment="1">
      <alignment vertical="center"/>
    </xf>
    <xf numFmtId="0" fontId="1" fillId="11" borderId="0" xfId="0" applyFont="1" applyFill="1" applyProtection="1">
      <protection locked="0"/>
    </xf>
    <xf numFmtId="0" fontId="1" fillId="11" borderId="0" xfId="0" applyFont="1" applyFill="1" applyAlignment="1" applyProtection="1">
      <alignment vertical="center" wrapText="1"/>
      <protection locked="0"/>
    </xf>
    <xf numFmtId="1" fontId="17" fillId="11" borderId="0" xfId="0" applyNumberFormat="1" applyFont="1" applyFill="1" applyAlignment="1" applyProtection="1">
      <alignment vertical="center"/>
      <protection locked="0"/>
    </xf>
    <xf numFmtId="2" fontId="17" fillId="11" borderId="0" xfId="0" applyNumberFormat="1" applyFont="1" applyFill="1" applyAlignment="1" applyProtection="1">
      <alignment vertical="center"/>
      <protection locked="0"/>
    </xf>
    <xf numFmtId="0" fontId="2" fillId="0" borderId="0" xfId="0" applyFont="1" applyAlignment="1">
      <alignment vertical="center"/>
    </xf>
    <xf numFmtId="1" fontId="31" fillId="2" borderId="0" xfId="0" applyNumberFormat="1" applyFont="1" applyFill="1" applyAlignment="1">
      <alignment vertical="center"/>
    </xf>
    <xf numFmtId="0" fontId="2" fillId="11" borderId="14" xfId="0" applyFont="1" applyFill="1" applyBorder="1" applyAlignment="1">
      <alignment horizontal="center" vertical="center"/>
    </xf>
    <xf numFmtId="0" fontId="2" fillId="11" borderId="69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vertical="center"/>
    </xf>
    <xf numFmtId="0" fontId="2" fillId="11" borderId="23" xfId="0" applyFont="1" applyFill="1" applyBorder="1" applyAlignment="1">
      <alignment vertical="center"/>
    </xf>
    <xf numFmtId="0" fontId="35" fillId="14" borderId="12" xfId="0" applyFont="1" applyFill="1" applyBorder="1" applyAlignment="1">
      <alignment horizontal="center" vertical="center"/>
    </xf>
    <xf numFmtId="0" fontId="35" fillId="14" borderId="18" xfId="0" applyFont="1" applyFill="1" applyBorder="1" applyAlignment="1">
      <alignment horizontal="center" vertical="center"/>
    </xf>
    <xf numFmtId="0" fontId="35" fillId="14" borderId="17" xfId="0" applyFont="1" applyFill="1" applyBorder="1" applyAlignment="1">
      <alignment horizontal="center" vertical="center"/>
    </xf>
    <xf numFmtId="0" fontId="2" fillId="11" borderId="113" xfId="0" applyFont="1" applyFill="1" applyBorder="1"/>
    <xf numFmtId="0" fontId="2" fillId="11" borderId="114" xfId="0" applyFont="1" applyFill="1" applyBorder="1"/>
    <xf numFmtId="0" fontId="2" fillId="11" borderId="1" xfId="0" applyFont="1" applyFill="1" applyBorder="1" applyAlignment="1">
      <alignment vertical="center"/>
    </xf>
    <xf numFmtId="0" fontId="2" fillId="11" borderId="28" xfId="0" applyFont="1" applyFill="1" applyBorder="1" applyAlignment="1">
      <alignment vertical="center"/>
    </xf>
    <xf numFmtId="0" fontId="35" fillId="15" borderId="12" xfId="0" applyFont="1" applyFill="1" applyBorder="1" applyAlignment="1">
      <alignment horizontal="center" vertical="center"/>
    </xf>
    <xf numFmtId="0" fontId="35" fillId="15" borderId="18" xfId="0" applyFont="1" applyFill="1" applyBorder="1" applyAlignment="1">
      <alignment horizontal="center" vertical="center"/>
    </xf>
    <xf numFmtId="0" fontId="35" fillId="15" borderId="17" xfId="0" applyFont="1" applyFill="1" applyBorder="1" applyAlignment="1">
      <alignment horizontal="center" vertical="center"/>
    </xf>
    <xf numFmtId="0" fontId="2" fillId="11" borderId="115" xfId="0" applyFont="1" applyFill="1" applyBorder="1"/>
    <xf numFmtId="0" fontId="2" fillId="11" borderId="116" xfId="0" applyFont="1" applyFill="1" applyBorder="1"/>
    <xf numFmtId="0" fontId="2" fillId="11" borderId="117" xfId="0" applyFont="1" applyFill="1" applyBorder="1"/>
    <xf numFmtId="0" fontId="2" fillId="11" borderId="118" xfId="0" applyFont="1" applyFill="1" applyBorder="1"/>
    <xf numFmtId="0" fontId="35" fillId="15" borderId="1" xfId="0" applyFont="1" applyFill="1" applyBorder="1" applyAlignment="1">
      <alignment horizontal="center" vertical="center"/>
    </xf>
    <xf numFmtId="0" fontId="35" fillId="15" borderId="28" xfId="0" applyFont="1" applyFill="1" applyBorder="1" applyAlignment="1">
      <alignment horizontal="center" vertical="center"/>
    </xf>
    <xf numFmtId="0" fontId="35" fillId="15" borderId="13" xfId="0" applyFont="1" applyFill="1" applyBorder="1" applyAlignment="1">
      <alignment horizontal="center" vertical="center"/>
    </xf>
    <xf numFmtId="0" fontId="2" fillId="11" borderId="119" xfId="0" applyFont="1" applyFill="1" applyBorder="1"/>
    <xf numFmtId="0" fontId="35" fillId="14" borderId="1" xfId="0" applyFont="1" applyFill="1" applyBorder="1" applyAlignment="1">
      <alignment horizontal="center" vertical="center"/>
    </xf>
    <xf numFmtId="0" fontId="35" fillId="14" borderId="13" xfId="0" applyFont="1" applyFill="1" applyBorder="1" applyAlignment="1">
      <alignment horizontal="center" vertical="center"/>
    </xf>
    <xf numFmtId="0" fontId="2" fillId="11" borderId="0" xfId="0" applyFont="1" applyFill="1"/>
    <xf numFmtId="0" fontId="17" fillId="2" borderId="28" xfId="0" applyFont="1" applyFill="1" applyBorder="1" applyAlignment="1">
      <alignment horizontal="left" vertical="center"/>
    </xf>
    <xf numFmtId="0" fontId="35" fillId="14" borderId="28" xfId="0" applyFont="1" applyFill="1" applyBorder="1" applyAlignment="1">
      <alignment horizontal="center" vertical="center"/>
    </xf>
    <xf numFmtId="0" fontId="35" fillId="16" borderId="1" xfId="0" applyFont="1" applyFill="1" applyBorder="1" applyAlignment="1">
      <alignment horizontal="center" vertical="center"/>
    </xf>
    <xf numFmtId="0" fontId="35" fillId="16" borderId="28" xfId="0" applyFont="1" applyFill="1" applyBorder="1" applyAlignment="1">
      <alignment horizontal="center" vertical="center"/>
    </xf>
    <xf numFmtId="0" fontId="35" fillId="16" borderId="13" xfId="0" applyFont="1" applyFill="1" applyBorder="1" applyAlignment="1">
      <alignment horizontal="center" vertical="center"/>
    </xf>
    <xf numFmtId="0" fontId="2" fillId="14" borderId="2" xfId="0" applyFont="1" applyFill="1" applyBorder="1"/>
    <xf numFmtId="0" fontId="2" fillId="11" borderId="120" xfId="0" applyFont="1" applyFill="1" applyBorder="1"/>
    <xf numFmtId="0" fontId="1" fillId="2" borderId="85" xfId="0" applyFont="1" applyFill="1" applyBorder="1" applyAlignment="1">
      <alignment vertical="center"/>
    </xf>
    <xf numFmtId="0" fontId="1" fillId="2" borderId="76" xfId="0" applyFont="1" applyFill="1" applyBorder="1" applyAlignment="1">
      <alignment vertical="center"/>
    </xf>
    <xf numFmtId="0" fontId="2" fillId="15" borderId="2" xfId="0" applyFont="1" applyFill="1" applyBorder="1"/>
    <xf numFmtId="0" fontId="35" fillId="15" borderId="29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vertical="center"/>
    </xf>
    <xf numFmtId="0" fontId="2" fillId="16" borderId="2" xfId="0" applyFont="1" applyFill="1" applyBorder="1"/>
    <xf numFmtId="0" fontId="35" fillId="14" borderId="39" xfId="0" applyFont="1" applyFill="1" applyBorder="1" applyAlignment="1">
      <alignment horizontal="center" vertical="center"/>
    </xf>
    <xf numFmtId="0" fontId="2" fillId="11" borderId="33" xfId="0" applyFont="1" applyFill="1" applyBorder="1" applyAlignment="1">
      <alignment vertical="center"/>
    </xf>
    <xf numFmtId="0" fontId="2" fillId="11" borderId="31" xfId="0" applyFont="1" applyFill="1" applyBorder="1" applyAlignment="1">
      <alignment vertical="center"/>
    </xf>
    <xf numFmtId="0" fontId="2" fillId="11" borderId="121" xfId="0" applyFont="1" applyFill="1" applyBorder="1"/>
    <xf numFmtId="0" fontId="2" fillId="11" borderId="122" xfId="0" applyFont="1" applyFill="1" applyBorder="1"/>
    <xf numFmtId="0" fontId="2" fillId="11" borderId="85" xfId="0" applyFont="1" applyFill="1" applyBorder="1" applyAlignment="1">
      <alignment vertical="center"/>
    </xf>
    <xf numFmtId="0" fontId="2" fillId="11" borderId="76" xfId="0" applyFont="1" applyFill="1" applyBorder="1" applyAlignment="1">
      <alignment vertical="center"/>
    </xf>
    <xf numFmtId="0" fontId="2" fillId="2" borderId="53" xfId="0" applyFont="1" applyFill="1" applyBorder="1" applyAlignment="1">
      <alignment vertical="center"/>
    </xf>
    <xf numFmtId="9" fontId="2" fillId="11" borderId="48" xfId="0" applyNumberFormat="1" applyFont="1" applyFill="1" applyBorder="1" applyAlignment="1">
      <alignment vertical="center"/>
    </xf>
    <xf numFmtId="0" fontId="2" fillId="2" borderId="76" xfId="0" applyFont="1" applyFill="1" applyBorder="1" applyAlignment="1">
      <alignment vertical="center"/>
    </xf>
    <xf numFmtId="0" fontId="1" fillId="2" borderId="58" xfId="0" applyFont="1" applyFill="1" applyBorder="1" applyAlignment="1">
      <alignment vertical="center"/>
    </xf>
    <xf numFmtId="0" fontId="1" fillId="2" borderId="49" xfId="0" applyFont="1" applyFill="1" applyBorder="1" applyAlignment="1">
      <alignment vertical="center"/>
    </xf>
    <xf numFmtId="0" fontId="1" fillId="2" borderId="50" xfId="0" applyFont="1" applyFill="1" applyBorder="1" applyAlignment="1">
      <alignment vertical="center"/>
    </xf>
    <xf numFmtId="0" fontId="1" fillId="11" borderId="0" xfId="0" applyFont="1" applyFill="1"/>
    <xf numFmtId="0" fontId="1" fillId="11" borderId="0" xfId="0" applyFont="1" applyFill="1" applyAlignment="1">
      <alignment horizontal="left"/>
    </xf>
    <xf numFmtId="0" fontId="36" fillId="2" borderId="0" xfId="0" applyFont="1" applyFill="1" applyAlignment="1">
      <alignment vertical="center"/>
    </xf>
    <xf numFmtId="0" fontId="2" fillId="2" borderId="63" xfId="0" applyFont="1" applyFill="1" applyBorder="1"/>
    <xf numFmtId="0" fontId="2" fillId="2" borderId="85" xfId="0" applyFont="1" applyFill="1" applyBorder="1"/>
    <xf numFmtId="0" fontId="2" fillId="2" borderId="72" xfId="0" applyFont="1" applyFill="1" applyBorder="1"/>
    <xf numFmtId="0" fontId="2" fillId="2" borderId="76" xfId="0" applyFont="1" applyFill="1" applyBorder="1"/>
    <xf numFmtId="0" fontId="2" fillId="2" borderId="58" xfId="0" applyFont="1" applyFill="1" applyBorder="1"/>
    <xf numFmtId="0" fontId="2" fillId="2" borderId="48" xfId="0" applyFont="1" applyFill="1" applyBorder="1"/>
    <xf numFmtId="0" fontId="1" fillId="11" borderId="19" xfId="0" applyFont="1" applyFill="1" applyBorder="1"/>
    <xf numFmtId="0" fontId="1" fillId="11" borderId="20" xfId="0" applyFont="1" applyFill="1" applyBorder="1"/>
    <xf numFmtId="0" fontId="1" fillId="11" borderId="21" xfId="0" applyFont="1" applyFill="1" applyBorder="1"/>
    <xf numFmtId="0" fontId="2" fillId="0" borderId="72" xfId="0" applyFont="1" applyBorder="1"/>
    <xf numFmtId="0" fontId="2" fillId="0" borderId="50" xfId="0" applyFont="1" applyBorder="1"/>
    <xf numFmtId="2" fontId="17" fillId="2" borderId="0" xfId="0" applyNumberFormat="1" applyFont="1" applyFill="1" applyAlignment="1" applyProtection="1">
      <alignment vertical="center"/>
      <protection locked="0"/>
    </xf>
    <xf numFmtId="0" fontId="1" fillId="11" borderId="0" xfId="0" applyFont="1" applyFill="1" applyAlignment="1" applyProtection="1">
      <alignment vertical="center"/>
      <protection locked="0"/>
    </xf>
    <xf numFmtId="0" fontId="9" fillId="11" borderId="0" xfId="0" applyFont="1" applyFill="1" applyAlignment="1" applyProtection="1">
      <alignment vertical="center" wrapText="1"/>
      <protection locked="0"/>
    </xf>
    <xf numFmtId="164" fontId="31" fillId="2" borderId="3" xfId="0" applyNumberFormat="1" applyFont="1" applyFill="1" applyBorder="1" applyAlignment="1">
      <alignment vertical="center"/>
    </xf>
    <xf numFmtId="164" fontId="17" fillId="2" borderId="48" xfId="0" applyNumberFormat="1" applyFont="1" applyFill="1" applyBorder="1" applyAlignment="1">
      <alignment vertical="center"/>
    </xf>
    <xf numFmtId="164" fontId="31" fillId="2" borderId="52" xfId="0" applyNumberFormat="1" applyFont="1" applyFill="1" applyBorder="1" applyAlignment="1">
      <alignment vertical="center"/>
    </xf>
    <xf numFmtId="164" fontId="17" fillId="2" borderId="50" xfId="0" applyNumberFormat="1" applyFont="1" applyFill="1" applyBorder="1" applyAlignment="1">
      <alignment vertical="center"/>
    </xf>
    <xf numFmtId="164" fontId="17" fillId="2" borderId="53" xfId="0" applyNumberFormat="1" applyFont="1" applyFill="1" applyBorder="1" applyAlignment="1">
      <alignment vertical="center"/>
    </xf>
    <xf numFmtId="0" fontId="2" fillId="20" borderId="13" xfId="0" applyFont="1" applyFill="1" applyBorder="1" applyAlignment="1" applyProtection="1">
      <alignment horizontal="center"/>
      <protection locked="0"/>
    </xf>
    <xf numFmtId="0" fontId="2" fillId="20" borderId="2" xfId="0" applyFont="1" applyFill="1" applyBorder="1" applyAlignment="1">
      <alignment horizontal="center" vertical="center"/>
    </xf>
    <xf numFmtId="0" fontId="2" fillId="20" borderId="2" xfId="0" applyFont="1" applyFill="1" applyBorder="1" applyAlignment="1" applyProtection="1">
      <alignment horizontal="center"/>
      <protection locked="0"/>
    </xf>
    <xf numFmtId="0" fontId="2" fillId="20" borderId="2" xfId="0" applyFont="1" applyFill="1" applyBorder="1" applyAlignment="1">
      <alignment horizontal="center" vertical="center" shrinkToFit="1"/>
    </xf>
    <xf numFmtId="0" fontId="38" fillId="21" borderId="126" xfId="0" applyFont="1" applyFill="1" applyBorder="1" applyAlignment="1" applyProtection="1">
      <alignment horizontal="center" vertical="center" wrapText="1"/>
      <protection locked="0"/>
    </xf>
    <xf numFmtId="0" fontId="38" fillId="21" borderId="127" xfId="0" applyFont="1" applyFill="1" applyBorder="1" applyAlignment="1" applyProtection="1">
      <alignment horizontal="center" vertical="center" wrapText="1"/>
      <protection locked="0"/>
    </xf>
    <xf numFmtId="0" fontId="38" fillId="21" borderId="128" xfId="0" applyFont="1" applyFill="1" applyBorder="1" applyAlignment="1" applyProtection="1">
      <alignment horizontal="center" vertical="center" wrapText="1"/>
      <protection locked="0"/>
    </xf>
    <xf numFmtId="0" fontId="10" fillId="5" borderId="4" xfId="0" applyFont="1" applyFill="1" applyBorder="1" applyAlignment="1">
      <alignment horizontal="center" vertical="center" textRotation="90"/>
    </xf>
    <xf numFmtId="0" fontId="10" fillId="5" borderId="5" xfId="0" applyFont="1" applyFill="1" applyBorder="1" applyAlignment="1">
      <alignment horizontal="center" vertical="center" textRotation="90"/>
    </xf>
    <xf numFmtId="0" fontId="10" fillId="5" borderId="6" xfId="0" applyFont="1" applyFill="1" applyBorder="1" applyAlignment="1">
      <alignment horizontal="center" vertical="center" textRotation="90"/>
    </xf>
    <xf numFmtId="0" fontId="10" fillId="6" borderId="4" xfId="0" applyFont="1" applyFill="1" applyBorder="1" applyAlignment="1">
      <alignment horizontal="center" vertical="center" textRotation="90"/>
    </xf>
    <xf numFmtId="0" fontId="10" fillId="6" borderId="5" xfId="0" applyFont="1" applyFill="1" applyBorder="1" applyAlignment="1">
      <alignment horizontal="center" vertical="center" textRotation="90"/>
    </xf>
    <xf numFmtId="0" fontId="10" fillId="6" borderId="6" xfId="0" applyFont="1" applyFill="1" applyBorder="1" applyAlignment="1">
      <alignment horizontal="center" vertical="center" textRotation="90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8" xfId="0" applyFont="1" applyFill="1" applyBorder="1" applyAlignment="1" applyProtection="1">
      <alignment horizontal="center"/>
      <protection locked="0"/>
    </xf>
    <xf numFmtId="0" fontId="1" fillId="2" borderId="9" xfId="0" applyFont="1" applyFill="1" applyBorder="1" applyAlignment="1" applyProtection="1">
      <alignment horizont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9" fillId="2" borderId="10" xfId="0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8" fillId="8" borderId="15" xfId="0" applyFont="1" applyFill="1" applyBorder="1" applyAlignment="1" applyProtection="1">
      <alignment horizontal="center" vertical="center" wrapText="1"/>
      <protection locked="0"/>
    </xf>
    <xf numFmtId="0" fontId="8" fillId="8" borderId="16" xfId="0" applyFont="1" applyFill="1" applyBorder="1" applyAlignment="1" applyProtection="1">
      <alignment horizontal="center" vertical="center" wrapText="1"/>
      <protection locked="0"/>
    </xf>
    <xf numFmtId="0" fontId="8" fillId="8" borderId="17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0" fontId="2" fillId="2" borderId="12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11" fillId="8" borderId="15" xfId="0" applyFont="1" applyFill="1" applyBorder="1" applyAlignment="1" applyProtection="1">
      <alignment horizontal="center" vertical="center" wrapText="1"/>
      <protection locked="0"/>
    </xf>
    <xf numFmtId="0" fontId="11" fillId="8" borderId="16" xfId="0" applyFont="1" applyFill="1" applyBorder="1" applyAlignment="1" applyProtection="1">
      <alignment horizontal="center" vertical="center" wrapText="1"/>
      <protection locked="0"/>
    </xf>
    <xf numFmtId="0" fontId="11" fillId="8" borderId="17" xfId="0" applyFont="1" applyFill="1" applyBorder="1" applyAlignment="1" applyProtection="1">
      <alignment horizontal="center" vertical="center" wrapText="1"/>
      <protection locked="0"/>
    </xf>
    <xf numFmtId="0" fontId="8" fillId="8" borderId="4" xfId="0" applyFont="1" applyFill="1" applyBorder="1" applyAlignment="1" applyProtection="1">
      <alignment horizontal="center" vertical="center" wrapText="1"/>
      <protection locked="0"/>
    </xf>
    <xf numFmtId="0" fontId="8" fillId="8" borderId="5" xfId="0" applyFont="1" applyFill="1" applyBorder="1" applyAlignment="1" applyProtection="1">
      <alignment horizontal="center" vertical="center" wrapText="1"/>
      <protection locked="0"/>
    </xf>
    <xf numFmtId="0" fontId="8" fillId="8" borderId="6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" fillId="2" borderId="9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left" vertical="center" wrapText="1"/>
      <protection locked="0"/>
    </xf>
    <xf numFmtId="0" fontId="2" fillId="0" borderId="3" xfId="0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6" fillId="7" borderId="15" xfId="0" applyFont="1" applyFill="1" applyBorder="1" applyAlignment="1">
      <alignment horizontal="center" vertical="center" textRotation="90"/>
    </xf>
    <xf numFmtId="0" fontId="6" fillId="7" borderId="16" xfId="0" applyFont="1" applyFill="1" applyBorder="1" applyAlignment="1">
      <alignment horizontal="center" vertical="center" textRotation="90"/>
    </xf>
    <xf numFmtId="0" fontId="6" fillId="7" borderId="6" xfId="0" applyFont="1" applyFill="1" applyBorder="1" applyAlignment="1">
      <alignment horizontal="center" vertical="center" textRotation="9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2" fontId="1" fillId="2" borderId="7" xfId="0" applyNumberFormat="1" applyFont="1" applyFill="1" applyBorder="1" applyAlignment="1" applyProtection="1">
      <alignment horizontal="center" vertical="center"/>
      <protection locked="0"/>
    </xf>
    <xf numFmtId="2" fontId="1" fillId="2" borderId="8" xfId="0" applyNumberFormat="1" applyFont="1" applyFill="1" applyBorder="1" applyAlignment="1" applyProtection="1">
      <alignment horizontal="center" vertical="center"/>
      <protection locked="0"/>
    </xf>
    <xf numFmtId="2" fontId="1" fillId="2" borderId="9" xfId="0" applyNumberFormat="1" applyFont="1" applyFill="1" applyBorder="1" applyAlignment="1" applyProtection="1">
      <alignment horizontal="center" vertical="center"/>
      <protection locked="0"/>
    </xf>
    <xf numFmtId="0" fontId="1" fillId="3" borderId="14" xfId="0" applyFont="1" applyFill="1" applyBorder="1" applyAlignment="1" applyProtection="1">
      <alignment horizontal="center"/>
      <protection locked="0"/>
    </xf>
    <xf numFmtId="0" fontId="7" fillId="2" borderId="10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0" fontId="1" fillId="3" borderId="8" xfId="0" applyFont="1" applyFill="1" applyBorder="1" applyAlignment="1" applyProtection="1">
      <alignment horizontal="center"/>
      <protection locked="0"/>
    </xf>
    <xf numFmtId="0" fontId="1" fillId="3" borderId="9" xfId="0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22" fillId="2" borderId="0" xfId="0" applyFont="1" applyFill="1" applyAlignment="1">
      <alignment horizontal="right" wrapText="1"/>
    </xf>
    <xf numFmtId="0" fontId="23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 vertical="center"/>
    </xf>
    <xf numFmtId="0" fontId="17" fillId="2" borderId="0" xfId="0" applyFont="1" applyFill="1" applyAlignment="1" applyProtection="1">
      <alignment horizontal="left" vertical="center"/>
      <protection locked="0"/>
    </xf>
    <xf numFmtId="0" fontId="2" fillId="11" borderId="33" xfId="0" applyFont="1" applyFill="1" applyBorder="1" applyAlignment="1">
      <alignment horizontal="left" vertical="center"/>
    </xf>
    <xf numFmtId="0" fontId="2" fillId="11" borderId="31" xfId="0" applyFont="1" applyFill="1" applyBorder="1" applyAlignment="1">
      <alignment horizontal="left" vertical="center"/>
    </xf>
    <xf numFmtId="0" fontId="2" fillId="11" borderId="34" xfId="0" applyFont="1" applyFill="1" applyBorder="1" applyAlignment="1">
      <alignment horizontal="left" vertical="center"/>
    </xf>
    <xf numFmtId="167" fontId="17" fillId="2" borderId="18" xfId="0" applyNumberFormat="1" applyFont="1" applyFill="1" applyBorder="1" applyAlignment="1" applyProtection="1">
      <alignment horizontal="center" vertical="center"/>
      <protection locked="0"/>
    </xf>
    <xf numFmtId="0" fontId="17" fillId="2" borderId="18" xfId="0" applyFont="1" applyFill="1" applyBorder="1" applyAlignment="1" applyProtection="1">
      <alignment horizontal="left" vertical="center"/>
      <protection locked="0"/>
    </xf>
    <xf numFmtId="0" fontId="2" fillId="11" borderId="40" xfId="0" applyFont="1" applyFill="1" applyBorder="1" applyAlignment="1" applyProtection="1">
      <alignment horizontal="center" vertical="center"/>
      <protection locked="0"/>
    </xf>
    <xf numFmtId="0" fontId="2" fillId="11" borderId="2" xfId="0" applyFont="1" applyFill="1" applyBorder="1" applyAlignment="1" applyProtection="1">
      <alignment horizontal="center" vertical="center"/>
      <protection locked="0"/>
    </xf>
    <xf numFmtId="0" fontId="2" fillId="11" borderId="2" xfId="0" applyFont="1" applyFill="1" applyBorder="1" applyAlignment="1">
      <alignment horizontal="left" vertical="center"/>
    </xf>
    <xf numFmtId="0" fontId="2" fillId="11" borderId="39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center" vertical="center"/>
    </xf>
    <xf numFmtId="0" fontId="2" fillId="11" borderId="41" xfId="0" applyFont="1" applyFill="1" applyBorder="1" applyAlignment="1">
      <alignment horizontal="center" vertical="center"/>
    </xf>
    <xf numFmtId="0" fontId="2" fillId="12" borderId="41" xfId="0" applyFont="1" applyFill="1" applyBorder="1" applyAlignment="1" applyProtection="1">
      <alignment horizontal="center" vertical="center"/>
      <protection locked="0"/>
    </xf>
    <xf numFmtId="0" fontId="2" fillId="12" borderId="42" xfId="0" applyFont="1" applyFill="1" applyBorder="1" applyAlignment="1" applyProtection="1">
      <alignment horizontal="center" vertical="center"/>
      <protection locked="0"/>
    </xf>
    <xf numFmtId="0" fontId="2" fillId="11" borderId="40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 applyProtection="1">
      <alignment horizontal="center" vertical="center"/>
      <protection locked="0"/>
    </xf>
    <xf numFmtId="0" fontId="2" fillId="12" borderId="39" xfId="0" applyFont="1" applyFill="1" applyBorder="1" applyAlignment="1" applyProtection="1">
      <alignment horizontal="center" vertical="center"/>
      <protection locked="0"/>
    </xf>
    <xf numFmtId="0" fontId="19" fillId="2" borderId="49" xfId="0" applyFont="1" applyFill="1" applyBorder="1" applyAlignment="1">
      <alignment horizontal="center" vertical="center"/>
    </xf>
    <xf numFmtId="0" fontId="19" fillId="2" borderId="50" xfId="0" applyFont="1" applyFill="1" applyBorder="1" applyAlignment="1">
      <alignment horizontal="center" vertical="center"/>
    </xf>
    <xf numFmtId="0" fontId="19" fillId="2" borderId="51" xfId="0" applyFont="1" applyFill="1" applyBorder="1" applyAlignment="1">
      <alignment horizontal="center" vertical="center"/>
    </xf>
    <xf numFmtId="2" fontId="17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17" fillId="2" borderId="16" xfId="0" applyNumberFormat="1" applyFont="1" applyFill="1" applyBorder="1" applyAlignment="1" applyProtection="1">
      <alignment horizontal="center" vertical="center" wrapText="1"/>
      <protection locked="0"/>
    </xf>
    <xf numFmtId="2" fontId="17" fillId="2" borderId="52" xfId="0" applyNumberFormat="1" applyFont="1" applyFill="1" applyBorder="1" applyAlignment="1" applyProtection="1">
      <alignment horizontal="center" vertical="center" wrapText="1"/>
      <protection locked="0"/>
    </xf>
    <xf numFmtId="2" fontId="17" fillId="2" borderId="5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>
      <alignment horizontal="center" vertical="top"/>
    </xf>
    <xf numFmtId="0" fontId="2" fillId="2" borderId="48" xfId="0" applyFont="1" applyFill="1" applyBorder="1" applyAlignment="1">
      <alignment horizontal="center" vertical="top"/>
    </xf>
    <xf numFmtId="2" fontId="17" fillId="2" borderId="48" xfId="0" applyNumberFormat="1" applyFont="1" applyFill="1" applyBorder="1" applyAlignment="1" applyProtection="1">
      <alignment horizontal="center" vertical="center" wrapText="1"/>
      <protection locked="0"/>
    </xf>
    <xf numFmtId="2" fontId="17" fillId="2" borderId="53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6" xfId="0" applyFont="1" applyFill="1" applyBorder="1" applyAlignment="1">
      <alignment horizontal="center" vertical="top"/>
    </xf>
    <xf numFmtId="0" fontId="21" fillId="2" borderId="5" xfId="0" applyFont="1" applyFill="1" applyBorder="1" applyAlignment="1">
      <alignment horizontal="center" vertical="center" textRotation="90" shrinkToFit="1"/>
    </xf>
    <xf numFmtId="0" fontId="21" fillId="2" borderId="80" xfId="0" applyFont="1" applyFill="1" applyBorder="1" applyAlignment="1">
      <alignment horizontal="center" vertical="center" textRotation="90" shrinkToFit="1"/>
    </xf>
    <xf numFmtId="0" fontId="21" fillId="2" borderId="10" xfId="0" applyFont="1" applyFill="1" applyBorder="1" applyAlignment="1">
      <alignment horizontal="center" vertical="center" textRotation="90" shrinkToFit="1"/>
    </xf>
    <xf numFmtId="0" fontId="1" fillId="2" borderId="19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horizontal="left" vertical="center"/>
    </xf>
    <xf numFmtId="0" fontId="1" fillId="2" borderId="21" xfId="0" applyFont="1" applyFill="1" applyBorder="1" applyAlignment="1">
      <alignment horizontal="left" vertical="center"/>
    </xf>
    <xf numFmtId="0" fontId="19" fillId="2" borderId="65" xfId="0" applyFont="1" applyFill="1" applyBorder="1" applyAlignment="1">
      <alignment horizontal="center" vertical="top"/>
    </xf>
    <xf numFmtId="0" fontId="19" fillId="2" borderId="66" xfId="0" applyFont="1" applyFill="1" applyBorder="1" applyAlignment="1">
      <alignment horizontal="center" vertical="top"/>
    </xf>
    <xf numFmtId="0" fontId="19" fillId="2" borderId="82" xfId="0" applyFont="1" applyFill="1" applyBorder="1" applyAlignment="1">
      <alignment horizontal="center" vertical="top"/>
    </xf>
    <xf numFmtId="0" fontId="2" fillId="2" borderId="11" xfId="0" applyFont="1" applyFill="1" applyBorder="1" applyAlignment="1">
      <alignment horizontal="center" vertical="top"/>
    </xf>
    <xf numFmtId="0" fontId="2" fillId="2" borderId="82" xfId="0" applyFont="1" applyFill="1" applyBorder="1" applyAlignment="1">
      <alignment horizontal="center" vertical="top"/>
    </xf>
    <xf numFmtId="0" fontId="17" fillId="2" borderId="51" xfId="0" applyFont="1" applyFill="1" applyBorder="1" applyAlignment="1" applyProtection="1">
      <alignment horizontal="left" vertical="center"/>
      <protection locked="0"/>
    </xf>
    <xf numFmtId="0" fontId="17" fillId="2" borderId="81" xfId="0" applyFont="1" applyFill="1" applyBorder="1" applyAlignment="1" applyProtection="1">
      <alignment horizontal="left" vertical="center"/>
      <protection locked="0"/>
    </xf>
    <xf numFmtId="0" fontId="2" fillId="11" borderId="22" xfId="0" applyFont="1" applyFill="1" applyBorder="1" applyAlignment="1" applyProtection="1">
      <alignment horizontal="center" vertical="center"/>
      <protection locked="0"/>
    </xf>
    <xf numFmtId="0" fontId="2" fillId="11" borderId="24" xfId="0" applyFont="1" applyFill="1" applyBorder="1" applyAlignment="1" applyProtection="1">
      <alignment horizontal="center" vertical="center"/>
      <protection locked="0"/>
    </xf>
    <xf numFmtId="0" fontId="2" fillId="11" borderId="54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/>
    </xf>
    <xf numFmtId="0" fontId="2" fillId="12" borderId="12" xfId="0" applyFont="1" applyFill="1" applyBorder="1" applyAlignment="1" applyProtection="1">
      <alignment horizontal="center" vertical="center"/>
      <protection locked="0"/>
    </xf>
    <xf numFmtId="0" fontId="2" fillId="12" borderId="18" xfId="0" applyFont="1" applyFill="1" applyBorder="1" applyAlignment="1" applyProtection="1">
      <alignment horizontal="center" vertical="center"/>
      <protection locked="0"/>
    </xf>
    <xf numFmtId="0" fontId="2" fillId="12" borderId="59" xfId="0" applyFont="1" applyFill="1" applyBorder="1" applyAlignment="1" applyProtection="1">
      <alignment horizontal="center" vertical="center"/>
      <protection locked="0"/>
    </xf>
    <xf numFmtId="0" fontId="2" fillId="11" borderId="6" xfId="0" applyFont="1" applyFill="1" applyBorder="1" applyAlignment="1">
      <alignment horizontal="left" vertical="center"/>
    </xf>
    <xf numFmtId="0" fontId="2" fillId="11" borderId="38" xfId="0" applyFont="1" applyFill="1" applyBorder="1" applyAlignment="1">
      <alignment horizontal="left" vertical="center"/>
    </xf>
    <xf numFmtId="0" fontId="2" fillId="2" borderId="4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164" fontId="17" fillId="2" borderId="2" xfId="0" quotePrefix="1" applyNumberFormat="1" applyFont="1" applyFill="1" applyBorder="1" applyAlignment="1">
      <alignment horizontal="center" vertical="center"/>
    </xf>
    <xf numFmtId="164" fontId="17" fillId="2" borderId="2" xfId="0" applyNumberFormat="1" applyFont="1" applyFill="1" applyBorder="1" applyAlignment="1">
      <alignment horizontal="center" vertical="center"/>
    </xf>
    <xf numFmtId="164" fontId="17" fillId="2" borderId="39" xfId="0" applyNumberFormat="1" applyFont="1" applyFill="1" applyBorder="1" applyAlignment="1">
      <alignment horizontal="center" vertical="center"/>
    </xf>
    <xf numFmtId="0" fontId="1" fillId="2" borderId="55" xfId="0" applyFont="1" applyFill="1" applyBorder="1" applyAlignment="1">
      <alignment horizontal="left" vertical="center"/>
    </xf>
    <xf numFmtId="0" fontId="1" fillId="2" borderId="56" xfId="0" applyFont="1" applyFill="1" applyBorder="1" applyAlignment="1">
      <alignment horizontal="left" vertical="center"/>
    </xf>
    <xf numFmtId="0" fontId="1" fillId="2" borderId="57" xfId="0" applyFont="1" applyFill="1" applyBorder="1" applyAlignment="1">
      <alignment horizontal="left" vertical="center"/>
    </xf>
    <xf numFmtId="0" fontId="1" fillId="11" borderId="73" xfId="0" applyFont="1" applyFill="1" applyBorder="1" applyAlignment="1">
      <alignment horizontal="left" vertical="center" wrapText="1"/>
    </xf>
    <xf numFmtId="0" fontId="1" fillId="11" borderId="74" xfId="0" applyFont="1" applyFill="1" applyBorder="1" applyAlignment="1">
      <alignment horizontal="left" vertical="center"/>
    </xf>
    <xf numFmtId="0" fontId="1" fillId="11" borderId="75" xfId="0" applyFont="1" applyFill="1" applyBorder="1" applyAlignment="1">
      <alignment horizontal="left" vertical="center"/>
    </xf>
    <xf numFmtId="0" fontId="1" fillId="11" borderId="68" xfId="0" applyFont="1" applyFill="1" applyBorder="1" applyAlignment="1">
      <alignment horizontal="left" vertical="center"/>
    </xf>
    <xf numFmtId="0" fontId="1" fillId="11" borderId="14" xfId="0" applyFont="1" applyFill="1" applyBorder="1" applyAlignment="1">
      <alignment horizontal="left" vertical="center"/>
    </xf>
    <xf numFmtId="0" fontId="1" fillId="11" borderId="69" xfId="0" applyFont="1" applyFill="1" applyBorder="1" applyAlignment="1">
      <alignment horizontal="left" vertical="center"/>
    </xf>
    <xf numFmtId="0" fontId="2" fillId="2" borderId="46" xfId="0" applyFont="1" applyFill="1" applyBorder="1" applyAlignment="1">
      <alignment horizontal="left" vertical="center"/>
    </xf>
    <xf numFmtId="0" fontId="2" fillId="2" borderId="41" xfId="0" applyFont="1" applyFill="1" applyBorder="1" applyAlignment="1">
      <alignment horizontal="left" vertical="center"/>
    </xf>
    <xf numFmtId="0" fontId="17" fillId="2" borderId="41" xfId="0" applyFont="1" applyFill="1" applyBorder="1" applyAlignment="1" applyProtection="1">
      <alignment horizontal="center" vertical="center"/>
      <protection locked="0"/>
    </xf>
    <xf numFmtId="1" fontId="17" fillId="2" borderId="41" xfId="0" applyNumberFormat="1" applyFont="1" applyFill="1" applyBorder="1" applyAlignment="1">
      <alignment horizontal="center" vertical="center"/>
    </xf>
    <xf numFmtId="0" fontId="17" fillId="2" borderId="41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2" fontId="17" fillId="2" borderId="77" xfId="0" applyNumberFormat="1" applyFont="1" applyFill="1" applyBorder="1" applyAlignment="1" applyProtection="1">
      <alignment horizontal="left" vertical="center"/>
      <protection locked="0"/>
    </xf>
    <xf numFmtId="2" fontId="17" fillId="2" borderId="78" xfId="0" applyNumberFormat="1" applyFont="1" applyFill="1" applyBorder="1" applyAlignment="1" applyProtection="1">
      <alignment horizontal="left" vertical="center"/>
      <protection locked="0"/>
    </xf>
    <xf numFmtId="2" fontId="17" fillId="2" borderId="79" xfId="0" applyNumberFormat="1" applyFont="1" applyFill="1" applyBorder="1" applyAlignment="1" applyProtection="1">
      <alignment horizontal="left" vertical="center"/>
      <protection locked="0"/>
    </xf>
    <xf numFmtId="0" fontId="17" fillId="2" borderId="80" xfId="0" quotePrefix="1" applyFont="1" applyFill="1" applyBorder="1" applyAlignment="1" applyProtection="1">
      <alignment horizontal="right" vertical="center"/>
      <protection locked="0"/>
    </xf>
    <xf numFmtId="0" fontId="17" fillId="2" borderId="52" xfId="0" quotePrefix="1" applyFont="1" applyFill="1" applyBorder="1" applyAlignment="1" applyProtection="1">
      <alignment horizontal="right" vertical="center"/>
      <protection locked="0"/>
    </xf>
    <xf numFmtId="0" fontId="17" fillId="2" borderId="36" xfId="0" applyFont="1" applyFill="1" applyBorder="1" applyAlignment="1">
      <alignment horizontal="center" vertical="center"/>
    </xf>
    <xf numFmtId="0" fontId="17" fillId="2" borderId="37" xfId="0" applyFont="1" applyFill="1" applyBorder="1" applyAlignment="1">
      <alignment horizontal="center" vertical="center"/>
    </xf>
    <xf numFmtId="0" fontId="2" fillId="2" borderId="54" xfId="0" applyFont="1" applyFill="1" applyBorder="1" applyAlignment="1">
      <alignment horizontal="left" vertical="top"/>
    </xf>
    <xf numFmtId="0" fontId="2" fillId="2" borderId="6" xfId="0" applyFont="1" applyFill="1" applyBorder="1" applyAlignment="1">
      <alignment horizontal="left" vertical="top"/>
    </xf>
    <xf numFmtId="0" fontId="17" fillId="2" borderId="6" xfId="0" applyFont="1" applyFill="1" applyBorder="1" applyAlignment="1" applyProtection="1">
      <alignment horizontal="center" vertical="top"/>
      <protection locked="0"/>
    </xf>
    <xf numFmtId="1" fontId="17" fillId="2" borderId="6" xfId="0" applyNumberFormat="1" applyFont="1" applyFill="1" applyBorder="1" applyAlignment="1" applyProtection="1">
      <alignment horizontal="center" vertical="top"/>
      <protection locked="0"/>
    </xf>
    <xf numFmtId="0" fontId="17" fillId="2" borderId="38" xfId="0" applyFont="1" applyFill="1" applyBorder="1" applyAlignment="1" applyProtection="1">
      <alignment horizontal="center" vertical="top"/>
      <protection locked="0"/>
    </xf>
    <xf numFmtId="0" fontId="2" fillId="2" borderId="30" xfId="0" applyFont="1" applyFill="1" applyBorder="1" applyAlignment="1">
      <alignment horizontal="center" vertical="center" shrinkToFit="1"/>
    </xf>
    <xf numFmtId="0" fontId="2" fillId="2" borderId="31" xfId="0" applyFont="1" applyFill="1" applyBorder="1" applyAlignment="1">
      <alignment horizontal="center" vertical="center" shrinkToFit="1"/>
    </xf>
    <xf numFmtId="0" fontId="2" fillId="2" borderId="32" xfId="0" applyFont="1" applyFill="1" applyBorder="1" applyAlignment="1">
      <alignment horizontal="center" vertical="center" shrinkToFit="1"/>
    </xf>
    <xf numFmtId="2" fontId="17" fillId="2" borderId="52" xfId="0" applyNumberFormat="1" applyFont="1" applyFill="1" applyBorder="1" applyAlignment="1" applyProtection="1">
      <alignment horizontal="center" vertical="center"/>
      <protection locked="0"/>
    </xf>
    <xf numFmtId="2" fontId="17" fillId="2" borderId="50" xfId="0" applyNumberFormat="1" applyFont="1" applyFill="1" applyBorder="1" applyAlignment="1" applyProtection="1">
      <alignment horizontal="center" vertical="center"/>
      <protection locked="0"/>
    </xf>
    <xf numFmtId="0" fontId="17" fillId="2" borderId="50" xfId="0" applyFont="1" applyFill="1" applyBorder="1" applyAlignment="1">
      <alignment horizontal="center" vertical="center"/>
    </xf>
    <xf numFmtId="0" fontId="17" fillId="2" borderId="53" xfId="0" applyFont="1" applyFill="1" applyBorder="1" applyAlignment="1">
      <alignment horizontal="center" vertical="center"/>
    </xf>
    <xf numFmtId="0" fontId="20" fillId="11" borderId="19" xfId="0" applyFont="1" applyFill="1" applyBorder="1" applyAlignment="1">
      <alignment horizontal="left" vertical="center"/>
    </xf>
    <xf numFmtId="0" fontId="20" fillId="11" borderId="20" xfId="0" applyFont="1" applyFill="1" applyBorder="1" applyAlignment="1">
      <alignment horizontal="left" vertical="center"/>
    </xf>
    <xf numFmtId="0" fontId="20" fillId="11" borderId="21" xfId="0" applyFont="1" applyFill="1" applyBorder="1" applyAlignment="1">
      <alignment horizontal="left" vertical="center"/>
    </xf>
    <xf numFmtId="0" fontId="17" fillId="2" borderId="4" xfId="0" quotePrefix="1" applyFont="1" applyFill="1" applyBorder="1" applyAlignment="1" applyProtection="1">
      <alignment horizontal="center" vertical="center"/>
      <protection locked="0"/>
    </xf>
    <xf numFmtId="0" fontId="17" fillId="2" borderId="4" xfId="0" applyFont="1" applyFill="1" applyBorder="1" applyAlignment="1" applyProtection="1">
      <alignment horizontal="center" vertical="center"/>
      <protection locked="0"/>
    </xf>
    <xf numFmtId="0" fontId="17" fillId="2" borderId="61" xfId="0" applyFont="1" applyFill="1" applyBorder="1" applyAlignment="1" applyProtection="1">
      <alignment horizontal="center" vertical="center"/>
      <protection locked="0"/>
    </xf>
    <xf numFmtId="0" fontId="1" fillId="2" borderId="62" xfId="0" applyFont="1" applyFill="1" applyBorder="1" applyAlignment="1">
      <alignment horizontal="center" vertical="center"/>
    </xf>
    <xf numFmtId="0" fontId="1" fillId="2" borderId="63" xfId="0" applyFont="1" applyFill="1" applyBorder="1" applyAlignment="1">
      <alignment horizontal="center" vertical="center"/>
    </xf>
    <xf numFmtId="0" fontId="1" fillId="2" borderId="64" xfId="0" applyFont="1" applyFill="1" applyBorder="1" applyAlignment="1">
      <alignment horizontal="center" vertical="center"/>
    </xf>
    <xf numFmtId="0" fontId="2" fillId="11" borderId="65" xfId="0" applyFont="1" applyFill="1" applyBorder="1" applyAlignment="1">
      <alignment horizontal="left" vertical="center" wrapText="1"/>
    </xf>
    <xf numFmtId="0" fontId="2" fillId="11" borderId="66" xfId="0" applyFont="1" applyFill="1" applyBorder="1" applyAlignment="1">
      <alignment horizontal="left" vertical="center" wrapText="1"/>
    </xf>
    <xf numFmtId="0" fontId="2" fillId="11" borderId="67" xfId="0" applyFont="1" applyFill="1" applyBorder="1" applyAlignment="1">
      <alignment horizontal="left" vertical="center" wrapText="1"/>
    </xf>
    <xf numFmtId="0" fontId="2" fillId="11" borderId="58" xfId="0" applyFont="1" applyFill="1" applyBorder="1" applyAlignment="1">
      <alignment horizontal="left" vertical="center" wrapText="1"/>
    </xf>
    <xf numFmtId="0" fontId="2" fillId="11" borderId="0" xfId="0" applyFont="1" applyFill="1" applyAlignment="1">
      <alignment horizontal="left" vertical="center" wrapText="1"/>
    </xf>
    <xf numFmtId="0" fontId="2" fillId="11" borderId="48" xfId="0" applyFont="1" applyFill="1" applyBorder="1" applyAlignment="1">
      <alignment horizontal="left" vertical="center" wrapText="1"/>
    </xf>
    <xf numFmtId="0" fontId="2" fillId="11" borderId="49" xfId="0" applyFont="1" applyFill="1" applyBorder="1" applyAlignment="1">
      <alignment horizontal="left" vertical="center" wrapText="1"/>
    </xf>
    <xf numFmtId="0" fontId="2" fillId="11" borderId="50" xfId="0" applyFont="1" applyFill="1" applyBorder="1" applyAlignment="1">
      <alignment horizontal="left" vertical="center" wrapText="1"/>
    </xf>
    <xf numFmtId="0" fontId="2" fillId="11" borderId="53" xfId="0" applyFont="1" applyFill="1" applyBorder="1" applyAlignment="1">
      <alignment horizontal="left" vertical="center" wrapText="1"/>
    </xf>
    <xf numFmtId="0" fontId="2" fillId="2" borderId="68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/>
    </xf>
    <xf numFmtId="2" fontId="17" fillId="2" borderId="71" xfId="0" applyNumberFormat="1" applyFont="1" applyFill="1" applyBorder="1" applyAlignment="1" applyProtection="1">
      <alignment horizontal="center" vertical="center"/>
      <protection locked="0"/>
    </xf>
    <xf numFmtId="2" fontId="17" fillId="2" borderId="36" xfId="0" applyNumberFormat="1" applyFont="1" applyFill="1" applyBorder="1" applyAlignment="1" applyProtection="1">
      <alignment horizontal="center" vertical="center"/>
      <protection locked="0"/>
    </xf>
    <xf numFmtId="164" fontId="17" fillId="2" borderId="2" xfId="0" applyNumberFormat="1" applyFont="1" applyFill="1" applyBorder="1" applyAlignment="1" applyProtection="1">
      <alignment horizontal="center" vertical="center"/>
      <protection locked="0"/>
    </xf>
    <xf numFmtId="0" fontId="17" fillId="2" borderId="2" xfId="0" applyFont="1" applyFill="1" applyBorder="1" applyAlignment="1" applyProtection="1">
      <alignment horizontal="center" vertical="center"/>
      <protection locked="0"/>
    </xf>
    <xf numFmtId="0" fontId="17" fillId="2" borderId="39" xfId="0" applyFont="1" applyFill="1" applyBorder="1" applyAlignment="1" applyProtection="1">
      <alignment horizontal="center" vertical="center"/>
      <protection locked="0"/>
    </xf>
    <xf numFmtId="2" fontId="17" fillId="2" borderId="33" xfId="0" applyNumberFormat="1" applyFont="1" applyFill="1" applyBorder="1" applyAlignment="1" applyProtection="1">
      <alignment horizontal="right" vertical="center"/>
      <protection locked="0"/>
    </xf>
    <xf numFmtId="2" fontId="17" fillId="2" borderId="31" xfId="0" applyNumberFormat="1" applyFont="1" applyFill="1" applyBorder="1" applyAlignment="1" applyProtection="1">
      <alignment horizontal="right" vertical="center"/>
      <protection locked="0"/>
    </xf>
    <xf numFmtId="0" fontId="17" fillId="2" borderId="31" xfId="0" applyFont="1" applyFill="1" applyBorder="1" applyAlignment="1">
      <alignment horizontal="left" vertical="center"/>
    </xf>
    <xf numFmtId="0" fontId="17" fillId="2" borderId="34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2" fontId="17" fillId="2" borderId="2" xfId="0" applyNumberFormat="1" applyFont="1" applyFill="1" applyBorder="1" applyAlignment="1" applyProtection="1">
      <alignment horizontal="center" vertical="center"/>
      <protection locked="0"/>
    </xf>
    <xf numFmtId="2" fontId="17" fillId="2" borderId="39" xfId="0" applyNumberFormat="1" applyFont="1" applyFill="1" applyBorder="1" applyAlignment="1" applyProtection="1">
      <alignment horizontal="center" vertical="center"/>
      <protection locked="0"/>
    </xf>
    <xf numFmtId="0" fontId="1" fillId="2" borderId="20" xfId="0" applyFont="1" applyFill="1" applyBorder="1" applyAlignment="1" applyProtection="1">
      <alignment horizontal="left" vertical="center"/>
      <protection locked="0"/>
    </xf>
    <xf numFmtId="0" fontId="1" fillId="2" borderId="21" xfId="0" applyFont="1" applyFill="1" applyBorder="1" applyAlignment="1" applyProtection="1">
      <alignment horizontal="left" vertical="center"/>
      <protection locked="0"/>
    </xf>
    <xf numFmtId="0" fontId="17" fillId="2" borderId="1" xfId="0" applyFont="1" applyFill="1" applyBorder="1" applyAlignment="1" applyProtection="1">
      <alignment horizontal="center" vertical="center"/>
      <protection locked="0"/>
    </xf>
    <xf numFmtId="0" fontId="17" fillId="2" borderId="28" xfId="0" applyFont="1" applyFill="1" applyBorder="1" applyAlignment="1" applyProtection="1">
      <alignment horizontal="center" vertical="center"/>
      <protection locked="0"/>
    </xf>
    <xf numFmtId="0" fontId="17" fillId="2" borderId="29" xfId="0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 applyProtection="1">
      <alignment horizontal="right" vertical="center"/>
      <protection locked="0"/>
    </xf>
    <xf numFmtId="0" fontId="17" fillId="2" borderId="28" xfId="0" applyFont="1" applyFill="1" applyBorder="1" applyAlignment="1" applyProtection="1">
      <alignment horizontal="right" vertical="center"/>
      <protection locked="0"/>
    </xf>
    <xf numFmtId="0" fontId="17" fillId="2" borderId="28" xfId="0" applyFont="1" applyFill="1" applyBorder="1" applyAlignment="1">
      <alignment horizontal="center" vertical="center"/>
    </xf>
    <xf numFmtId="0" fontId="17" fillId="2" borderId="28" xfId="0" applyFont="1" applyFill="1" applyBorder="1" applyAlignment="1" applyProtection="1">
      <alignment horizontal="left" vertical="center"/>
      <protection locked="0"/>
    </xf>
    <xf numFmtId="0" fontId="17" fillId="2" borderId="29" xfId="0" applyFont="1" applyFill="1" applyBorder="1" applyAlignment="1" applyProtection="1">
      <alignment horizontal="left" vertical="center"/>
      <protection locked="0"/>
    </xf>
    <xf numFmtId="0" fontId="2" fillId="11" borderId="0" xfId="0" applyFont="1" applyFill="1" applyAlignment="1" applyProtection="1">
      <alignment horizontal="center" vertical="center"/>
      <protection locked="0"/>
    </xf>
    <xf numFmtId="2" fontId="17" fillId="2" borderId="44" xfId="0" applyNumberFormat="1" applyFont="1" applyFill="1" applyBorder="1" applyAlignment="1" applyProtection="1">
      <alignment horizontal="right" vertical="center"/>
      <protection locked="0"/>
    </xf>
    <xf numFmtId="0" fontId="17" fillId="2" borderId="44" xfId="0" applyFont="1" applyFill="1" applyBorder="1" applyAlignment="1">
      <alignment horizontal="left" vertical="center"/>
    </xf>
    <xf numFmtId="0" fontId="17" fillId="2" borderId="15" xfId="0" applyFont="1" applyFill="1" applyBorder="1" applyAlignment="1">
      <alignment horizontal="left" vertical="center"/>
    </xf>
    <xf numFmtId="0" fontId="17" fillId="2" borderId="45" xfId="0" applyFont="1" applyFill="1" applyBorder="1" applyAlignment="1">
      <alignment horizontal="left" vertical="center"/>
    </xf>
    <xf numFmtId="0" fontId="2" fillId="2" borderId="30" xfId="0" applyFont="1" applyFill="1" applyBorder="1" applyAlignment="1">
      <alignment horizontal="left" vertical="center"/>
    </xf>
    <xf numFmtId="0" fontId="2" fillId="2" borderId="31" xfId="0" applyFont="1" applyFill="1" applyBorder="1" applyAlignment="1">
      <alignment horizontal="left" vertical="center"/>
    </xf>
    <xf numFmtId="0" fontId="2" fillId="2" borderId="32" xfId="0" applyFont="1" applyFill="1" applyBorder="1" applyAlignment="1">
      <alignment horizontal="left" vertical="center"/>
    </xf>
    <xf numFmtId="9" fontId="17" fillId="2" borderId="33" xfId="2" applyFont="1" applyFill="1" applyBorder="1" applyAlignment="1" applyProtection="1">
      <alignment horizontal="right" vertical="center"/>
      <protection locked="0"/>
    </xf>
    <xf numFmtId="9" fontId="17" fillId="2" borderId="31" xfId="2" applyFont="1" applyFill="1" applyBorder="1" applyAlignment="1" applyProtection="1">
      <alignment horizontal="right" vertical="center"/>
      <protection locked="0"/>
    </xf>
    <xf numFmtId="9" fontId="17" fillId="2" borderId="31" xfId="2" applyFont="1" applyFill="1" applyBorder="1" applyAlignment="1" applyProtection="1">
      <alignment horizontal="left" vertical="center"/>
    </xf>
    <xf numFmtId="9" fontId="17" fillId="2" borderId="32" xfId="2" applyFont="1" applyFill="1" applyBorder="1" applyAlignment="1" applyProtection="1">
      <alignment horizontal="left" vertical="center"/>
    </xf>
    <xf numFmtId="9" fontId="17" fillId="2" borderId="34" xfId="2" applyFont="1" applyFill="1" applyBorder="1" applyAlignment="1" applyProtection="1">
      <alignment horizontal="left" vertical="center"/>
    </xf>
    <xf numFmtId="0" fontId="2" fillId="2" borderId="22" xfId="0" applyFont="1" applyFill="1" applyBorder="1" applyAlignment="1">
      <alignment horizontal="center" vertical="top"/>
    </xf>
    <xf numFmtId="0" fontId="2" fillId="2" borderId="23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12" xfId="0" applyFont="1" applyFill="1" applyBorder="1" applyAlignment="1">
      <alignment horizontal="center" vertical="top"/>
    </xf>
    <xf numFmtId="0" fontId="2" fillId="2" borderId="18" xfId="0" applyFont="1" applyFill="1" applyBorder="1" applyAlignment="1">
      <alignment horizontal="center" vertical="top"/>
    </xf>
    <xf numFmtId="0" fontId="2" fillId="2" borderId="17" xfId="0" applyFont="1" applyFill="1" applyBorder="1" applyAlignment="1">
      <alignment horizontal="center" vertical="top"/>
    </xf>
    <xf numFmtId="0" fontId="2" fillId="2" borderId="59" xfId="0" applyFont="1" applyFill="1" applyBorder="1" applyAlignment="1">
      <alignment horizontal="center" vertical="top"/>
    </xf>
    <xf numFmtId="0" fontId="17" fillId="2" borderId="25" xfId="0" applyFont="1" applyFill="1" applyBorder="1" applyAlignment="1" applyProtection="1">
      <alignment horizontal="center" vertical="top"/>
      <protection locked="0"/>
    </xf>
    <xf numFmtId="0" fontId="17" fillId="2" borderId="23" xfId="0" applyFont="1" applyFill="1" applyBorder="1" applyAlignment="1" applyProtection="1">
      <alignment horizontal="center" vertical="top"/>
      <protection locked="0"/>
    </xf>
    <xf numFmtId="0" fontId="17" fillId="2" borderId="26" xfId="0" applyFont="1" applyFill="1" applyBorder="1" applyAlignment="1" applyProtection="1">
      <alignment horizontal="center" vertical="top"/>
      <protection locked="0"/>
    </xf>
    <xf numFmtId="0" fontId="19" fillId="11" borderId="40" xfId="0" applyFont="1" applyFill="1" applyBorder="1" applyAlignment="1">
      <alignment horizontal="left" vertical="center" wrapText="1"/>
    </xf>
    <xf numFmtId="0" fontId="19" fillId="11" borderId="2" xfId="0" applyFont="1" applyFill="1" applyBorder="1" applyAlignment="1">
      <alignment horizontal="left" vertical="center" wrapText="1"/>
    </xf>
    <xf numFmtId="0" fontId="19" fillId="11" borderId="39" xfId="0" applyFont="1" applyFill="1" applyBorder="1" applyAlignment="1">
      <alignment horizontal="left" vertical="center" wrapText="1"/>
    </xf>
    <xf numFmtId="0" fontId="19" fillId="11" borderId="46" xfId="0" applyFont="1" applyFill="1" applyBorder="1" applyAlignment="1">
      <alignment horizontal="left" vertical="center" wrapText="1"/>
    </xf>
    <xf numFmtId="0" fontId="19" fillId="11" borderId="41" xfId="0" applyFont="1" applyFill="1" applyBorder="1" applyAlignment="1">
      <alignment horizontal="left" vertical="center" wrapText="1"/>
    </xf>
    <xf numFmtId="0" fontId="19" fillId="11" borderId="42" xfId="0" applyFont="1" applyFill="1" applyBorder="1" applyAlignment="1">
      <alignment horizontal="left" vertical="center" wrapText="1"/>
    </xf>
    <xf numFmtId="0" fontId="2" fillId="2" borderId="60" xfId="0" applyFont="1" applyFill="1" applyBorder="1" applyAlignment="1">
      <alignment horizontal="left" vertical="center"/>
    </xf>
    <xf numFmtId="0" fontId="2" fillId="2" borderId="18" xfId="0" applyFont="1" applyFill="1" applyBorder="1" applyAlignment="1">
      <alignment horizontal="left" vertical="center"/>
    </xf>
    <xf numFmtId="0" fontId="2" fillId="2" borderId="17" xfId="0" applyFont="1" applyFill="1" applyBorder="1" applyAlignment="1">
      <alignment horizontal="left" vertical="center"/>
    </xf>
    <xf numFmtId="0" fontId="17" fillId="2" borderId="6" xfId="0" applyFont="1" applyFill="1" applyBorder="1" applyAlignment="1" applyProtection="1">
      <alignment horizontal="center" vertical="center"/>
      <protection locked="0"/>
    </xf>
    <xf numFmtId="0" fontId="17" fillId="2" borderId="38" xfId="0" applyFont="1" applyFill="1" applyBorder="1" applyAlignment="1" applyProtection="1">
      <alignment horizontal="center" vertical="center"/>
      <protection locked="0"/>
    </xf>
    <xf numFmtId="0" fontId="2" fillId="2" borderId="54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11" borderId="40" xfId="0" applyFont="1" applyFill="1" applyBorder="1" applyAlignment="1">
      <alignment horizontal="left" vertical="center"/>
    </xf>
    <xf numFmtId="1" fontId="17" fillId="11" borderId="2" xfId="0" applyNumberFormat="1" applyFont="1" applyFill="1" applyBorder="1" applyAlignment="1">
      <alignment horizontal="center" vertical="center"/>
    </xf>
    <xf numFmtId="1" fontId="17" fillId="11" borderId="39" xfId="0" applyNumberFormat="1" applyFont="1" applyFill="1" applyBorder="1" applyAlignment="1">
      <alignment horizontal="center" vertical="center"/>
    </xf>
    <xf numFmtId="1" fontId="17" fillId="11" borderId="1" xfId="0" applyNumberFormat="1" applyFont="1" applyFill="1" applyBorder="1" applyAlignment="1">
      <alignment horizontal="center" vertical="center"/>
    </xf>
    <xf numFmtId="1" fontId="17" fillId="11" borderId="28" xfId="0" applyNumberFormat="1" applyFont="1" applyFill="1" applyBorder="1" applyAlignment="1">
      <alignment horizontal="center" vertical="center"/>
    </xf>
    <xf numFmtId="1" fontId="17" fillId="11" borderId="29" xfId="0" applyNumberFormat="1" applyFont="1" applyFill="1" applyBorder="1" applyAlignment="1">
      <alignment horizontal="center" vertical="center"/>
    </xf>
    <xf numFmtId="0" fontId="2" fillId="11" borderId="54" xfId="0" applyFont="1" applyFill="1" applyBorder="1" applyAlignment="1">
      <alignment horizontal="left" vertical="center"/>
    </xf>
    <xf numFmtId="166" fontId="17" fillId="11" borderId="6" xfId="2" applyNumberFormat="1" applyFont="1" applyFill="1" applyBorder="1" applyAlignment="1" applyProtection="1">
      <alignment horizontal="center" vertical="center"/>
    </xf>
    <xf numFmtId="166" fontId="17" fillId="11" borderId="38" xfId="2" applyNumberFormat="1" applyFont="1" applyFill="1" applyBorder="1" applyAlignment="1" applyProtection="1">
      <alignment horizontal="center" vertical="center"/>
    </xf>
    <xf numFmtId="2" fontId="17" fillId="2" borderId="41" xfId="0" applyNumberFormat="1" applyFont="1" applyFill="1" applyBorder="1" applyAlignment="1" applyProtection="1">
      <alignment horizontal="center" vertical="center"/>
      <protection locked="0"/>
    </xf>
    <xf numFmtId="2" fontId="17" fillId="2" borderId="41" xfId="0" applyNumberFormat="1" applyFont="1" applyFill="1" applyBorder="1" applyAlignment="1">
      <alignment horizontal="center" vertical="center"/>
    </xf>
    <xf numFmtId="2" fontId="17" fillId="2" borderId="33" xfId="0" applyNumberFormat="1" applyFont="1" applyFill="1" applyBorder="1" applyAlignment="1">
      <alignment horizontal="center" vertical="center"/>
    </xf>
    <xf numFmtId="0" fontId="17" fillId="2" borderId="42" xfId="0" applyFont="1" applyFill="1" applyBorder="1" applyAlignment="1" applyProtection="1">
      <alignment horizontal="center" vertical="center"/>
      <protection locked="0"/>
    </xf>
    <xf numFmtId="0" fontId="19" fillId="11" borderId="0" xfId="0" applyFont="1" applyFill="1" applyAlignment="1" applyProtection="1">
      <alignment horizontal="left" vertical="center" wrapText="1"/>
      <protection locked="0"/>
    </xf>
    <xf numFmtId="0" fontId="1" fillId="11" borderId="19" xfId="0" applyFont="1" applyFill="1" applyBorder="1" applyAlignment="1">
      <alignment horizontal="left" vertical="center"/>
    </xf>
    <xf numFmtId="0" fontId="1" fillId="11" borderId="20" xfId="0" applyFont="1" applyFill="1" applyBorder="1" applyAlignment="1">
      <alignment horizontal="left" vertical="center"/>
    </xf>
    <xf numFmtId="0" fontId="1" fillId="11" borderId="21" xfId="0" applyFont="1" applyFill="1" applyBorder="1" applyAlignment="1">
      <alignment horizontal="left" vertical="center"/>
    </xf>
    <xf numFmtId="2" fontId="17" fillId="2" borderId="1" xfId="0" applyNumberFormat="1" applyFont="1" applyFill="1" applyBorder="1" applyAlignment="1" applyProtection="1">
      <alignment horizontal="center" vertical="center"/>
      <protection locked="0"/>
    </xf>
    <xf numFmtId="0" fontId="17" fillId="2" borderId="2" xfId="0" quotePrefix="1" applyFont="1" applyFill="1" applyBorder="1" applyAlignment="1" applyProtection="1">
      <alignment horizontal="center" vertical="center"/>
      <protection locked="0"/>
    </xf>
    <xf numFmtId="2" fontId="17" fillId="11" borderId="2" xfId="0" applyNumberFormat="1" applyFont="1" applyFill="1" applyBorder="1" applyAlignment="1">
      <alignment horizontal="right" vertical="center"/>
    </xf>
    <xf numFmtId="2" fontId="17" fillId="11" borderId="1" xfId="0" applyNumberFormat="1" applyFont="1" applyFill="1" applyBorder="1" applyAlignment="1">
      <alignment horizontal="right" vertical="center"/>
    </xf>
    <xf numFmtId="0" fontId="19" fillId="11" borderId="43" xfId="0" applyFont="1" applyFill="1" applyBorder="1" applyAlignment="1">
      <alignment horizontal="left" vertical="center" wrapText="1"/>
    </xf>
    <xf numFmtId="0" fontId="19" fillId="11" borderId="44" xfId="0" applyFont="1" applyFill="1" applyBorder="1" applyAlignment="1">
      <alignment horizontal="left" vertical="center" wrapText="1"/>
    </xf>
    <xf numFmtId="0" fontId="19" fillId="11" borderId="45" xfId="0" applyFont="1" applyFill="1" applyBorder="1" applyAlignment="1">
      <alignment horizontal="left" vertical="center" wrapText="1"/>
    </xf>
    <xf numFmtId="0" fontId="17" fillId="2" borderId="33" xfId="0" applyFont="1" applyFill="1" applyBorder="1" applyAlignment="1" applyProtection="1">
      <alignment horizontal="center" vertical="center"/>
      <protection locked="0"/>
    </xf>
    <xf numFmtId="0" fontId="17" fillId="2" borderId="31" xfId="0" applyFont="1" applyFill="1" applyBorder="1" applyAlignment="1" applyProtection="1">
      <alignment horizontal="center" vertical="center"/>
      <protection locked="0"/>
    </xf>
    <xf numFmtId="0" fontId="17" fillId="2" borderId="34" xfId="0" applyFont="1" applyFill="1" applyBorder="1" applyAlignment="1" applyProtection="1">
      <alignment horizontal="center" vertical="center"/>
      <protection locked="0"/>
    </xf>
    <xf numFmtId="1" fontId="7" fillId="11" borderId="47" xfId="0" applyNumberFormat="1" applyFont="1" applyFill="1" applyBorder="1" applyAlignment="1" applyProtection="1">
      <alignment horizontal="left" vertical="center" wrapText="1"/>
      <protection locked="0"/>
    </xf>
    <xf numFmtId="1" fontId="7" fillId="11" borderId="44" xfId="0" applyNumberFormat="1" applyFont="1" applyFill="1" applyBorder="1" applyAlignment="1" applyProtection="1">
      <alignment horizontal="left" vertical="center" wrapText="1"/>
      <protection locked="0"/>
    </xf>
    <xf numFmtId="1" fontId="7" fillId="11" borderId="15" xfId="0" applyNumberFormat="1" applyFont="1" applyFill="1" applyBorder="1" applyAlignment="1" applyProtection="1">
      <alignment horizontal="left" vertical="center" wrapText="1"/>
      <protection locked="0"/>
    </xf>
    <xf numFmtId="1" fontId="7" fillId="11" borderId="49" xfId="0" applyNumberFormat="1" applyFont="1" applyFill="1" applyBorder="1" applyAlignment="1" applyProtection="1">
      <alignment horizontal="left" vertical="center" wrapText="1"/>
      <protection locked="0"/>
    </xf>
    <xf numFmtId="1" fontId="7" fillId="11" borderId="50" xfId="0" applyNumberFormat="1" applyFont="1" applyFill="1" applyBorder="1" applyAlignment="1" applyProtection="1">
      <alignment horizontal="left" vertical="center" wrapText="1"/>
      <protection locked="0"/>
    </xf>
    <xf numFmtId="1" fontId="7" fillId="11" borderId="51" xfId="0" applyNumberFormat="1" applyFont="1" applyFill="1" applyBorder="1" applyAlignment="1" applyProtection="1">
      <alignment horizontal="left" vertical="center" wrapText="1"/>
      <protection locked="0"/>
    </xf>
    <xf numFmtId="0" fontId="1" fillId="11" borderId="2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9" fillId="11" borderId="3" xfId="0" applyFont="1" applyFill="1" applyBorder="1" applyAlignment="1">
      <alignment horizontal="left" vertical="center" wrapText="1"/>
    </xf>
    <xf numFmtId="0" fontId="19" fillId="11" borderId="0" xfId="0" applyFont="1" applyFill="1" applyAlignment="1">
      <alignment horizontal="left" vertical="center" wrapText="1"/>
    </xf>
    <xf numFmtId="0" fontId="19" fillId="11" borderId="48" xfId="0" applyFont="1" applyFill="1" applyBorder="1" applyAlignment="1">
      <alignment horizontal="left" vertical="center" wrapText="1"/>
    </xf>
    <xf numFmtId="0" fontId="19" fillId="11" borderId="52" xfId="0" applyFont="1" applyFill="1" applyBorder="1" applyAlignment="1">
      <alignment horizontal="left" vertical="center" wrapText="1"/>
    </xf>
    <xf numFmtId="0" fontId="19" fillId="11" borderId="50" xfId="0" applyFont="1" applyFill="1" applyBorder="1" applyAlignment="1">
      <alignment horizontal="left" vertical="center" wrapText="1"/>
    </xf>
    <xf numFmtId="0" fontId="19" fillId="11" borderId="53" xfId="0" applyFont="1" applyFill="1" applyBorder="1" applyAlignment="1">
      <alignment horizontal="left" vertical="center" wrapText="1"/>
    </xf>
    <xf numFmtId="0" fontId="17" fillId="11" borderId="33" xfId="0" applyFont="1" applyFill="1" applyBorder="1" applyAlignment="1" applyProtection="1">
      <alignment horizontal="center" vertical="center"/>
      <protection locked="0"/>
    </xf>
    <xf numFmtId="0" fontId="17" fillId="11" borderId="31" xfId="0" applyFont="1" applyFill="1" applyBorder="1" applyAlignment="1" applyProtection="1">
      <alignment horizontal="center" vertical="center"/>
      <protection locked="0"/>
    </xf>
    <xf numFmtId="0" fontId="17" fillId="11" borderId="32" xfId="0" applyFont="1" applyFill="1" applyBorder="1" applyAlignment="1" applyProtection="1">
      <alignment horizontal="center" vertical="center"/>
      <protection locked="0"/>
    </xf>
    <xf numFmtId="2" fontId="17" fillId="2" borderId="1" xfId="0" applyNumberFormat="1" applyFont="1" applyFill="1" applyBorder="1" applyAlignment="1" applyProtection="1">
      <alignment horizontal="right" vertical="center"/>
      <protection locked="0"/>
    </xf>
    <xf numFmtId="2" fontId="17" fillId="2" borderId="28" xfId="0" applyNumberFormat="1" applyFont="1" applyFill="1" applyBorder="1" applyAlignment="1" applyProtection="1">
      <alignment horizontal="right" vertical="center"/>
      <protection locked="0"/>
    </xf>
    <xf numFmtId="0" fontId="17" fillId="2" borderId="29" xfId="0" applyFont="1" applyFill="1" applyBorder="1" applyAlignment="1">
      <alignment horizontal="center" vertical="center"/>
    </xf>
    <xf numFmtId="164" fontId="17" fillId="11" borderId="2" xfId="0" applyNumberFormat="1" applyFont="1" applyFill="1" applyBorder="1" applyAlignment="1">
      <alignment horizontal="center" vertical="center"/>
    </xf>
    <xf numFmtId="0" fontId="17" fillId="11" borderId="2" xfId="0" applyFont="1" applyFill="1" applyBorder="1" applyAlignment="1" applyProtection="1">
      <alignment horizontal="center" vertical="center"/>
      <protection locked="0"/>
    </xf>
    <xf numFmtId="0" fontId="17" fillId="11" borderId="1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top"/>
    </xf>
    <xf numFmtId="0" fontId="2" fillId="2" borderId="38" xfId="0" applyFont="1" applyFill="1" applyBorder="1" applyAlignment="1">
      <alignment horizontal="center" vertical="top"/>
    </xf>
    <xf numFmtId="0" fontId="1" fillId="11" borderId="55" xfId="0" applyFont="1" applyFill="1" applyBorder="1" applyAlignment="1">
      <alignment horizontal="left" vertical="center"/>
    </xf>
    <xf numFmtId="0" fontId="1" fillId="11" borderId="56" xfId="0" applyFont="1" applyFill="1" applyBorder="1" applyAlignment="1">
      <alignment horizontal="left" vertical="center"/>
    </xf>
    <xf numFmtId="0" fontId="1" fillId="11" borderId="57" xfId="0" applyFont="1" applyFill="1" applyBorder="1" applyAlignment="1">
      <alignment horizontal="left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9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11" borderId="29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7" fillId="11" borderId="39" xfId="0" applyFont="1" applyFill="1" applyBorder="1" applyAlignment="1">
      <alignment horizontal="center" vertical="center"/>
    </xf>
    <xf numFmtId="164" fontId="17" fillId="11" borderId="2" xfId="0" applyNumberFormat="1" applyFont="1" applyFill="1" applyBorder="1" applyAlignment="1" applyProtection="1">
      <alignment horizontal="center" vertical="center"/>
      <protection locked="0"/>
    </xf>
    <xf numFmtId="0" fontId="2" fillId="11" borderId="27" xfId="0" applyFont="1" applyFill="1" applyBorder="1" applyAlignment="1" applyProtection="1">
      <alignment horizontal="center" vertical="center"/>
      <protection locked="0"/>
    </xf>
    <xf numFmtId="0" fontId="2" fillId="11" borderId="28" xfId="0" applyFont="1" applyFill="1" applyBorder="1" applyAlignment="1" applyProtection="1">
      <alignment horizontal="center" vertical="center"/>
      <protection locked="0"/>
    </xf>
    <xf numFmtId="0" fontId="2" fillId="11" borderId="13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2" fillId="11" borderId="29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7" fillId="2" borderId="18" xfId="0" applyFont="1" applyFill="1" applyBorder="1" applyAlignment="1" applyProtection="1">
      <alignment horizontal="center" vertical="center"/>
      <protection locked="0"/>
    </xf>
    <xf numFmtId="0" fontId="2" fillId="11" borderId="30" xfId="0" applyFont="1" applyFill="1" applyBorder="1" applyAlignment="1" applyProtection="1">
      <alignment horizontal="center" vertical="center"/>
      <protection locked="0"/>
    </xf>
    <xf numFmtId="0" fontId="2" fillId="11" borderId="31" xfId="0" applyFont="1" applyFill="1" applyBorder="1" applyAlignment="1" applyProtection="1">
      <alignment horizontal="center" vertical="center"/>
      <protection locked="0"/>
    </xf>
    <xf numFmtId="0" fontId="2" fillId="11" borderId="32" xfId="0" applyFont="1" applyFill="1" applyBorder="1" applyAlignment="1" applyProtection="1">
      <alignment horizontal="center" vertical="center"/>
      <protection locked="0"/>
    </xf>
    <xf numFmtId="0" fontId="2" fillId="11" borderId="33" xfId="0" applyFont="1" applyFill="1" applyBorder="1" applyAlignment="1" applyProtection="1">
      <alignment horizontal="center" vertical="center"/>
      <protection locked="0"/>
    </xf>
    <xf numFmtId="0" fontId="2" fillId="11" borderId="34" xfId="0" applyFont="1" applyFill="1" applyBorder="1" applyAlignment="1" applyProtection="1">
      <alignment horizontal="center" vertical="center"/>
      <protection locked="0"/>
    </xf>
    <xf numFmtId="0" fontId="1" fillId="11" borderId="35" xfId="0" applyFont="1" applyFill="1" applyBorder="1" applyAlignment="1">
      <alignment horizontal="left" vertical="center"/>
    </xf>
    <xf numFmtId="0" fontId="1" fillId="11" borderId="36" xfId="0" applyFont="1" applyFill="1" applyBorder="1" applyAlignment="1">
      <alignment horizontal="left" vertical="center"/>
    </xf>
    <xf numFmtId="0" fontId="1" fillId="11" borderId="37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top"/>
    </xf>
    <xf numFmtId="0" fontId="2" fillId="2" borderId="23" xfId="0" applyFont="1" applyFill="1" applyBorder="1" applyAlignment="1">
      <alignment horizontal="left" vertical="top"/>
    </xf>
    <xf numFmtId="0" fontId="2" fillId="2" borderId="24" xfId="0" applyFont="1" applyFill="1" applyBorder="1" applyAlignment="1">
      <alignment horizontal="left" vertical="top"/>
    </xf>
    <xf numFmtId="0" fontId="2" fillId="2" borderId="22" xfId="0" applyFont="1" applyFill="1" applyBorder="1" applyAlignment="1">
      <alignment horizontal="left" vertical="center"/>
    </xf>
    <xf numFmtId="0" fontId="2" fillId="2" borderId="23" xfId="0" applyFont="1" applyFill="1" applyBorder="1" applyAlignment="1">
      <alignment horizontal="left" vertical="center"/>
    </xf>
    <xf numFmtId="0" fontId="2" fillId="2" borderId="24" xfId="0" applyFont="1" applyFill="1" applyBorder="1" applyAlignment="1">
      <alignment horizontal="left" vertical="center"/>
    </xf>
    <xf numFmtId="0" fontId="2" fillId="11" borderId="27" xfId="0" applyFont="1" applyFill="1" applyBorder="1" applyAlignment="1">
      <alignment horizontal="left" vertical="center"/>
    </xf>
    <xf numFmtId="0" fontId="2" fillId="11" borderId="28" xfId="0" applyFont="1" applyFill="1" applyBorder="1" applyAlignment="1">
      <alignment horizontal="left" vertical="center"/>
    </xf>
    <xf numFmtId="0" fontId="2" fillId="11" borderId="13" xfId="0" applyFont="1" applyFill="1" applyBorder="1" applyAlignment="1">
      <alignment horizontal="left" vertical="center"/>
    </xf>
    <xf numFmtId="0" fontId="17" fillId="2" borderId="18" xfId="0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  <protection locked="0"/>
    </xf>
    <xf numFmtId="0" fontId="2" fillId="11" borderId="25" xfId="0" applyFont="1" applyFill="1" applyBorder="1" applyAlignment="1" applyProtection="1">
      <alignment horizontal="center" vertical="center"/>
      <protection locked="0"/>
    </xf>
    <xf numFmtId="0" fontId="2" fillId="11" borderId="26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Alignment="1">
      <alignment horizontal="right" vertical="center"/>
    </xf>
    <xf numFmtId="0" fontId="17" fillId="2" borderId="0" xfId="0" applyFont="1" applyFill="1" applyAlignment="1">
      <alignment horizontal="left" vertical="center"/>
    </xf>
    <xf numFmtId="0" fontId="2" fillId="11" borderId="30" xfId="0" applyFont="1" applyFill="1" applyBorder="1" applyAlignment="1">
      <alignment horizontal="left" vertical="center"/>
    </xf>
    <xf numFmtId="2" fontId="17" fillId="2" borderId="28" xfId="0" applyNumberFormat="1" applyFont="1" applyFill="1" applyBorder="1" applyAlignment="1" applyProtection="1">
      <alignment horizontal="left" vertical="center"/>
      <protection locked="0"/>
    </xf>
    <xf numFmtId="2" fontId="17" fillId="2" borderId="29" xfId="0" applyNumberFormat="1" applyFont="1" applyFill="1" applyBorder="1" applyAlignment="1" applyProtection="1">
      <alignment horizontal="left" vertical="center"/>
      <protection locked="0"/>
    </xf>
    <xf numFmtId="1" fontId="17" fillId="2" borderId="41" xfId="0" applyNumberFormat="1" applyFont="1" applyFill="1" applyBorder="1" applyAlignment="1" applyProtection="1">
      <alignment horizontal="center" vertical="center"/>
      <protection locked="0"/>
    </xf>
    <xf numFmtId="0" fontId="17" fillId="2" borderId="31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horizontal="center" vertical="center"/>
    </xf>
    <xf numFmtId="2" fontId="17" fillId="2" borderId="28" xfId="0" applyNumberFormat="1" applyFont="1" applyFill="1" applyBorder="1" applyAlignment="1" applyProtection="1">
      <alignment horizontal="center" vertical="center"/>
      <protection locked="0"/>
    </xf>
    <xf numFmtId="2" fontId="17" fillId="2" borderId="33" xfId="0" applyNumberFormat="1" applyFont="1" applyFill="1" applyBorder="1" applyAlignment="1" applyProtection="1">
      <alignment horizontal="center" vertical="center"/>
      <protection locked="0"/>
    </xf>
    <xf numFmtId="2" fontId="17" fillId="2" borderId="31" xfId="0" applyNumberFormat="1" applyFont="1" applyFill="1" applyBorder="1" applyAlignment="1" applyProtection="1">
      <alignment horizontal="center" vertical="center"/>
      <protection locked="0"/>
    </xf>
    <xf numFmtId="0" fontId="2" fillId="2" borderId="72" xfId="0" applyFont="1" applyFill="1" applyBorder="1" applyAlignment="1">
      <alignment horizontal="left" vertical="center"/>
    </xf>
    <xf numFmtId="0" fontId="17" fillId="2" borderId="72" xfId="0" applyFont="1" applyFill="1" applyBorder="1" applyAlignment="1" applyProtection="1">
      <alignment horizontal="center" vertical="center"/>
      <protection locked="0"/>
    </xf>
    <xf numFmtId="2" fontId="17" fillId="2" borderId="72" xfId="0" applyNumberFormat="1" applyFont="1" applyFill="1" applyBorder="1" applyAlignment="1" applyProtection="1">
      <alignment horizontal="center" vertical="center"/>
      <protection locked="0"/>
    </xf>
    <xf numFmtId="2" fontId="17" fillId="2" borderId="12" xfId="0" applyNumberFormat="1" applyFont="1" applyFill="1" applyBorder="1" applyAlignment="1" applyProtection="1">
      <alignment horizontal="center" vertical="top"/>
      <protection locked="0"/>
    </xf>
    <xf numFmtId="2" fontId="17" fillId="2" borderId="18" xfId="0" applyNumberFormat="1" applyFont="1" applyFill="1" applyBorder="1" applyAlignment="1" applyProtection="1">
      <alignment horizontal="center" vertical="top"/>
      <protection locked="0"/>
    </xf>
    <xf numFmtId="0" fontId="17" fillId="2" borderId="18" xfId="0" applyFont="1" applyFill="1" applyBorder="1" applyAlignment="1">
      <alignment horizontal="center" vertical="top"/>
    </xf>
    <xf numFmtId="0" fontId="17" fillId="2" borderId="59" xfId="0" applyFont="1" applyFill="1" applyBorder="1" applyAlignment="1">
      <alignment horizontal="center" vertical="top"/>
    </xf>
    <xf numFmtId="0" fontId="2" fillId="2" borderId="46" xfId="0" applyFont="1" applyFill="1" applyBorder="1" applyAlignment="1">
      <alignment horizontal="left" vertical="center" shrinkToFit="1"/>
    </xf>
    <xf numFmtId="0" fontId="2" fillId="2" borderId="41" xfId="0" applyFont="1" applyFill="1" applyBorder="1" applyAlignment="1">
      <alignment horizontal="left" vertical="center" shrinkToFit="1"/>
    </xf>
    <xf numFmtId="0" fontId="17" fillId="2" borderId="33" xfId="0" quotePrefix="1" applyFont="1" applyFill="1" applyBorder="1" applyAlignment="1" applyProtection="1">
      <alignment horizontal="center" vertical="center"/>
      <protection locked="0"/>
    </xf>
    <xf numFmtId="0" fontId="17" fillId="2" borderId="31" xfId="0" quotePrefix="1" applyFont="1" applyFill="1" applyBorder="1" applyAlignment="1" applyProtection="1">
      <alignment horizontal="center" vertical="center"/>
      <protection locked="0"/>
    </xf>
    <xf numFmtId="0" fontId="17" fillId="2" borderId="34" xfId="0" quotePrefix="1" applyFont="1" applyFill="1" applyBorder="1" applyAlignment="1" applyProtection="1">
      <alignment horizontal="center" vertical="center"/>
      <protection locked="0"/>
    </xf>
    <xf numFmtId="0" fontId="2" fillId="2" borderId="40" xfId="0" applyFont="1" applyFill="1" applyBorder="1" applyAlignment="1">
      <alignment horizontal="left" vertical="center" shrinkToFit="1"/>
    </xf>
    <xf numFmtId="0" fontId="2" fillId="2" borderId="2" xfId="0" applyFont="1" applyFill="1" applyBorder="1" applyAlignment="1">
      <alignment horizontal="left" vertical="center" shrinkToFit="1"/>
    </xf>
    <xf numFmtId="2" fontId="17" fillId="2" borderId="2" xfId="0" applyNumberFormat="1" applyFont="1" applyFill="1" applyBorder="1" applyAlignment="1">
      <alignment horizontal="center" vertical="center"/>
    </xf>
    <xf numFmtId="2" fontId="17" fillId="2" borderId="39" xfId="0" applyNumberFormat="1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 applyProtection="1">
      <alignment horizontal="center" vertical="center"/>
      <protection locked="0"/>
    </xf>
    <xf numFmtId="1" fontId="17" fillId="2" borderId="39" xfId="0" applyNumberFormat="1" applyFont="1" applyFill="1" applyBorder="1" applyAlignment="1" applyProtection="1">
      <alignment horizontal="center" vertical="center"/>
      <protection locked="0"/>
    </xf>
    <xf numFmtId="0" fontId="1" fillId="11" borderId="55" xfId="0" applyFont="1" applyFill="1" applyBorder="1" applyAlignment="1">
      <alignment horizontal="left" vertical="center" shrinkToFit="1"/>
    </xf>
    <xf numFmtId="0" fontId="1" fillId="11" borderId="56" xfId="0" applyFont="1" applyFill="1" applyBorder="1" applyAlignment="1">
      <alignment horizontal="left" vertical="center" shrinkToFit="1"/>
    </xf>
    <xf numFmtId="0" fontId="1" fillId="11" borderId="57" xfId="0" applyFont="1" applyFill="1" applyBorder="1" applyAlignment="1">
      <alignment horizontal="left" vertical="center" shrinkToFit="1"/>
    </xf>
    <xf numFmtId="166" fontId="17" fillId="11" borderId="6" xfId="2" applyNumberFormat="1" applyFont="1" applyFill="1" applyBorder="1" applyAlignment="1">
      <alignment horizontal="center" vertical="center"/>
    </xf>
    <xf numFmtId="166" fontId="17" fillId="11" borderId="38" xfId="2" applyNumberFormat="1" applyFont="1" applyFill="1" applyBorder="1" applyAlignment="1">
      <alignment horizontal="center" vertical="center"/>
    </xf>
    <xf numFmtId="0" fontId="2" fillId="2" borderId="83" xfId="0" applyFont="1" applyFill="1" applyBorder="1" applyAlignment="1">
      <alignment horizontal="center" vertical="top"/>
    </xf>
    <xf numFmtId="0" fontId="2" fillId="2" borderId="84" xfId="0" applyFont="1" applyFill="1" applyBorder="1" applyAlignment="1">
      <alignment horizontal="center" vertical="top"/>
    </xf>
    <xf numFmtId="0" fontId="17" fillId="2" borderId="32" xfId="0" applyFont="1" applyFill="1" applyBorder="1" applyAlignment="1" applyProtection="1">
      <alignment horizontal="center" vertical="center"/>
      <protection locked="0"/>
    </xf>
    <xf numFmtId="2" fontId="17" fillId="11" borderId="2" xfId="0" applyNumberFormat="1" applyFont="1" applyFill="1" applyBorder="1" applyAlignment="1" applyProtection="1">
      <alignment horizontal="center" vertical="center"/>
      <protection locked="0"/>
    </xf>
    <xf numFmtId="2" fontId="17" fillId="11" borderId="1" xfId="0" applyNumberFormat="1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 applyProtection="1">
      <alignment horizontal="center" vertical="center" shrinkToFit="1"/>
      <protection locked="0"/>
    </xf>
    <xf numFmtId="0" fontId="17" fillId="2" borderId="28" xfId="0" applyFont="1" applyFill="1" applyBorder="1" applyAlignment="1" applyProtection="1">
      <alignment horizontal="center" vertical="center" shrinkToFit="1"/>
      <protection locked="0"/>
    </xf>
    <xf numFmtId="0" fontId="17" fillId="2" borderId="13" xfId="0" applyFont="1" applyFill="1" applyBorder="1" applyAlignment="1" applyProtection="1">
      <alignment horizontal="center" vertical="center" shrinkToFit="1"/>
      <protection locked="0"/>
    </xf>
    <xf numFmtId="0" fontId="17" fillId="2" borderId="29" xfId="0" applyFont="1" applyFill="1" applyBorder="1" applyAlignment="1" applyProtection="1">
      <alignment horizontal="center" vertical="center" shrinkToFit="1"/>
      <protection locked="0"/>
    </xf>
    <xf numFmtId="1" fontId="17" fillId="2" borderId="1" xfId="0" applyNumberFormat="1" applyFont="1" applyFill="1" applyBorder="1" applyAlignment="1" applyProtection="1">
      <alignment horizontal="center" vertical="center"/>
      <protection locked="0"/>
    </xf>
    <xf numFmtId="1" fontId="17" fillId="2" borderId="28" xfId="0" applyNumberFormat="1" applyFont="1" applyFill="1" applyBorder="1" applyAlignment="1" applyProtection="1">
      <alignment horizontal="center" vertical="center"/>
      <protection locked="0"/>
    </xf>
    <xf numFmtId="1" fontId="17" fillId="2" borderId="13" xfId="0" applyNumberFormat="1" applyFont="1" applyFill="1" applyBorder="1" applyAlignment="1" applyProtection="1">
      <alignment horizontal="center" vertical="center"/>
      <protection locked="0"/>
    </xf>
    <xf numFmtId="1" fontId="17" fillId="2" borderId="29" xfId="0" applyNumberFormat="1" applyFont="1" applyFill="1" applyBorder="1" applyAlignment="1" applyProtection="1">
      <alignment horizontal="center" vertical="center"/>
      <protection locked="0"/>
    </xf>
    <xf numFmtId="0" fontId="17" fillId="2" borderId="24" xfId="0" applyFont="1" applyFill="1" applyBorder="1" applyAlignment="1" applyProtection="1">
      <alignment horizontal="center" vertical="top"/>
      <protection locked="0"/>
    </xf>
    <xf numFmtId="0" fontId="2" fillId="11" borderId="72" xfId="0" applyFont="1" applyFill="1" applyBorder="1" applyAlignment="1">
      <alignment horizontal="center" vertical="center"/>
    </xf>
    <xf numFmtId="0" fontId="7" fillId="11" borderId="77" xfId="0" applyFont="1" applyFill="1" applyBorder="1" applyAlignment="1">
      <alignment horizontal="center" vertical="center"/>
    </xf>
    <xf numFmtId="0" fontId="7" fillId="11" borderId="78" xfId="0" applyFont="1" applyFill="1" applyBorder="1" applyAlignment="1">
      <alignment horizontal="center" vertical="center"/>
    </xf>
    <xf numFmtId="0" fontId="7" fillId="11" borderId="102" xfId="0" applyFont="1" applyFill="1" applyBorder="1" applyAlignment="1">
      <alignment horizontal="center" vertical="center"/>
    </xf>
    <xf numFmtId="0" fontId="25" fillId="11" borderId="73" xfId="0" applyFont="1" applyFill="1" applyBorder="1" applyAlignment="1" applyProtection="1">
      <alignment horizontal="center" vertical="center" wrapText="1"/>
      <protection locked="0"/>
    </xf>
    <xf numFmtId="0" fontId="25" fillId="11" borderId="74" xfId="0" applyFont="1" applyFill="1" applyBorder="1" applyAlignment="1" applyProtection="1">
      <alignment horizontal="center" vertical="center" wrapText="1"/>
      <protection locked="0"/>
    </xf>
    <xf numFmtId="0" fontId="25" fillId="11" borderId="75" xfId="0" applyFont="1" applyFill="1" applyBorder="1" applyAlignment="1" applyProtection="1">
      <alignment horizontal="center" vertical="center" wrapText="1"/>
      <protection locked="0"/>
    </xf>
    <xf numFmtId="0" fontId="25" fillId="11" borderId="68" xfId="0" applyFont="1" applyFill="1" applyBorder="1" applyAlignment="1" applyProtection="1">
      <alignment horizontal="center" vertical="center" wrapText="1"/>
      <protection locked="0"/>
    </xf>
    <xf numFmtId="0" fontId="25" fillId="11" borderId="14" xfId="0" applyFont="1" applyFill="1" applyBorder="1" applyAlignment="1" applyProtection="1">
      <alignment horizontal="center" vertical="center" wrapText="1"/>
      <protection locked="0"/>
    </xf>
    <xf numFmtId="0" fontId="25" fillId="11" borderId="69" xfId="0" applyFont="1" applyFill="1" applyBorder="1" applyAlignment="1" applyProtection="1">
      <alignment horizontal="center" vertical="center" wrapText="1"/>
      <protection locked="0"/>
    </xf>
    <xf numFmtId="0" fontId="25" fillId="11" borderId="73" xfId="0" applyFont="1" applyFill="1" applyBorder="1" applyAlignment="1">
      <alignment horizontal="left" vertical="center" wrapText="1"/>
    </xf>
    <xf numFmtId="0" fontId="25" fillId="11" borderId="74" xfId="0" applyFont="1" applyFill="1" applyBorder="1" applyAlignment="1">
      <alignment horizontal="left" vertical="center"/>
    </xf>
    <xf numFmtId="0" fontId="25" fillId="11" borderId="75" xfId="0" applyFont="1" applyFill="1" applyBorder="1" applyAlignment="1">
      <alignment horizontal="left" vertical="center"/>
    </xf>
    <xf numFmtId="0" fontId="25" fillId="11" borderId="68" xfId="0" applyFont="1" applyFill="1" applyBorder="1" applyAlignment="1">
      <alignment horizontal="left" vertical="center"/>
    </xf>
    <xf numFmtId="0" fontId="25" fillId="11" borderId="14" xfId="0" applyFont="1" applyFill="1" applyBorder="1" applyAlignment="1">
      <alignment horizontal="left" vertical="center"/>
    </xf>
    <xf numFmtId="0" fontId="25" fillId="11" borderId="69" xfId="0" applyFont="1" applyFill="1" applyBorder="1" applyAlignment="1">
      <alignment horizontal="left" vertical="center"/>
    </xf>
    <xf numFmtId="0" fontId="28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2" fillId="2" borderId="41" xfId="0" applyFont="1" applyFill="1" applyBorder="1" applyAlignment="1" applyProtection="1">
      <alignment horizontal="center" vertical="center"/>
      <protection locked="0"/>
    </xf>
    <xf numFmtId="0" fontId="2" fillId="2" borderId="42" xfId="0" applyFont="1" applyFill="1" applyBorder="1" applyAlignment="1" applyProtection="1">
      <alignment horizontal="center" vertical="center"/>
      <protection locked="0"/>
    </xf>
    <xf numFmtId="0" fontId="30" fillId="2" borderId="49" xfId="0" applyFont="1" applyFill="1" applyBorder="1" applyAlignment="1">
      <alignment horizontal="right" vertical="center"/>
    </xf>
    <xf numFmtId="0" fontId="30" fillId="2" borderId="50" xfId="0" applyFont="1" applyFill="1" applyBorder="1" applyAlignment="1">
      <alignment horizontal="right" vertical="center"/>
    </xf>
    <xf numFmtId="0" fontId="2" fillId="11" borderId="54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2" fillId="11" borderId="38" xfId="0" applyFont="1" applyFill="1" applyBorder="1" applyAlignment="1">
      <alignment horizontal="center"/>
    </xf>
    <xf numFmtId="0" fontId="2" fillId="11" borderId="46" xfId="0" applyFont="1" applyFill="1" applyBorder="1" applyAlignment="1">
      <alignment horizontal="center"/>
    </xf>
    <xf numFmtId="0" fontId="2" fillId="11" borderId="41" xfId="0" applyFont="1" applyFill="1" applyBorder="1" applyAlignment="1">
      <alignment horizontal="center"/>
    </xf>
    <xf numFmtId="0" fontId="2" fillId="11" borderId="42" xfId="0" applyFont="1" applyFill="1" applyBorder="1" applyAlignment="1">
      <alignment horizontal="center"/>
    </xf>
    <xf numFmtId="165" fontId="2" fillId="11" borderId="49" xfId="0" applyNumberFormat="1" applyFont="1" applyFill="1" applyBorder="1" applyAlignment="1">
      <alignment horizontal="left"/>
    </xf>
    <xf numFmtId="165" fontId="2" fillId="11" borderId="50" xfId="0" applyNumberFormat="1" applyFont="1" applyFill="1" applyBorder="1" applyAlignment="1">
      <alignment horizontal="left"/>
    </xf>
    <xf numFmtId="165" fontId="2" fillId="11" borderId="53" xfId="0" applyNumberFormat="1" applyFont="1" applyFill="1" applyBorder="1" applyAlignment="1">
      <alignment horizontal="left"/>
    </xf>
    <xf numFmtId="165" fontId="2" fillId="11" borderId="58" xfId="0" applyNumberFormat="1" applyFont="1" applyFill="1" applyBorder="1" applyAlignment="1">
      <alignment horizontal="left"/>
    </xf>
    <xf numFmtId="165" fontId="2" fillId="11" borderId="0" xfId="0" applyNumberFormat="1" applyFont="1" applyFill="1" applyAlignment="1">
      <alignment horizontal="left"/>
    </xf>
    <xf numFmtId="165" fontId="2" fillId="11" borderId="48" xfId="0" applyNumberFormat="1" applyFont="1" applyFill="1" applyBorder="1" applyAlignment="1">
      <alignment horizontal="left"/>
    </xf>
    <xf numFmtId="0" fontId="17" fillId="2" borderId="40" xfId="0" applyFont="1" applyFill="1" applyBorder="1" applyAlignment="1" applyProtection="1">
      <alignment horizontal="center" vertical="center" shrinkToFit="1"/>
      <protection locked="0"/>
    </xf>
    <xf numFmtId="0" fontId="17" fillId="2" borderId="2" xfId="0" applyFont="1" applyFill="1" applyBorder="1" applyAlignment="1" applyProtection="1">
      <alignment horizontal="center" vertical="center" shrinkToFit="1"/>
      <protection locked="0"/>
    </xf>
    <xf numFmtId="1" fontId="17" fillId="2" borderId="6" xfId="0" applyNumberFormat="1" applyFont="1" applyFill="1" applyBorder="1" applyAlignment="1" applyProtection="1">
      <alignment horizontal="center" vertical="center"/>
      <protection locked="0"/>
    </xf>
    <xf numFmtId="0" fontId="2" fillId="11" borderId="41" xfId="0" applyFont="1" applyFill="1" applyBorder="1" applyAlignment="1" applyProtection="1">
      <alignment horizontal="center" vertical="center"/>
      <protection locked="0"/>
    </xf>
    <xf numFmtId="0" fontId="2" fillId="11" borderId="42" xfId="0" applyFont="1" applyFill="1" applyBorder="1" applyAlignment="1" applyProtection="1">
      <alignment horizontal="center" vertical="center"/>
      <protection locked="0"/>
    </xf>
    <xf numFmtId="0" fontId="2" fillId="11" borderId="39" xfId="0" applyFont="1" applyFill="1" applyBorder="1" applyAlignment="1" applyProtection="1">
      <alignment horizontal="center" vertical="center"/>
      <protection locked="0"/>
    </xf>
    <xf numFmtId="1" fontId="17" fillId="2" borderId="6" xfId="0" applyNumberFormat="1" applyFont="1" applyFill="1" applyBorder="1" applyAlignment="1" applyProtection="1">
      <alignment horizontal="center"/>
      <protection locked="0"/>
    </xf>
    <xf numFmtId="0" fontId="17" fillId="2" borderId="25" xfId="0" applyFont="1" applyFill="1" applyBorder="1" applyAlignment="1" applyProtection="1">
      <alignment horizontal="center"/>
      <protection locked="0"/>
    </xf>
    <xf numFmtId="0" fontId="17" fillId="2" borderId="23" xfId="0" applyFont="1" applyFill="1" applyBorder="1" applyAlignment="1" applyProtection="1">
      <alignment horizontal="center"/>
      <protection locked="0"/>
    </xf>
    <xf numFmtId="0" fontId="17" fillId="2" borderId="26" xfId="0" applyFont="1" applyFill="1" applyBorder="1" applyAlignment="1" applyProtection="1">
      <alignment horizontal="center"/>
      <protection locked="0"/>
    </xf>
    <xf numFmtId="0" fontId="17" fillId="2" borderId="54" xfId="0" applyFont="1" applyFill="1" applyBorder="1" applyAlignment="1" applyProtection="1">
      <alignment horizontal="center" shrinkToFit="1"/>
      <protection locked="0"/>
    </xf>
    <xf numFmtId="0" fontId="17" fillId="2" borderId="6" xfId="0" applyFont="1" applyFill="1" applyBorder="1" applyAlignment="1" applyProtection="1">
      <alignment horizontal="center" shrinkToFit="1"/>
      <protection locked="0"/>
    </xf>
    <xf numFmtId="0" fontId="17" fillId="2" borderId="6" xfId="0" applyFont="1" applyFill="1" applyBorder="1" applyAlignment="1" applyProtection="1">
      <alignment horizontal="center"/>
      <protection locked="0"/>
    </xf>
    <xf numFmtId="0" fontId="1" fillId="11" borderId="0" xfId="0" applyFont="1" applyFill="1" applyAlignment="1">
      <alignment horizontal="center"/>
    </xf>
    <xf numFmtId="0" fontId="1" fillId="11" borderId="55" xfId="0" applyFont="1" applyFill="1" applyBorder="1" applyAlignment="1">
      <alignment horizontal="left"/>
    </xf>
    <xf numFmtId="0" fontId="1" fillId="11" borderId="56" xfId="0" applyFont="1" applyFill="1" applyBorder="1" applyAlignment="1">
      <alignment horizontal="left"/>
    </xf>
    <xf numFmtId="0" fontId="1" fillId="11" borderId="57" xfId="0" applyFont="1" applyFill="1" applyBorder="1" applyAlignment="1">
      <alignment horizontal="left"/>
    </xf>
    <xf numFmtId="0" fontId="2" fillId="2" borderId="73" xfId="0" applyFont="1" applyFill="1" applyBorder="1" applyAlignment="1">
      <alignment horizontal="center" vertical="center" wrapText="1"/>
    </xf>
    <xf numFmtId="0" fontId="2" fillId="2" borderId="74" xfId="0" applyFont="1" applyFill="1" applyBorder="1" applyAlignment="1">
      <alignment horizontal="center" vertical="center" wrapText="1"/>
    </xf>
    <xf numFmtId="0" fontId="2" fillId="2" borderId="68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74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72" xfId="0" applyFont="1" applyFill="1" applyBorder="1" applyAlignment="1">
      <alignment horizontal="center" vertical="center"/>
    </xf>
    <xf numFmtId="0" fontId="2" fillId="2" borderId="76" xfId="0" applyFont="1" applyFill="1" applyBorder="1" applyAlignment="1">
      <alignment horizontal="center" vertical="center"/>
    </xf>
    <xf numFmtId="0" fontId="2" fillId="2" borderId="89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91" xfId="0" applyFont="1" applyFill="1" applyBorder="1" applyAlignment="1">
      <alignment horizontal="center" vertical="center"/>
    </xf>
    <xf numFmtId="0" fontId="1" fillId="11" borderId="85" xfId="0" applyFont="1" applyFill="1" applyBorder="1" applyAlignment="1">
      <alignment horizontal="center" vertical="center" wrapText="1"/>
    </xf>
    <xf numFmtId="0" fontId="1" fillId="11" borderId="72" xfId="0" applyFont="1" applyFill="1" applyBorder="1" applyAlignment="1">
      <alignment horizontal="center" vertical="center" wrapText="1"/>
    </xf>
    <xf numFmtId="0" fontId="1" fillId="11" borderId="76" xfId="0" applyFont="1" applyFill="1" applyBorder="1" applyAlignment="1">
      <alignment horizontal="center" vertical="center" wrapText="1"/>
    </xf>
    <xf numFmtId="0" fontId="1" fillId="11" borderId="58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0" fontId="1" fillId="11" borderId="48" xfId="0" applyFont="1" applyFill="1" applyBorder="1" applyAlignment="1">
      <alignment horizontal="center" vertical="center" wrapText="1"/>
    </xf>
    <xf numFmtId="0" fontId="1" fillId="11" borderId="92" xfId="0" applyFont="1" applyFill="1" applyBorder="1" applyAlignment="1">
      <alignment horizontal="center" vertical="center" wrapText="1"/>
    </xf>
    <xf numFmtId="0" fontId="1" fillId="11" borderId="90" xfId="0" applyFont="1" applyFill="1" applyBorder="1" applyAlignment="1">
      <alignment horizontal="center" vertical="center" wrapText="1"/>
    </xf>
    <xf numFmtId="0" fontId="1" fillId="11" borderId="91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left"/>
    </xf>
    <xf numFmtId="9" fontId="2" fillId="11" borderId="1" xfId="2" applyFont="1" applyFill="1" applyBorder="1" applyAlignment="1" applyProtection="1">
      <alignment horizontal="center"/>
      <protection locked="0"/>
    </xf>
    <xf numFmtId="9" fontId="2" fillId="11" borderId="13" xfId="2" applyFont="1" applyFill="1" applyBorder="1" applyAlignment="1" applyProtection="1">
      <alignment horizontal="center"/>
      <protection locked="0"/>
    </xf>
    <xf numFmtId="0" fontId="2" fillId="11" borderId="60" xfId="0" applyFont="1" applyFill="1" applyBorder="1" applyAlignment="1" applyProtection="1">
      <alignment horizontal="center" vertical="center"/>
      <protection locked="0"/>
    </xf>
    <xf numFmtId="0" fontId="2" fillId="11" borderId="18" xfId="0" applyFont="1" applyFill="1" applyBorder="1" applyAlignment="1" applyProtection="1">
      <alignment horizontal="center" vertical="center"/>
      <protection locked="0"/>
    </xf>
    <xf numFmtId="0" fontId="2" fillId="11" borderId="17" xfId="0" applyFont="1" applyFill="1" applyBorder="1" applyAlignment="1" applyProtection="1">
      <alignment horizontal="center" vertical="center"/>
      <protection locked="0"/>
    </xf>
    <xf numFmtId="0" fontId="2" fillId="11" borderId="12" xfId="0" applyFont="1" applyFill="1" applyBorder="1" applyAlignment="1" applyProtection="1">
      <alignment horizontal="center" vertical="center"/>
      <protection locked="0"/>
    </xf>
    <xf numFmtId="0" fontId="2" fillId="11" borderId="6" xfId="0" applyFont="1" applyFill="1" applyBorder="1" applyAlignment="1" applyProtection="1">
      <alignment horizontal="center" vertical="center"/>
      <protection locked="0"/>
    </xf>
    <xf numFmtId="0" fontId="2" fillId="11" borderId="38" xfId="0" applyFont="1" applyFill="1" applyBorder="1" applyAlignment="1" applyProtection="1">
      <alignment horizontal="center" vertical="center"/>
      <protection locked="0"/>
    </xf>
    <xf numFmtId="0" fontId="1" fillId="11" borderId="86" xfId="0" applyFont="1" applyFill="1" applyBorder="1" applyAlignment="1">
      <alignment horizontal="left"/>
    </xf>
    <xf numFmtId="0" fontId="1" fillId="11" borderId="20" xfId="0" applyFont="1" applyFill="1" applyBorder="1" applyAlignment="1">
      <alignment horizontal="left"/>
    </xf>
    <xf numFmtId="0" fontId="1" fillId="11" borderId="87" xfId="0" applyFont="1" applyFill="1" applyBorder="1" applyAlignment="1">
      <alignment horizontal="left"/>
    </xf>
    <xf numFmtId="0" fontId="2" fillId="11" borderId="62" xfId="0" applyFont="1" applyFill="1" applyBorder="1" applyAlignment="1" applyProtection="1">
      <alignment horizontal="center"/>
      <protection locked="0"/>
    </xf>
    <xf numFmtId="0" fontId="2" fillId="11" borderId="63" xfId="0" applyFont="1" applyFill="1" applyBorder="1" applyAlignment="1" applyProtection="1">
      <alignment horizontal="center"/>
      <protection locked="0"/>
    </xf>
    <xf numFmtId="0" fontId="2" fillId="11" borderId="64" xfId="0" applyFont="1" applyFill="1" applyBorder="1" applyAlignment="1" applyProtection="1">
      <alignment horizontal="center"/>
      <protection locked="0"/>
    </xf>
    <xf numFmtId="0" fontId="2" fillId="11" borderId="6" xfId="0" applyFont="1" applyFill="1" applyBorder="1" applyAlignment="1">
      <alignment horizontal="left"/>
    </xf>
    <xf numFmtId="9" fontId="2" fillId="11" borderId="12" xfId="2" applyFont="1" applyFill="1" applyBorder="1" applyAlignment="1" applyProtection="1">
      <alignment horizontal="center"/>
      <protection locked="0"/>
    </xf>
    <xf numFmtId="9" fontId="2" fillId="11" borderId="17" xfId="2" applyFont="1" applyFill="1" applyBorder="1" applyAlignment="1" applyProtection="1">
      <alignment horizontal="center"/>
      <protection locked="0"/>
    </xf>
    <xf numFmtId="0" fontId="1" fillId="11" borderId="40" xfId="0" applyFont="1" applyFill="1" applyBorder="1" applyAlignment="1">
      <alignment horizontal="center" vertical="center"/>
    </xf>
    <xf numFmtId="169" fontId="17" fillId="11" borderId="2" xfId="0" applyNumberFormat="1" applyFont="1" applyFill="1" applyBorder="1" applyAlignment="1">
      <alignment horizontal="center" vertical="center" shrinkToFit="1"/>
    </xf>
    <xf numFmtId="169" fontId="17" fillId="11" borderId="39" xfId="0" applyNumberFormat="1" applyFont="1" applyFill="1" applyBorder="1" applyAlignment="1">
      <alignment horizontal="center" vertical="center" shrinkToFit="1"/>
    </xf>
    <xf numFmtId="0" fontId="2" fillId="2" borderId="0" xfId="0" applyFont="1" applyFill="1" applyAlignment="1">
      <alignment horizontal="left" vertical="center"/>
    </xf>
    <xf numFmtId="0" fontId="1" fillId="11" borderId="46" xfId="0" applyFont="1" applyFill="1" applyBorder="1" applyAlignment="1">
      <alignment horizontal="center" vertical="center"/>
    </xf>
    <xf numFmtId="0" fontId="1" fillId="11" borderId="41" xfId="0" applyFont="1" applyFill="1" applyBorder="1" applyAlignment="1">
      <alignment horizontal="center" vertical="center"/>
    </xf>
    <xf numFmtId="169" fontId="17" fillId="11" borderId="41" xfId="0" applyNumberFormat="1" applyFont="1" applyFill="1" applyBorder="1" applyAlignment="1">
      <alignment horizontal="center" vertical="center" shrinkToFit="1"/>
    </xf>
    <xf numFmtId="169" fontId="17" fillId="11" borderId="42" xfId="0" applyNumberFormat="1" applyFont="1" applyFill="1" applyBorder="1" applyAlignment="1">
      <alignment horizontal="center" vertical="center" shrinkToFit="1"/>
    </xf>
    <xf numFmtId="1" fontId="17" fillId="2" borderId="33" xfId="0" applyNumberFormat="1" applyFont="1" applyFill="1" applyBorder="1" applyAlignment="1">
      <alignment horizontal="right" vertical="center"/>
    </xf>
    <xf numFmtId="1" fontId="17" fillId="2" borderId="31" xfId="0" applyNumberFormat="1" applyFont="1" applyFill="1" applyBorder="1" applyAlignment="1">
      <alignment horizontal="right" vertical="center"/>
    </xf>
    <xf numFmtId="0" fontId="2" fillId="2" borderId="34" xfId="0" applyFont="1" applyFill="1" applyBorder="1" applyAlignment="1">
      <alignment horizontal="left" vertical="center"/>
    </xf>
    <xf numFmtId="2" fontId="17" fillId="2" borderId="29" xfId="0" applyNumberFormat="1" applyFont="1" applyFill="1" applyBorder="1" applyAlignment="1" applyProtection="1">
      <alignment horizontal="center" vertical="center"/>
      <protection locked="0"/>
    </xf>
    <xf numFmtId="2" fontId="17" fillId="2" borderId="1" xfId="0" applyNumberFormat="1" applyFont="1" applyFill="1" applyBorder="1" applyAlignment="1">
      <alignment horizontal="right" vertical="center"/>
    </xf>
    <xf numFmtId="2" fontId="17" fillId="2" borderId="28" xfId="0" applyNumberFormat="1" applyFont="1" applyFill="1" applyBorder="1" applyAlignment="1">
      <alignment horizontal="right" vertical="center"/>
    </xf>
    <xf numFmtId="0" fontId="2" fillId="2" borderId="29" xfId="0" applyFont="1" applyFill="1" applyBorder="1" applyAlignment="1">
      <alignment horizontal="left" vertical="center"/>
    </xf>
    <xf numFmtId="1" fontId="17" fillId="2" borderId="1" xfId="0" applyNumberFormat="1" applyFont="1" applyFill="1" applyBorder="1" applyAlignment="1">
      <alignment horizontal="center" vertical="center"/>
    </xf>
    <xf numFmtId="1" fontId="17" fillId="2" borderId="28" xfId="0" applyNumberFormat="1" applyFont="1" applyFill="1" applyBorder="1" applyAlignment="1">
      <alignment horizontal="center" vertical="center"/>
    </xf>
    <xf numFmtId="1" fontId="17" fillId="2" borderId="29" xfId="0" applyNumberFormat="1" applyFont="1" applyFill="1" applyBorder="1" applyAlignment="1">
      <alignment horizontal="center" vertical="center"/>
    </xf>
    <xf numFmtId="1" fontId="17" fillId="2" borderId="1" xfId="0" applyNumberFormat="1" applyFont="1" applyFill="1" applyBorder="1" applyAlignment="1">
      <alignment horizontal="right" vertical="center"/>
    </xf>
    <xf numFmtId="1" fontId="17" fillId="2" borderId="28" xfId="0" applyNumberFormat="1" applyFont="1" applyFill="1" applyBorder="1" applyAlignment="1">
      <alignment horizontal="right" vertical="center"/>
    </xf>
    <xf numFmtId="164" fontId="17" fillId="2" borderId="1" xfId="0" applyNumberFormat="1" applyFont="1" applyFill="1" applyBorder="1" applyAlignment="1" applyProtection="1">
      <alignment horizontal="right" vertical="center"/>
      <protection locked="0"/>
    </xf>
    <xf numFmtId="164" fontId="17" fillId="2" borderId="28" xfId="0" applyNumberFormat="1" applyFont="1" applyFill="1" applyBorder="1" applyAlignment="1" applyProtection="1">
      <alignment horizontal="right" vertical="center"/>
      <protection locked="0"/>
    </xf>
    <xf numFmtId="0" fontId="2" fillId="2" borderId="73" xfId="0" applyFont="1" applyFill="1" applyBorder="1" applyAlignment="1">
      <alignment horizontal="left" vertical="center"/>
    </xf>
    <xf numFmtId="0" fontId="2" fillId="2" borderId="74" xfId="0" applyFont="1" applyFill="1" applyBorder="1" applyAlignment="1">
      <alignment horizontal="left" vertical="center"/>
    </xf>
    <xf numFmtId="2" fontId="17" fillId="2" borderId="71" xfId="0" applyNumberFormat="1" applyFont="1" applyFill="1" applyBorder="1" applyAlignment="1" applyProtection="1">
      <alignment horizontal="right" vertical="center"/>
      <protection locked="0"/>
    </xf>
    <xf numFmtId="2" fontId="17" fillId="2" borderId="36" xfId="0" applyNumberFormat="1" applyFont="1" applyFill="1" applyBorder="1" applyAlignment="1" applyProtection="1">
      <alignment horizontal="right" vertical="center"/>
      <protection locked="0"/>
    </xf>
    <xf numFmtId="0" fontId="2" fillId="2" borderId="36" xfId="0" applyFont="1" applyFill="1" applyBorder="1" applyAlignment="1">
      <alignment horizontal="left" vertical="center"/>
    </xf>
    <xf numFmtId="0" fontId="2" fillId="2" borderId="37" xfId="0" applyFont="1" applyFill="1" applyBorder="1" applyAlignment="1">
      <alignment horizontal="left" vertical="center"/>
    </xf>
    <xf numFmtId="1" fontId="17" fillId="2" borderId="101" xfId="0" applyNumberFormat="1" applyFont="1" applyFill="1" applyBorder="1" applyAlignment="1">
      <alignment horizontal="center" vertical="center"/>
    </xf>
    <xf numFmtId="1" fontId="17" fillId="2" borderId="78" xfId="0" applyNumberFormat="1" applyFont="1" applyFill="1" applyBorder="1" applyAlignment="1">
      <alignment horizontal="center" vertical="center"/>
    </xf>
    <xf numFmtId="1" fontId="17" fillId="2" borderId="79" xfId="0" applyNumberFormat="1" applyFont="1" applyFill="1" applyBorder="1" applyAlignment="1">
      <alignment horizontal="center" vertical="center"/>
    </xf>
    <xf numFmtId="0" fontId="1" fillId="11" borderId="39" xfId="0" applyFont="1" applyFill="1" applyBorder="1" applyAlignment="1">
      <alignment horizontal="center" vertical="center"/>
    </xf>
    <xf numFmtId="1" fontId="17" fillId="2" borderId="14" xfId="0" applyNumberFormat="1" applyFont="1" applyFill="1" applyBorder="1" applyAlignment="1" applyProtection="1">
      <alignment horizontal="center" vertical="center"/>
      <protection locked="0"/>
    </xf>
    <xf numFmtId="1" fontId="17" fillId="2" borderId="69" xfId="0" applyNumberFormat="1" applyFont="1" applyFill="1" applyBorder="1" applyAlignment="1" applyProtection="1">
      <alignment horizontal="center" vertical="center"/>
      <protection locked="0"/>
    </xf>
    <xf numFmtId="0" fontId="2" fillId="2" borderId="77" xfId="0" applyFont="1" applyFill="1" applyBorder="1" applyAlignment="1">
      <alignment horizontal="center"/>
    </xf>
    <xf numFmtId="0" fontId="2" fillId="2" borderId="78" xfId="0" applyFont="1" applyFill="1" applyBorder="1" applyAlignment="1">
      <alignment horizontal="center"/>
    </xf>
    <xf numFmtId="1" fontId="17" fillId="2" borderId="99" xfId="0" applyNumberFormat="1" applyFont="1" applyFill="1" applyBorder="1" applyAlignment="1">
      <alignment horizontal="center" vertical="center"/>
    </xf>
    <xf numFmtId="0" fontId="17" fillId="2" borderId="100" xfId="0" applyFont="1" applyFill="1" applyBorder="1" applyAlignment="1">
      <alignment horizontal="center" vertical="center"/>
    </xf>
    <xf numFmtId="1" fontId="17" fillId="2" borderId="102" xfId="0" applyNumberFormat="1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2" fontId="17" fillId="2" borderId="14" xfId="0" applyNumberFormat="1" applyFont="1" applyFill="1" applyBorder="1" applyAlignment="1">
      <alignment horizontal="center" vertical="center"/>
    </xf>
    <xf numFmtId="2" fontId="17" fillId="2" borderId="95" xfId="0" applyNumberFormat="1" applyFont="1" applyFill="1" applyBorder="1" applyAlignment="1">
      <alignment horizontal="center" vertical="center"/>
    </xf>
    <xf numFmtId="1" fontId="17" fillId="2" borderId="98" xfId="0" applyNumberFormat="1" applyFont="1" applyFill="1" applyBorder="1" applyAlignment="1" applyProtection="1">
      <alignment horizontal="center" vertical="center"/>
      <protection locked="0"/>
    </xf>
    <xf numFmtId="0" fontId="2" fillId="2" borderId="4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17" fillId="2" borderId="94" xfId="0" applyNumberFormat="1" applyFont="1" applyFill="1" applyBorder="1" applyAlignment="1">
      <alignment horizontal="center" vertical="center"/>
    </xf>
    <xf numFmtId="2" fontId="17" fillId="11" borderId="41" xfId="0" applyNumberFormat="1" applyFont="1" applyFill="1" applyBorder="1" applyAlignment="1">
      <alignment horizontal="center" vertical="center"/>
    </xf>
    <xf numFmtId="2" fontId="17" fillId="11" borderId="42" xfId="0" applyNumberFormat="1" applyFont="1" applyFill="1" applyBorder="1" applyAlignment="1">
      <alignment horizontal="center" vertical="center"/>
    </xf>
    <xf numFmtId="0" fontId="2" fillId="11" borderId="32" xfId="0" applyFont="1" applyFill="1" applyBorder="1" applyAlignment="1">
      <alignment horizontal="left" vertical="center"/>
    </xf>
    <xf numFmtId="0" fontId="2" fillId="11" borderId="60" xfId="0" applyFont="1" applyFill="1" applyBorder="1" applyAlignment="1">
      <alignment horizontal="left" vertical="center"/>
    </xf>
    <xf numFmtId="0" fontId="2" fillId="11" borderId="18" xfId="0" applyFont="1" applyFill="1" applyBorder="1" applyAlignment="1">
      <alignment horizontal="left" vertical="center"/>
    </xf>
    <xf numFmtId="0" fontId="2" fillId="11" borderId="17" xfId="0" applyFont="1" applyFill="1" applyBorder="1" applyAlignment="1">
      <alignment horizontal="left" vertical="center"/>
    </xf>
    <xf numFmtId="0" fontId="17" fillId="11" borderId="6" xfId="0" applyFont="1" applyFill="1" applyBorder="1" applyAlignment="1">
      <alignment horizontal="center" vertical="center"/>
    </xf>
    <xf numFmtId="0" fontId="17" fillId="11" borderId="38" xfId="0" applyFont="1" applyFill="1" applyBorder="1" applyAlignment="1">
      <alignment horizontal="center" vertical="center"/>
    </xf>
    <xf numFmtId="0" fontId="1" fillId="11" borderId="74" xfId="0" applyFont="1" applyFill="1" applyBorder="1" applyAlignment="1">
      <alignment horizontal="left" vertical="center" wrapText="1"/>
    </xf>
    <xf numFmtId="0" fontId="1" fillId="11" borderId="75" xfId="0" applyFont="1" applyFill="1" applyBorder="1" applyAlignment="1">
      <alignment horizontal="left" vertical="center" wrapText="1"/>
    </xf>
    <xf numFmtId="0" fontId="1" fillId="11" borderId="68" xfId="0" applyFont="1" applyFill="1" applyBorder="1" applyAlignment="1">
      <alignment horizontal="left" vertical="center" wrapText="1"/>
    </xf>
    <xf numFmtId="0" fontId="1" fillId="11" borderId="14" xfId="0" applyFont="1" applyFill="1" applyBorder="1" applyAlignment="1">
      <alignment horizontal="left" vertical="center" wrapText="1"/>
    </xf>
    <xf numFmtId="0" fontId="1" fillId="11" borderId="69" xfId="0" applyFont="1" applyFill="1" applyBorder="1" applyAlignment="1">
      <alignment horizontal="left" vertical="center" wrapText="1"/>
    </xf>
    <xf numFmtId="2" fontId="17" fillId="2" borderId="7" xfId="0" applyNumberFormat="1" applyFont="1" applyFill="1" applyBorder="1" applyAlignment="1">
      <alignment horizontal="center" vertical="center"/>
    </xf>
    <xf numFmtId="2" fontId="17" fillId="2" borderId="8" xfId="0" applyNumberFormat="1" applyFont="1" applyFill="1" applyBorder="1" applyAlignment="1">
      <alignment horizontal="center" vertical="center"/>
    </xf>
    <xf numFmtId="2" fontId="17" fillId="2" borderId="96" xfId="0" applyNumberFormat="1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left" vertical="center"/>
    </xf>
    <xf numFmtId="0" fontId="2" fillId="11" borderId="23" xfId="0" applyFont="1" applyFill="1" applyBorder="1" applyAlignment="1">
      <alignment horizontal="left" vertical="center"/>
    </xf>
    <xf numFmtId="0" fontId="2" fillId="11" borderId="24" xfId="0" applyFont="1" applyFill="1" applyBorder="1" applyAlignment="1">
      <alignment horizontal="left" vertical="center"/>
    </xf>
    <xf numFmtId="0" fontId="2" fillId="2" borderId="5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2" fontId="17" fillId="2" borderId="6" xfId="0" applyNumberFormat="1" applyFont="1" applyFill="1" applyBorder="1" applyAlignment="1">
      <alignment horizontal="center" vertical="center"/>
    </xf>
    <xf numFmtId="2" fontId="17" fillId="2" borderId="97" xfId="0" applyNumberFormat="1" applyFont="1" applyFill="1" applyBorder="1" applyAlignment="1">
      <alignment horizontal="center" vertical="center"/>
    </xf>
    <xf numFmtId="1" fontId="17" fillId="2" borderId="38" xfId="0" applyNumberFormat="1" applyFont="1" applyFill="1" applyBorder="1" applyAlignment="1" applyProtection="1">
      <alignment horizontal="center" vertical="center"/>
      <protection locked="0"/>
    </xf>
    <xf numFmtId="0" fontId="2" fillId="2" borderId="95" xfId="0" applyFont="1" applyFill="1" applyBorder="1" applyAlignment="1">
      <alignment horizontal="center" vertical="center"/>
    </xf>
    <xf numFmtId="0" fontId="1" fillId="2" borderId="73" xfId="0" applyFont="1" applyFill="1" applyBorder="1" applyAlignment="1">
      <alignment horizontal="left" vertical="center"/>
    </xf>
    <xf numFmtId="0" fontId="1" fillId="2" borderId="74" xfId="0" applyFont="1" applyFill="1" applyBorder="1" applyAlignment="1">
      <alignment horizontal="left" vertical="center"/>
    </xf>
    <xf numFmtId="0" fontId="1" fillId="2" borderId="75" xfId="0" applyFont="1" applyFill="1" applyBorder="1" applyAlignment="1">
      <alignment horizontal="left" vertical="center"/>
    </xf>
    <xf numFmtId="0" fontId="2" fillId="2" borderId="94" xfId="0" applyFont="1" applyFill="1" applyBorder="1" applyAlignment="1">
      <alignment horizontal="center" vertical="center"/>
    </xf>
    <xf numFmtId="1" fontId="2" fillId="2" borderId="28" xfId="0" applyNumberFormat="1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center" vertical="center"/>
    </xf>
    <xf numFmtId="1" fontId="2" fillId="2" borderId="29" xfId="0" applyNumberFormat="1" applyFont="1" applyFill="1" applyBorder="1" applyAlignment="1">
      <alignment horizontal="center" vertical="center"/>
    </xf>
    <xf numFmtId="2" fontId="17" fillId="2" borderId="93" xfId="0" applyNumberFormat="1" applyFont="1" applyFill="1" applyBorder="1" applyAlignment="1" applyProtection="1">
      <alignment horizontal="left" vertical="center"/>
      <protection locked="0"/>
    </xf>
    <xf numFmtId="2" fontId="17" fillId="2" borderId="80" xfId="0" applyNumberFormat="1" applyFont="1" applyFill="1" applyBorder="1" applyAlignment="1" applyProtection="1">
      <alignment horizontal="left" vertical="center"/>
      <protection locked="0"/>
    </xf>
    <xf numFmtId="0" fontId="2" fillId="2" borderId="93" xfId="0" applyFont="1" applyFill="1" applyBorder="1" applyAlignment="1">
      <alignment horizontal="center" vertical="center"/>
    </xf>
    <xf numFmtId="0" fontId="2" fillId="2" borderId="80" xfId="0" applyFont="1" applyFill="1" applyBorder="1" applyAlignment="1">
      <alignment horizontal="center" vertical="center"/>
    </xf>
    <xf numFmtId="0" fontId="17" fillId="2" borderId="80" xfId="0" applyFont="1" applyFill="1" applyBorder="1" applyAlignment="1">
      <alignment horizontal="center" vertical="center"/>
    </xf>
    <xf numFmtId="0" fontId="17" fillId="2" borderId="81" xfId="0" applyFont="1" applyFill="1" applyBorder="1" applyAlignment="1">
      <alignment horizontal="center" vertical="center"/>
    </xf>
    <xf numFmtId="1" fontId="17" fillId="2" borderId="31" xfId="0" applyNumberFormat="1" applyFont="1" applyFill="1" applyBorder="1" applyAlignment="1">
      <alignment horizontal="center" vertical="center"/>
    </xf>
    <xf numFmtId="1" fontId="17" fillId="2" borderId="32" xfId="0" applyNumberFormat="1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left" vertical="center"/>
    </xf>
    <xf numFmtId="1" fontId="17" fillId="2" borderId="31" xfId="0" applyNumberFormat="1" applyFont="1" applyFill="1" applyBorder="1" applyAlignment="1" applyProtection="1">
      <alignment horizontal="center" vertical="center"/>
      <protection locked="0"/>
    </xf>
    <xf numFmtId="1" fontId="17" fillId="2" borderId="32" xfId="0" applyNumberFormat="1" applyFont="1" applyFill="1" applyBorder="1" applyAlignment="1" applyProtection="1">
      <alignment horizontal="center" vertical="center"/>
      <protection locked="0"/>
    </xf>
    <xf numFmtId="2" fontId="17" fillId="2" borderId="32" xfId="0" applyNumberFormat="1" applyFont="1" applyFill="1" applyBorder="1" applyAlignment="1" applyProtection="1">
      <alignment horizontal="center" vertical="center"/>
      <protection locked="0"/>
    </xf>
    <xf numFmtId="2" fontId="17" fillId="2" borderId="31" xfId="0" applyNumberFormat="1" applyFont="1" applyFill="1" applyBorder="1" applyAlignment="1">
      <alignment horizontal="center" vertical="center"/>
    </xf>
    <xf numFmtId="2" fontId="17" fillId="2" borderId="32" xfId="0" applyNumberFormat="1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1" fillId="11" borderId="19" xfId="0" applyFont="1" applyFill="1" applyBorder="1" applyAlignment="1">
      <alignment horizontal="center" vertical="center"/>
    </xf>
    <xf numFmtId="0" fontId="1" fillId="11" borderId="20" xfId="0" applyFont="1" applyFill="1" applyBorder="1" applyAlignment="1">
      <alignment horizontal="center" vertical="center"/>
    </xf>
    <xf numFmtId="0" fontId="1" fillId="11" borderId="21" xfId="0" applyFont="1" applyFill="1" applyBorder="1" applyAlignment="1">
      <alignment horizontal="center" vertical="center"/>
    </xf>
    <xf numFmtId="1" fontId="17" fillId="2" borderId="34" xfId="0" applyNumberFormat="1" applyFont="1" applyFill="1" applyBorder="1" applyAlignment="1">
      <alignment horizontal="center" vertical="center"/>
    </xf>
    <xf numFmtId="0" fontId="33" fillId="13" borderId="0" xfId="0" applyFont="1" applyFill="1" applyAlignment="1" applyProtection="1">
      <alignment horizontal="left" vertical="center"/>
      <protection locked="0"/>
    </xf>
    <xf numFmtId="0" fontId="2" fillId="13" borderId="0" xfId="0" applyFont="1" applyFill="1" applyAlignment="1" applyProtection="1">
      <alignment horizontal="left" vertical="center"/>
      <protection locked="0"/>
    </xf>
    <xf numFmtId="2" fontId="17" fillId="2" borderId="36" xfId="0" applyNumberFormat="1" applyFont="1" applyFill="1" applyBorder="1" applyAlignment="1" applyProtection="1">
      <alignment horizontal="left" vertical="center"/>
      <protection locked="0"/>
    </xf>
    <xf numFmtId="2" fontId="17" fillId="2" borderId="37" xfId="0" applyNumberFormat="1" applyFont="1" applyFill="1" applyBorder="1" applyAlignment="1" applyProtection="1">
      <alignment horizontal="left" vertical="center"/>
      <protection locked="0"/>
    </xf>
    <xf numFmtId="0" fontId="17" fillId="2" borderId="101" xfId="0" applyFont="1" applyFill="1" applyBorder="1" applyAlignment="1">
      <alignment horizontal="center" vertical="center"/>
    </xf>
    <xf numFmtId="0" fontId="17" fillId="2" borderId="79" xfId="0" applyFont="1" applyFill="1" applyBorder="1" applyAlignment="1">
      <alignment horizontal="center" vertical="center"/>
    </xf>
    <xf numFmtId="0" fontId="17" fillId="2" borderId="78" xfId="0" applyFont="1" applyFill="1" applyBorder="1" applyAlignment="1">
      <alignment horizontal="center" vertical="center"/>
    </xf>
    <xf numFmtId="0" fontId="2" fillId="2" borderId="77" xfId="0" applyFont="1" applyFill="1" applyBorder="1" applyAlignment="1">
      <alignment horizontal="center" vertical="top"/>
    </xf>
    <xf numFmtId="0" fontId="2" fillId="2" borderId="78" xfId="0" applyFont="1" applyFill="1" applyBorder="1" applyAlignment="1">
      <alignment horizontal="center" vertical="top"/>
    </xf>
    <xf numFmtId="0" fontId="17" fillId="2" borderId="107" xfId="0" applyFont="1" applyFill="1" applyBorder="1" applyAlignment="1">
      <alignment horizontal="center" vertical="center"/>
    </xf>
    <xf numFmtId="2" fontId="17" fillId="2" borderId="6" xfId="0" applyNumberFormat="1" applyFont="1" applyFill="1" applyBorder="1" applyAlignment="1" applyProtection="1">
      <alignment horizontal="center" vertical="center"/>
      <protection locked="0"/>
    </xf>
    <xf numFmtId="1" fontId="17" fillId="2" borderId="6" xfId="0" applyNumberFormat="1" applyFont="1" applyFill="1" applyBorder="1" applyAlignment="1">
      <alignment horizontal="center" vertical="center"/>
    </xf>
    <xf numFmtId="2" fontId="17" fillId="2" borderId="17" xfId="0" applyNumberFormat="1" applyFont="1" applyFill="1" applyBorder="1" applyAlignment="1" applyProtection="1">
      <alignment horizontal="center" vertical="center"/>
      <protection locked="0"/>
    </xf>
    <xf numFmtId="1" fontId="17" fillId="2" borderId="38" xfId="0" applyNumberFormat="1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17" fillId="2" borderId="5" xfId="0" applyNumberFormat="1" applyFont="1" applyFill="1" applyBorder="1" applyAlignment="1" applyProtection="1">
      <alignment horizontal="center" vertical="center"/>
      <protection locked="0"/>
    </xf>
    <xf numFmtId="1" fontId="17" fillId="2" borderId="5" xfId="0" applyNumberFormat="1" applyFont="1" applyFill="1" applyBorder="1" applyAlignment="1">
      <alignment horizontal="center" vertical="center"/>
    </xf>
    <xf numFmtId="2" fontId="30" fillId="2" borderId="14" xfId="0" applyNumberFormat="1" applyFont="1" applyFill="1" applyBorder="1" applyAlignment="1">
      <alignment horizontal="center" vertical="center"/>
    </xf>
    <xf numFmtId="2" fontId="30" fillId="2" borderId="69" xfId="0" applyNumberFormat="1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2" fontId="2" fillId="2" borderId="25" xfId="0" applyNumberFormat="1" applyFont="1" applyFill="1" applyBorder="1" applyAlignment="1">
      <alignment horizontal="center" vertical="center"/>
    </xf>
    <xf numFmtId="2" fontId="2" fillId="2" borderId="24" xfId="0" applyNumberFormat="1" applyFont="1" applyFill="1" applyBorder="1" applyAlignment="1">
      <alignment horizontal="center" vertical="center"/>
    </xf>
    <xf numFmtId="2" fontId="17" fillId="2" borderId="25" xfId="0" applyNumberFormat="1" applyFont="1" applyFill="1" applyBorder="1" applyAlignment="1" applyProtection="1">
      <alignment horizontal="center" vertical="center"/>
      <protection locked="0"/>
    </xf>
    <xf numFmtId="2" fontId="17" fillId="2" borderId="24" xfId="0" applyNumberFormat="1" applyFont="1" applyFill="1" applyBorder="1" applyAlignment="1" applyProtection="1">
      <alignment horizontal="center" vertical="center"/>
      <protection locked="0"/>
    </xf>
    <xf numFmtId="2" fontId="30" fillId="2" borderId="9" xfId="0" applyNumberFormat="1" applyFont="1" applyFill="1" applyBorder="1" applyAlignment="1">
      <alignment horizontal="center" vertical="center"/>
    </xf>
    <xf numFmtId="0" fontId="2" fillId="2" borderId="106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2" fillId="2" borderId="12" xfId="0" applyNumberFormat="1" applyFont="1" applyFill="1" applyBorder="1" applyAlignment="1">
      <alignment horizontal="center" vertical="center"/>
    </xf>
    <xf numFmtId="2" fontId="2" fillId="2" borderId="18" xfId="0" applyNumberFormat="1" applyFont="1" applyFill="1" applyBorder="1" applyAlignment="1">
      <alignment horizontal="center" vertical="center"/>
    </xf>
    <xf numFmtId="2" fontId="2" fillId="2" borderId="17" xfId="0" applyNumberFormat="1" applyFont="1" applyFill="1" applyBorder="1" applyAlignment="1">
      <alignment horizontal="center" vertical="center"/>
    </xf>
    <xf numFmtId="0" fontId="32" fillId="2" borderId="27" xfId="0" applyFont="1" applyFill="1" applyBorder="1" applyAlignment="1">
      <alignment horizontal="center" vertical="center"/>
    </xf>
    <xf numFmtId="0" fontId="32" fillId="2" borderId="28" xfId="0" applyFont="1" applyFill="1" applyBorder="1" applyAlignment="1">
      <alignment horizontal="center" vertical="center"/>
    </xf>
    <xf numFmtId="0" fontId="32" fillId="2" borderId="13" xfId="0" applyFont="1" applyFill="1" applyBorder="1" applyAlignment="1">
      <alignment horizontal="center" vertical="center"/>
    </xf>
    <xf numFmtId="2" fontId="2" fillId="2" borderId="28" xfId="0" applyNumberFormat="1" applyFont="1" applyFill="1" applyBorder="1" applyAlignment="1">
      <alignment horizontal="center" vertical="center"/>
    </xf>
    <xf numFmtId="2" fontId="2" fillId="2" borderId="71" xfId="0" applyNumberFormat="1" applyFont="1" applyFill="1" applyBorder="1" applyAlignment="1">
      <alignment horizontal="center" vertical="center"/>
    </xf>
    <xf numFmtId="2" fontId="2" fillId="2" borderId="36" xfId="0" applyNumberFormat="1" applyFont="1" applyFill="1" applyBorder="1" applyAlignment="1">
      <alignment horizontal="center" vertical="center"/>
    </xf>
    <xf numFmtId="2" fontId="2" fillId="2" borderId="37" xfId="0" applyNumberFormat="1" applyFont="1" applyFill="1" applyBorder="1" applyAlignment="1">
      <alignment horizontal="center" vertical="center"/>
    </xf>
    <xf numFmtId="0" fontId="17" fillId="2" borderId="104" xfId="0" applyFont="1" applyFill="1" applyBorder="1" applyAlignment="1">
      <alignment horizontal="center" vertical="center"/>
    </xf>
    <xf numFmtId="0" fontId="17" fillId="2" borderId="105" xfId="0" applyFont="1" applyFill="1" applyBorder="1" applyAlignment="1">
      <alignment horizontal="center" vertical="center"/>
    </xf>
    <xf numFmtId="165" fontId="2" fillId="11" borderId="49" xfId="0" applyNumberFormat="1" applyFont="1" applyFill="1" applyBorder="1" applyAlignment="1">
      <alignment horizontal="left" vertical="top"/>
    </xf>
    <xf numFmtId="165" fontId="2" fillId="11" borderId="50" xfId="0" applyNumberFormat="1" applyFont="1" applyFill="1" applyBorder="1" applyAlignment="1">
      <alignment horizontal="left" vertical="top"/>
    </xf>
    <xf numFmtId="165" fontId="2" fillId="11" borderId="53" xfId="0" applyNumberFormat="1" applyFont="1" applyFill="1" applyBorder="1" applyAlignment="1">
      <alignment horizontal="left" vertical="top"/>
    </xf>
    <xf numFmtId="2" fontId="30" fillId="2" borderId="31" xfId="0" applyNumberFormat="1" applyFont="1" applyFill="1" applyBorder="1" applyAlignment="1">
      <alignment horizontal="center" vertical="center"/>
    </xf>
    <xf numFmtId="2" fontId="30" fillId="2" borderId="28" xfId="0" applyNumberFormat="1" applyFont="1" applyFill="1" applyBorder="1" applyAlignment="1">
      <alignment horizontal="center" vertical="center"/>
    </xf>
    <xf numFmtId="0" fontId="7" fillId="11" borderId="40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2" fillId="2" borderId="10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11" borderId="0" xfId="0" applyFont="1" applyFill="1" applyAlignment="1">
      <alignment horizontal="left" vertical="center"/>
    </xf>
    <xf numFmtId="0" fontId="1" fillId="11" borderId="38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165" fontId="17" fillId="2" borderId="6" xfId="0" applyNumberFormat="1" applyFont="1" applyFill="1" applyBorder="1" applyAlignment="1">
      <alignment horizontal="center" vertical="center"/>
    </xf>
    <xf numFmtId="165" fontId="17" fillId="2" borderId="17" xfId="0" applyNumberFormat="1" applyFont="1" applyFill="1" applyBorder="1" applyAlignment="1">
      <alignment horizontal="center" vertical="center"/>
    </xf>
    <xf numFmtId="165" fontId="17" fillId="2" borderId="5" xfId="0" applyNumberFormat="1" applyFont="1" applyFill="1" applyBorder="1" applyAlignment="1">
      <alignment horizontal="center" vertical="center"/>
    </xf>
    <xf numFmtId="165" fontId="17" fillId="2" borderId="25" xfId="0" applyNumberFormat="1" applyFont="1" applyFill="1" applyBorder="1" applyAlignment="1">
      <alignment horizontal="center" vertical="center"/>
    </xf>
    <xf numFmtId="165" fontId="17" fillId="2" borderId="24" xfId="0" applyNumberFormat="1" applyFont="1" applyFill="1" applyBorder="1" applyAlignment="1">
      <alignment horizontal="center" vertical="center"/>
    </xf>
    <xf numFmtId="2" fontId="30" fillId="2" borderId="7" xfId="0" applyNumberFormat="1" applyFont="1" applyFill="1" applyBorder="1" applyAlignment="1">
      <alignment horizontal="center" vertical="center"/>
    </xf>
    <xf numFmtId="2" fontId="30" fillId="2" borderId="7" xfId="0" quotePrefix="1" applyNumberFormat="1" applyFont="1" applyFill="1" applyBorder="1" applyAlignment="1">
      <alignment horizontal="center" vertical="center"/>
    </xf>
    <xf numFmtId="0" fontId="11" fillId="2" borderId="0" xfId="0" applyFont="1" applyFill="1" applyAlignment="1" applyProtection="1">
      <alignment horizontal="right" vertical="center"/>
      <protection locked="0"/>
    </xf>
    <xf numFmtId="0" fontId="2" fillId="2" borderId="0" xfId="0" applyFont="1" applyFill="1" applyAlignment="1" applyProtection="1">
      <alignment horizontal="left"/>
      <protection locked="0"/>
    </xf>
    <xf numFmtId="0" fontId="2" fillId="2" borderId="77" xfId="0" applyFont="1" applyFill="1" applyBorder="1" applyAlignment="1">
      <alignment horizontal="center" vertical="center"/>
    </xf>
    <xf numFmtId="0" fontId="2" fillId="2" borderId="78" xfId="0" applyFont="1" applyFill="1" applyBorder="1" applyAlignment="1">
      <alignment horizontal="center" vertical="center"/>
    </xf>
    <xf numFmtId="165" fontId="17" fillId="2" borderId="99" xfId="0" quotePrefix="1" applyNumberFormat="1" applyFont="1" applyFill="1" applyBorder="1" applyAlignment="1">
      <alignment horizontal="center" vertical="center"/>
    </xf>
    <xf numFmtId="165" fontId="17" fillId="2" borderId="100" xfId="0" applyNumberFormat="1" applyFont="1" applyFill="1" applyBorder="1" applyAlignment="1">
      <alignment horizontal="center" vertical="center"/>
    </xf>
    <xf numFmtId="1" fontId="17" fillId="2" borderId="100" xfId="0" applyNumberFormat="1" applyFont="1" applyFill="1" applyBorder="1" applyAlignment="1">
      <alignment horizontal="center" vertical="center"/>
    </xf>
    <xf numFmtId="165" fontId="17" fillId="2" borderId="100" xfId="0" quotePrefix="1" applyNumberFormat="1" applyFont="1" applyFill="1" applyBorder="1" applyAlignment="1">
      <alignment horizontal="center" vertical="center"/>
    </xf>
    <xf numFmtId="0" fontId="17" fillId="2" borderId="110" xfId="0" applyFont="1" applyFill="1" applyBorder="1" applyAlignment="1">
      <alignment horizontal="center" vertical="center"/>
    </xf>
    <xf numFmtId="2" fontId="2" fillId="2" borderId="14" xfId="0" applyNumberFormat="1" applyFont="1" applyFill="1" applyBorder="1" applyAlignment="1">
      <alignment horizontal="center" vertical="center"/>
    </xf>
    <xf numFmtId="2" fontId="17" fillId="2" borderId="15" xfId="0" applyNumberFormat="1" applyFont="1" applyFill="1" applyBorder="1" applyAlignment="1" applyProtection="1">
      <alignment horizontal="center" vertical="center"/>
      <protection locked="0"/>
    </xf>
    <xf numFmtId="2" fontId="17" fillId="2" borderId="4" xfId="0" applyNumberFormat="1" applyFont="1" applyFill="1" applyBorder="1" applyAlignment="1" applyProtection="1">
      <alignment horizontal="center" vertical="center"/>
      <protection locked="0"/>
    </xf>
    <xf numFmtId="1" fontId="17" fillId="2" borderId="15" xfId="0" applyNumberFormat="1" applyFont="1" applyFill="1" applyBorder="1" applyAlignment="1">
      <alignment horizontal="center" vertical="center"/>
    </xf>
    <xf numFmtId="1" fontId="17" fillId="2" borderId="4" xfId="0" applyNumberFormat="1" applyFont="1" applyFill="1" applyBorder="1" applyAlignment="1">
      <alignment horizontal="center" vertical="center"/>
    </xf>
    <xf numFmtId="2" fontId="17" fillId="2" borderId="16" xfId="0" applyNumberFormat="1" applyFont="1" applyFill="1" applyBorder="1" applyAlignment="1" applyProtection="1">
      <alignment horizontal="center" vertical="center"/>
      <protection locked="0"/>
    </xf>
    <xf numFmtId="1" fontId="17" fillId="2" borderId="16" xfId="0" applyNumberFormat="1" applyFont="1" applyFill="1" applyBorder="1" applyAlignment="1">
      <alignment horizontal="center" vertical="center"/>
    </xf>
    <xf numFmtId="1" fontId="17" fillId="2" borderId="109" xfId="0" applyNumberFormat="1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2" fontId="17" fillId="2" borderId="13" xfId="0" applyNumberFormat="1" applyFont="1" applyFill="1" applyBorder="1" applyAlignment="1" applyProtection="1">
      <alignment horizontal="center" vertical="center"/>
      <protection locked="0"/>
    </xf>
    <xf numFmtId="1" fontId="17" fillId="2" borderId="17" xfId="0" applyNumberFormat="1" applyFont="1" applyFill="1" applyBorder="1" applyAlignment="1">
      <alignment horizontal="center" vertical="center"/>
    </xf>
    <xf numFmtId="2" fontId="2" fillId="2" borderId="6" xfId="0" applyNumberFormat="1" applyFont="1" applyFill="1" applyBorder="1" applyAlignment="1">
      <alignment horizontal="center" vertical="center"/>
    </xf>
    <xf numFmtId="0" fontId="2" fillId="2" borderId="108" xfId="0" applyFont="1" applyFill="1" applyBorder="1" applyAlignment="1">
      <alignment horizontal="center" vertical="center"/>
    </xf>
    <xf numFmtId="0" fontId="2" fillId="2" borderId="83" xfId="0" applyFont="1" applyFill="1" applyBorder="1" applyAlignment="1">
      <alignment horizontal="center" vertical="center"/>
    </xf>
    <xf numFmtId="2" fontId="2" fillId="2" borderId="83" xfId="0" applyNumberFormat="1" applyFont="1" applyFill="1" applyBorder="1" applyAlignment="1">
      <alignment horizontal="center" vertical="center"/>
    </xf>
    <xf numFmtId="169" fontId="30" fillId="2" borderId="8" xfId="0" applyNumberFormat="1" applyFont="1" applyFill="1" applyBorder="1" applyAlignment="1">
      <alignment horizontal="center" vertical="center"/>
    </xf>
    <xf numFmtId="169" fontId="30" fillId="2" borderId="7" xfId="0" applyNumberFormat="1" applyFont="1" applyFill="1" applyBorder="1" applyAlignment="1">
      <alignment horizontal="center" vertical="center"/>
    </xf>
    <xf numFmtId="1" fontId="2" fillId="2" borderId="13" xfId="0" applyNumberFormat="1" applyFont="1" applyFill="1" applyBorder="1" applyAlignment="1">
      <alignment horizontal="center" vertical="center"/>
    </xf>
    <xf numFmtId="169" fontId="30" fillId="2" borderId="96" xfId="0" applyNumberFormat="1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left" vertical="center"/>
    </xf>
    <xf numFmtId="0" fontId="1" fillId="2" borderId="36" xfId="0" applyFont="1" applyFill="1" applyBorder="1" applyAlignment="1">
      <alignment horizontal="left" vertical="center"/>
    </xf>
    <xf numFmtId="0" fontId="1" fillId="2" borderId="37" xfId="0" applyFont="1" applyFill="1" applyBorder="1" applyAlignment="1">
      <alignment horizontal="left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30" fillId="2" borderId="31" xfId="0" applyFont="1" applyFill="1" applyBorder="1" applyAlignment="1">
      <alignment horizontal="left" vertical="center"/>
    </xf>
    <xf numFmtId="0" fontId="30" fillId="2" borderId="32" xfId="0" applyFont="1" applyFill="1" applyBorder="1" applyAlignment="1">
      <alignment horizontal="left" vertical="center"/>
    </xf>
    <xf numFmtId="165" fontId="17" fillId="2" borderId="15" xfId="0" applyNumberFormat="1" applyFont="1" applyFill="1" applyBorder="1" applyAlignment="1" applyProtection="1">
      <alignment horizontal="center" vertical="center"/>
      <protection locked="0"/>
    </xf>
    <xf numFmtId="165" fontId="17" fillId="2" borderId="4" xfId="0" applyNumberFormat="1" applyFont="1" applyFill="1" applyBorder="1" applyAlignment="1" applyProtection="1">
      <alignment horizontal="center" vertical="center"/>
      <protection locked="0"/>
    </xf>
    <xf numFmtId="165" fontId="17" fillId="2" borderId="16" xfId="0" applyNumberFormat="1" applyFont="1" applyFill="1" applyBorder="1" applyAlignment="1" applyProtection="1">
      <alignment horizontal="center" vertical="center"/>
      <protection locked="0"/>
    </xf>
    <xf numFmtId="165" fontId="17" fillId="2" borderId="5" xfId="0" applyNumberFormat="1" applyFont="1" applyFill="1" applyBorder="1" applyAlignment="1" applyProtection="1">
      <alignment horizontal="center" vertical="center"/>
      <protection locked="0"/>
    </xf>
    <xf numFmtId="165" fontId="17" fillId="2" borderId="13" xfId="0" applyNumberFormat="1" applyFont="1" applyFill="1" applyBorder="1" applyAlignment="1" applyProtection="1">
      <alignment horizontal="center" vertical="center"/>
      <protection locked="0"/>
    </xf>
    <xf numFmtId="165" fontId="17" fillId="2" borderId="2" xfId="0" applyNumberFormat="1" applyFont="1" applyFill="1" applyBorder="1" applyAlignment="1" applyProtection="1">
      <alignment horizontal="center" vertical="center"/>
      <protection locked="0"/>
    </xf>
    <xf numFmtId="165" fontId="17" fillId="2" borderId="17" xfId="0" applyNumberFormat="1" applyFont="1" applyFill="1" applyBorder="1" applyAlignment="1" applyProtection="1">
      <alignment horizontal="center" vertical="center"/>
      <protection locked="0"/>
    </xf>
    <xf numFmtId="165" fontId="17" fillId="2" borderId="6" xfId="0" applyNumberFormat="1" applyFont="1" applyFill="1" applyBorder="1" applyAlignment="1" applyProtection="1">
      <alignment horizontal="center" vertical="center"/>
      <protection locked="0"/>
    </xf>
    <xf numFmtId="0" fontId="17" fillId="2" borderId="80" xfId="0" applyFont="1" applyFill="1" applyBorder="1" applyAlignment="1" applyProtection="1">
      <alignment horizontal="center" vertical="center"/>
      <protection locked="0"/>
    </xf>
    <xf numFmtId="0" fontId="17" fillId="2" borderId="81" xfId="0" applyFont="1" applyFill="1" applyBorder="1" applyAlignment="1" applyProtection="1">
      <alignment horizontal="center" vertical="center"/>
      <protection locked="0"/>
    </xf>
    <xf numFmtId="169" fontId="30" fillId="2" borderId="8" xfId="0" quotePrefix="1" applyNumberFormat="1" applyFont="1" applyFill="1" applyBorder="1" applyAlignment="1">
      <alignment horizontal="center" vertical="center"/>
    </xf>
    <xf numFmtId="1" fontId="30" fillId="2" borderId="50" xfId="0" quotePrefix="1" applyNumberFormat="1" applyFont="1" applyFill="1" applyBorder="1" applyAlignment="1">
      <alignment horizontal="center" vertical="center"/>
    </xf>
    <xf numFmtId="1" fontId="30" fillId="2" borderId="53" xfId="0" quotePrefix="1" applyNumberFormat="1" applyFont="1" applyFill="1" applyBorder="1" applyAlignment="1">
      <alignment horizontal="center" vertical="center"/>
    </xf>
    <xf numFmtId="0" fontId="30" fillId="2" borderId="30" xfId="0" applyFont="1" applyFill="1" applyBorder="1" applyAlignment="1">
      <alignment horizontal="right" vertical="center"/>
    </xf>
    <xf numFmtId="0" fontId="30" fillId="2" borderId="31" xfId="0" applyFont="1" applyFill="1" applyBorder="1" applyAlignment="1">
      <alignment horizontal="right" vertical="center"/>
    </xf>
    <xf numFmtId="0" fontId="30" fillId="2" borderId="32" xfId="0" applyFont="1" applyFill="1" applyBorder="1" applyAlignment="1">
      <alignment horizontal="right" vertical="center"/>
    </xf>
    <xf numFmtId="1" fontId="17" fillId="2" borderId="33" xfId="0" applyNumberFormat="1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>
      <alignment horizontal="center" vertical="center"/>
    </xf>
    <xf numFmtId="0" fontId="17" fillId="2" borderId="40" xfId="0" applyFont="1" applyFill="1" applyBorder="1" applyAlignment="1">
      <alignment horizontal="center" vertical="center"/>
    </xf>
    <xf numFmtId="1" fontId="17" fillId="2" borderId="2" xfId="0" quotePrefix="1" applyNumberFormat="1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40" xfId="0" applyFont="1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2" fillId="11" borderId="30" xfId="0" applyFont="1" applyFill="1" applyBorder="1" applyAlignment="1" applyProtection="1">
      <alignment horizontal="center"/>
      <protection locked="0"/>
    </xf>
    <xf numFmtId="0" fontId="2" fillId="11" borderId="31" xfId="0" applyFont="1" applyFill="1" applyBorder="1" applyAlignment="1" applyProtection="1">
      <alignment horizontal="center"/>
      <protection locked="0"/>
    </xf>
    <xf numFmtId="0" fontId="2" fillId="11" borderId="32" xfId="0" applyFont="1" applyFill="1" applyBorder="1" applyAlignment="1" applyProtection="1">
      <alignment horizontal="center"/>
      <protection locked="0"/>
    </xf>
    <xf numFmtId="0" fontId="2" fillId="11" borderId="41" xfId="0" applyFont="1" applyFill="1" applyBorder="1" applyAlignment="1" applyProtection="1">
      <alignment horizontal="center"/>
      <protection locked="0"/>
    </xf>
    <xf numFmtId="0" fontId="2" fillId="11" borderId="42" xfId="0" applyFont="1" applyFill="1" applyBorder="1" applyAlignment="1" applyProtection="1">
      <alignment horizontal="center"/>
      <protection locked="0"/>
    </xf>
    <xf numFmtId="165" fontId="2" fillId="11" borderId="49" xfId="0" applyNumberFormat="1" applyFont="1" applyFill="1" applyBorder="1" applyAlignment="1">
      <alignment horizontal="left" vertical="center"/>
    </xf>
    <xf numFmtId="165" fontId="2" fillId="11" borderId="50" xfId="0" applyNumberFormat="1" applyFont="1" applyFill="1" applyBorder="1" applyAlignment="1">
      <alignment horizontal="left" vertical="center"/>
    </xf>
    <xf numFmtId="165" fontId="2" fillId="11" borderId="53" xfId="0" applyNumberFormat="1" applyFont="1" applyFill="1" applyBorder="1" applyAlignment="1">
      <alignment horizontal="left" vertical="center"/>
    </xf>
    <xf numFmtId="0" fontId="2" fillId="11" borderId="54" xfId="0" applyFont="1" applyFill="1" applyBorder="1" applyAlignment="1" applyProtection="1">
      <alignment horizontal="center"/>
      <protection locked="0"/>
    </xf>
    <xf numFmtId="0" fontId="2" fillId="11" borderId="6" xfId="0" applyFont="1" applyFill="1" applyBorder="1" applyAlignment="1" applyProtection="1">
      <alignment horizontal="center"/>
      <protection locked="0"/>
    </xf>
    <xf numFmtId="0" fontId="2" fillId="11" borderId="38" xfId="0" applyFont="1" applyFill="1" applyBorder="1" applyAlignment="1" applyProtection="1">
      <alignment horizontal="center"/>
      <protection locked="0"/>
    </xf>
    <xf numFmtId="165" fontId="2" fillId="11" borderId="58" xfId="0" applyNumberFormat="1" applyFont="1" applyFill="1" applyBorder="1" applyAlignment="1">
      <alignment horizontal="left" vertical="center"/>
    </xf>
    <xf numFmtId="165" fontId="2" fillId="11" borderId="0" xfId="0" applyNumberFormat="1" applyFont="1" applyFill="1" applyAlignment="1">
      <alignment horizontal="left" vertical="center"/>
    </xf>
    <xf numFmtId="165" fontId="2" fillId="11" borderId="48" xfId="0" applyNumberFormat="1" applyFont="1" applyFill="1" applyBorder="1" applyAlignment="1">
      <alignment horizontal="left" vertical="center"/>
    </xf>
    <xf numFmtId="0" fontId="17" fillId="2" borderId="54" xfId="0" applyFont="1" applyFill="1" applyBorder="1" applyAlignment="1" applyProtection="1">
      <alignment horizontal="center" vertical="center" shrinkToFit="1"/>
      <protection locked="0"/>
    </xf>
    <xf numFmtId="0" fontId="17" fillId="2" borderId="6" xfId="0" applyFont="1" applyFill="1" applyBorder="1" applyAlignment="1" applyProtection="1">
      <alignment horizontal="center" vertical="center" shrinkToFit="1"/>
      <protection locked="0"/>
    </xf>
    <xf numFmtId="0" fontId="17" fillId="2" borderId="38" xfId="0" applyFont="1" applyFill="1" applyBorder="1" applyAlignment="1" applyProtection="1">
      <alignment horizontal="center"/>
      <protection locked="0"/>
    </xf>
    <xf numFmtId="0" fontId="2" fillId="11" borderId="25" xfId="0" applyFont="1" applyFill="1" applyBorder="1" applyAlignment="1">
      <alignment horizontal="left" vertical="center"/>
    </xf>
    <xf numFmtId="9" fontId="2" fillId="11" borderId="25" xfId="2" applyFont="1" applyFill="1" applyBorder="1" applyAlignment="1" applyProtection="1">
      <alignment horizontal="center" vertical="center"/>
      <protection locked="0"/>
    </xf>
    <xf numFmtId="9" fontId="2" fillId="11" borderId="24" xfId="2" applyFont="1" applyFill="1" applyBorder="1" applyAlignment="1" applyProtection="1">
      <alignment horizontal="center" vertical="center"/>
      <protection locked="0"/>
    </xf>
    <xf numFmtId="0" fontId="1" fillId="11" borderId="85" xfId="0" applyFont="1" applyFill="1" applyBorder="1" applyAlignment="1">
      <alignment horizontal="center" wrapText="1"/>
    </xf>
    <xf numFmtId="0" fontId="1" fillId="11" borderId="72" xfId="0" applyFont="1" applyFill="1" applyBorder="1" applyAlignment="1">
      <alignment horizontal="center" wrapText="1"/>
    </xf>
    <xf numFmtId="0" fontId="1" fillId="11" borderId="76" xfId="0" applyFont="1" applyFill="1" applyBorder="1" applyAlignment="1">
      <alignment horizontal="center" wrapText="1"/>
    </xf>
    <xf numFmtId="0" fontId="1" fillId="11" borderId="58" xfId="0" applyFont="1" applyFill="1" applyBorder="1" applyAlignment="1">
      <alignment horizontal="center" wrapText="1"/>
    </xf>
    <xf numFmtId="0" fontId="1" fillId="11" borderId="0" xfId="0" applyFont="1" applyFill="1" applyAlignment="1">
      <alignment horizontal="center" wrapText="1"/>
    </xf>
    <xf numFmtId="0" fontId="1" fillId="11" borderId="48" xfId="0" applyFont="1" applyFill="1" applyBorder="1" applyAlignment="1">
      <alignment horizontal="center" wrapText="1"/>
    </xf>
    <xf numFmtId="0" fontId="1" fillId="11" borderId="92" xfId="0" applyFont="1" applyFill="1" applyBorder="1" applyAlignment="1">
      <alignment horizontal="center" wrapText="1"/>
    </xf>
    <xf numFmtId="0" fontId="1" fillId="11" borderId="90" xfId="0" applyFont="1" applyFill="1" applyBorder="1" applyAlignment="1">
      <alignment horizontal="center" wrapText="1"/>
    </xf>
    <xf numFmtId="0" fontId="1" fillId="11" borderId="91" xfId="0" applyFont="1" applyFill="1" applyBorder="1" applyAlignment="1">
      <alignment horizontal="center" wrapText="1"/>
    </xf>
    <xf numFmtId="0" fontId="2" fillId="11" borderId="1" xfId="0" applyFont="1" applyFill="1" applyBorder="1" applyAlignment="1">
      <alignment horizontal="left" vertical="center"/>
    </xf>
    <xf numFmtId="9" fontId="2" fillId="11" borderId="1" xfId="2" applyFont="1" applyFill="1" applyBorder="1" applyAlignment="1" applyProtection="1">
      <alignment horizontal="center" vertical="center"/>
      <protection locked="0"/>
    </xf>
    <xf numFmtId="9" fontId="2" fillId="11" borderId="13" xfId="2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46" xfId="0" applyFont="1" applyFill="1" applyBorder="1" applyAlignment="1" applyProtection="1">
      <alignment horizontal="center" vertical="center"/>
      <protection locked="0"/>
    </xf>
    <xf numFmtId="0" fontId="1" fillId="11" borderId="86" xfId="0" applyFont="1" applyFill="1" applyBorder="1" applyAlignment="1">
      <alignment horizontal="left" vertical="center"/>
    </xf>
    <xf numFmtId="0" fontId="1" fillId="11" borderId="87" xfId="0" applyFont="1" applyFill="1" applyBorder="1" applyAlignment="1">
      <alignment horizontal="left" vertical="center"/>
    </xf>
    <xf numFmtId="0" fontId="2" fillId="11" borderId="28" xfId="0" applyFont="1" applyFill="1" applyBorder="1" applyAlignment="1">
      <alignment horizontal="center"/>
    </xf>
    <xf numFmtId="2" fontId="17" fillId="2" borderId="42" xfId="0" applyNumberFormat="1" applyFont="1" applyFill="1" applyBorder="1" applyAlignment="1" applyProtection="1">
      <alignment horizontal="center" vertical="center"/>
      <protection locked="0"/>
    </xf>
    <xf numFmtId="1" fontId="17" fillId="2" borderId="42" xfId="0" applyNumberFormat="1" applyFont="1" applyFill="1" applyBorder="1" applyAlignment="1" applyProtection="1">
      <alignment horizontal="center" vertical="center"/>
      <protection locked="0"/>
    </xf>
    <xf numFmtId="1" fontId="17" fillId="2" borderId="1" xfId="0" applyNumberFormat="1" applyFont="1" applyFill="1" applyBorder="1" applyAlignment="1" applyProtection="1">
      <alignment horizontal="right" vertical="center"/>
      <protection locked="0"/>
    </xf>
    <xf numFmtId="1" fontId="17" fillId="2" borderId="28" xfId="0" applyNumberFormat="1" applyFont="1" applyFill="1" applyBorder="1" applyAlignment="1" applyProtection="1">
      <alignment horizontal="right" vertical="center"/>
      <protection locked="0"/>
    </xf>
    <xf numFmtId="1" fontId="17" fillId="2" borderId="39" xfId="0" applyNumberFormat="1" applyFont="1" applyFill="1" applyBorder="1" applyAlignment="1">
      <alignment horizontal="center" vertical="center"/>
    </xf>
    <xf numFmtId="0" fontId="2" fillId="2" borderId="54" xfId="0" applyFont="1" applyFill="1" applyBorder="1" applyAlignment="1">
      <alignment horizontal="left" vertical="center" shrinkToFit="1"/>
    </xf>
    <xf numFmtId="0" fontId="2" fillId="2" borderId="6" xfId="0" applyFont="1" applyFill="1" applyBorder="1" applyAlignment="1">
      <alignment horizontal="left" vertical="center" shrinkToFit="1"/>
    </xf>
    <xf numFmtId="0" fontId="1" fillId="11" borderId="0" xfId="0" applyFont="1" applyFill="1" applyAlignment="1" applyProtection="1">
      <alignment horizontal="center"/>
      <protection locked="0"/>
    </xf>
    <xf numFmtId="0" fontId="1" fillId="11" borderId="85" xfId="0" applyFont="1" applyFill="1" applyBorder="1" applyAlignment="1">
      <alignment horizontal="left" vertical="center"/>
    </xf>
    <xf numFmtId="0" fontId="1" fillId="11" borderId="72" xfId="0" applyFont="1" applyFill="1" applyBorder="1" applyAlignment="1">
      <alignment horizontal="left" vertical="center"/>
    </xf>
    <xf numFmtId="0" fontId="1" fillId="11" borderId="111" xfId="0" applyFont="1" applyFill="1" applyBorder="1" applyAlignment="1">
      <alignment horizontal="left" vertical="center"/>
    </xf>
    <xf numFmtId="0" fontId="1" fillId="11" borderId="92" xfId="0" applyFont="1" applyFill="1" applyBorder="1" applyAlignment="1">
      <alignment horizontal="left" vertical="center"/>
    </xf>
    <xf numFmtId="0" fontId="1" fillId="11" borderId="90" xfId="0" applyFont="1" applyFill="1" applyBorder="1" applyAlignment="1">
      <alignment horizontal="left" vertical="center"/>
    </xf>
    <xf numFmtId="0" fontId="1" fillId="11" borderId="112" xfId="0" applyFont="1" applyFill="1" applyBorder="1" applyAlignment="1">
      <alignment horizontal="left" vertical="center"/>
    </xf>
    <xf numFmtId="0" fontId="1" fillId="11" borderId="71" xfId="0" applyFont="1" applyFill="1" applyBorder="1" applyAlignment="1">
      <alignment horizontal="left"/>
    </xf>
    <xf numFmtId="0" fontId="1" fillId="11" borderId="36" xfId="0" applyFont="1" applyFill="1" applyBorder="1" applyAlignment="1">
      <alignment horizontal="left"/>
    </xf>
    <xf numFmtId="0" fontId="1" fillId="11" borderId="37" xfId="0" applyFont="1" applyFill="1" applyBorder="1" applyAlignment="1">
      <alignment horizontal="left"/>
    </xf>
    <xf numFmtId="0" fontId="32" fillId="2" borderId="50" xfId="0" applyFont="1" applyFill="1" applyBorder="1" applyAlignment="1">
      <alignment horizontal="center" vertical="center"/>
    </xf>
    <xf numFmtId="0" fontId="2" fillId="18" borderId="3" xfId="0" applyFont="1" applyFill="1" applyBorder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16" xfId="0" applyFont="1" applyFill="1" applyBorder="1" applyAlignment="1">
      <alignment horizontal="center" vertical="center"/>
    </xf>
    <xf numFmtId="1" fontId="17" fillId="18" borderId="12" xfId="0" applyNumberFormat="1" applyFont="1" applyFill="1" applyBorder="1" applyAlignment="1">
      <alignment horizontal="right" vertical="center"/>
    </xf>
    <xf numFmtId="1" fontId="17" fillId="18" borderId="18" xfId="0" applyNumberFormat="1" applyFont="1" applyFill="1" applyBorder="1" applyAlignment="1">
      <alignment horizontal="right" vertical="center"/>
    </xf>
    <xf numFmtId="0" fontId="2" fillId="18" borderId="18" xfId="0" applyFont="1" applyFill="1" applyBorder="1" applyAlignment="1">
      <alignment horizontal="left" vertical="center"/>
    </xf>
    <xf numFmtId="0" fontId="2" fillId="18" borderId="17" xfId="0" applyFont="1" applyFill="1" applyBorder="1" applyAlignment="1">
      <alignment horizontal="left" vertical="center"/>
    </xf>
    <xf numFmtId="0" fontId="32" fillId="2" borderId="46" xfId="0" applyFont="1" applyFill="1" applyBorder="1" applyAlignment="1">
      <alignment horizontal="left" vertical="center"/>
    </xf>
    <xf numFmtId="0" fontId="32" fillId="2" borderId="41" xfId="0" applyFont="1" applyFill="1" applyBorder="1" applyAlignment="1">
      <alignment horizontal="left" vertical="center"/>
    </xf>
    <xf numFmtId="0" fontId="2" fillId="17" borderId="43" xfId="0" applyFont="1" applyFill="1" applyBorder="1" applyAlignment="1">
      <alignment horizontal="center" vertical="center"/>
    </xf>
    <xf numFmtId="0" fontId="2" fillId="17" borderId="44" xfId="0" applyFont="1" applyFill="1" applyBorder="1" applyAlignment="1">
      <alignment horizontal="center" vertical="center"/>
    </xf>
    <xf numFmtId="0" fontId="2" fillId="17" borderId="15" xfId="0" applyFont="1" applyFill="1" applyBorder="1" applyAlignment="1">
      <alignment horizontal="center" vertical="center"/>
    </xf>
    <xf numFmtId="1" fontId="17" fillId="17" borderId="123" xfId="0" applyNumberFormat="1" applyFont="1" applyFill="1" applyBorder="1" applyAlignment="1">
      <alignment horizontal="right" vertical="center"/>
    </xf>
    <xf numFmtId="1" fontId="17" fillId="17" borderId="124" xfId="0" applyNumberFormat="1" applyFont="1" applyFill="1" applyBorder="1" applyAlignment="1">
      <alignment horizontal="right" vertical="center"/>
    </xf>
    <xf numFmtId="0" fontId="2" fillId="17" borderId="124" xfId="0" applyFont="1" applyFill="1" applyBorder="1" applyAlignment="1">
      <alignment horizontal="left" vertical="center"/>
    </xf>
    <xf numFmtId="0" fontId="2" fillId="17" borderId="125" xfId="0" applyFont="1" applyFill="1" applyBorder="1" applyAlignment="1">
      <alignment horizontal="left" vertical="center"/>
    </xf>
    <xf numFmtId="1" fontId="17" fillId="2" borderId="2" xfId="0" quotePrefix="1" applyNumberFormat="1" applyFont="1" applyFill="1" applyBorder="1" applyAlignment="1" applyProtection="1">
      <alignment horizontal="center" vertical="center"/>
      <protection locked="0"/>
    </xf>
    <xf numFmtId="0" fontId="2" fillId="2" borderId="93" xfId="0" applyFont="1" applyFill="1" applyBorder="1" applyAlignment="1">
      <alignment horizontal="left" vertical="center"/>
    </xf>
    <xf numFmtId="0" fontId="2" fillId="2" borderId="80" xfId="0" applyFont="1" applyFill="1" applyBorder="1" applyAlignment="1">
      <alignment horizontal="left" vertical="center"/>
    </xf>
    <xf numFmtId="0" fontId="17" fillId="2" borderId="101" xfId="0" quotePrefix="1" applyFont="1" applyFill="1" applyBorder="1" applyAlignment="1" applyProtection="1">
      <alignment horizontal="right" vertical="center"/>
      <protection locked="0"/>
    </xf>
    <xf numFmtId="0" fontId="17" fillId="2" borderId="78" xfId="0" quotePrefix="1" applyFont="1" applyFill="1" applyBorder="1" applyAlignment="1" applyProtection="1">
      <alignment horizontal="right" vertical="center"/>
      <protection locked="0"/>
    </xf>
    <xf numFmtId="0" fontId="17" fillId="2" borderId="78" xfId="0" applyFont="1" applyFill="1" applyBorder="1" applyAlignment="1">
      <alignment horizontal="left" vertical="center"/>
    </xf>
    <xf numFmtId="0" fontId="17" fillId="2" borderId="102" xfId="0" applyFont="1" applyFill="1" applyBorder="1" applyAlignment="1">
      <alignment horizontal="left" vertical="center"/>
    </xf>
    <xf numFmtId="1" fontId="17" fillId="2" borderId="42" xfId="0" applyNumberFormat="1" applyFont="1" applyFill="1" applyBorder="1" applyAlignment="1">
      <alignment horizontal="center" vertical="center"/>
    </xf>
    <xf numFmtId="0" fontId="1" fillId="11" borderId="19" xfId="0" applyFont="1" applyFill="1" applyBorder="1" applyAlignment="1">
      <alignment horizontal="left"/>
    </xf>
    <xf numFmtId="0" fontId="1" fillId="11" borderId="21" xfId="0" applyFont="1" applyFill="1" applyBorder="1" applyAlignment="1">
      <alignment horizontal="left"/>
    </xf>
    <xf numFmtId="1" fontId="7" fillId="11" borderId="47" xfId="0" applyNumberFormat="1" applyFont="1" applyFill="1" applyBorder="1" applyAlignment="1">
      <alignment horizontal="left" vertical="center" wrapText="1"/>
    </xf>
    <xf numFmtId="1" fontId="7" fillId="11" borderId="44" xfId="0" applyNumberFormat="1" applyFont="1" applyFill="1" applyBorder="1" applyAlignment="1">
      <alignment horizontal="left" vertical="center" wrapText="1"/>
    </xf>
    <xf numFmtId="1" fontId="7" fillId="11" borderId="15" xfId="0" applyNumberFormat="1" applyFont="1" applyFill="1" applyBorder="1" applyAlignment="1">
      <alignment horizontal="left" vertical="center" wrapText="1"/>
    </xf>
    <xf numFmtId="1" fontId="7" fillId="11" borderId="49" xfId="0" applyNumberFormat="1" applyFont="1" applyFill="1" applyBorder="1" applyAlignment="1">
      <alignment horizontal="left" vertical="center" wrapText="1"/>
    </xf>
    <xf numFmtId="1" fontId="7" fillId="11" borderId="50" xfId="0" applyNumberFormat="1" applyFont="1" applyFill="1" applyBorder="1" applyAlignment="1">
      <alignment horizontal="left" vertical="center" wrapText="1"/>
    </xf>
    <xf numFmtId="1" fontId="7" fillId="11" borderId="51" xfId="0" applyNumberFormat="1" applyFont="1" applyFill="1" applyBorder="1" applyAlignment="1">
      <alignment horizontal="left" vertical="center" wrapText="1"/>
    </xf>
    <xf numFmtId="0" fontId="1" fillId="11" borderId="12" xfId="0" applyFont="1" applyFill="1" applyBorder="1" applyAlignment="1">
      <alignment horizontal="center" vertical="center"/>
    </xf>
    <xf numFmtId="0" fontId="17" fillId="11" borderId="12" xfId="0" applyFont="1" applyFill="1" applyBorder="1" applyAlignment="1" applyProtection="1">
      <alignment horizontal="center" vertical="center"/>
      <protection locked="0"/>
    </xf>
    <xf numFmtId="0" fontId="17" fillId="11" borderId="18" xfId="0" applyFont="1" applyFill="1" applyBorder="1" applyAlignment="1" applyProtection="1">
      <alignment horizontal="center" vertical="center"/>
      <protection locked="0"/>
    </xf>
    <xf numFmtId="0" fontId="17" fillId="11" borderId="17" xfId="0" applyFont="1" applyFill="1" applyBorder="1" applyAlignment="1" applyProtection="1">
      <alignment horizontal="center" vertical="center"/>
      <protection locked="0"/>
    </xf>
    <xf numFmtId="0" fontId="2" fillId="11" borderId="12" xfId="0" applyFont="1" applyFill="1" applyBorder="1" applyAlignment="1">
      <alignment horizontal="center" vertical="center"/>
    </xf>
    <xf numFmtId="0" fontId="2" fillId="11" borderId="18" xfId="0" applyFont="1" applyFill="1" applyBorder="1" applyAlignment="1">
      <alignment horizontal="center" vertical="center"/>
    </xf>
    <xf numFmtId="0" fontId="2" fillId="11" borderId="59" xfId="0" applyFont="1" applyFill="1" applyBorder="1" applyAlignment="1">
      <alignment horizontal="center" vertical="center"/>
    </xf>
    <xf numFmtId="164" fontId="17" fillId="2" borderId="2" xfId="0" quotePrefix="1" applyNumberFormat="1" applyFont="1" applyFill="1" applyBorder="1" applyAlignment="1" applyProtection="1">
      <alignment horizontal="center" vertical="center"/>
      <protection locked="0"/>
    </xf>
    <xf numFmtId="0" fontId="1" fillId="11" borderId="3" xfId="0" applyFont="1" applyFill="1" applyBorder="1" applyAlignment="1">
      <alignment horizontal="center" vertical="center"/>
    </xf>
    <xf numFmtId="0" fontId="1" fillId="11" borderId="16" xfId="0" applyFont="1" applyFill="1" applyBorder="1" applyAlignment="1">
      <alignment horizontal="center" vertical="center"/>
    </xf>
    <xf numFmtId="0" fontId="17" fillId="11" borderId="13" xfId="0" applyFont="1" applyFill="1" applyBorder="1" applyAlignment="1">
      <alignment horizontal="center" vertical="center"/>
    </xf>
    <xf numFmtId="0" fontId="17" fillId="11" borderId="3" xfId="0" applyFont="1" applyFill="1" applyBorder="1" applyAlignment="1" applyProtection="1">
      <alignment horizontal="center" vertical="center"/>
      <protection locked="0"/>
    </xf>
    <xf numFmtId="0" fontId="17" fillId="11" borderId="0" xfId="0" applyFont="1" applyFill="1" applyAlignment="1" applyProtection="1">
      <alignment horizontal="center" vertical="center"/>
      <protection locked="0"/>
    </xf>
    <xf numFmtId="0" fontId="17" fillId="11" borderId="16" xfId="0" applyFont="1" applyFill="1" applyBorder="1" applyAlignment="1" applyProtection="1">
      <alignment horizontal="center" vertical="center"/>
      <protection locked="0"/>
    </xf>
    <xf numFmtId="2" fontId="17" fillId="2" borderId="6" xfId="0" quotePrefix="1" applyNumberFormat="1" applyFont="1" applyFill="1" applyBorder="1" applyAlignment="1" applyProtection="1">
      <alignment horizontal="center" vertical="center"/>
      <protection locked="0"/>
    </xf>
    <xf numFmtId="2" fontId="17" fillId="2" borderId="38" xfId="0" applyNumberFormat="1" applyFont="1" applyFill="1" applyBorder="1" applyAlignment="1" applyProtection="1">
      <alignment horizontal="center" vertical="center"/>
      <protection locked="0"/>
    </xf>
    <xf numFmtId="0" fontId="2" fillId="2" borderId="108" xfId="0" applyFont="1" applyFill="1" applyBorder="1" applyAlignment="1">
      <alignment horizontal="left" vertical="center"/>
    </xf>
    <xf numFmtId="0" fontId="2" fillId="2" borderId="83" xfId="0" applyFont="1" applyFill="1" applyBorder="1" applyAlignment="1">
      <alignment horizontal="left" vertical="center"/>
    </xf>
    <xf numFmtId="0" fontId="2" fillId="2" borderId="84" xfId="0" applyFont="1" applyFill="1" applyBorder="1" applyAlignment="1">
      <alignment horizontal="center" vertical="center"/>
    </xf>
    <xf numFmtId="0" fontId="1" fillId="11" borderId="43" xfId="0" applyFont="1" applyFill="1" applyBorder="1" applyAlignment="1">
      <alignment horizontal="center" vertical="center"/>
    </xf>
    <xf numFmtId="0" fontId="1" fillId="11" borderId="4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/>
    </xf>
    <xf numFmtId="0" fontId="2" fillId="11" borderId="29" xfId="0" applyFont="1" applyFill="1" applyBorder="1" applyAlignment="1">
      <alignment horizontal="center"/>
    </xf>
    <xf numFmtId="0" fontId="2" fillId="11" borderId="30" xfId="0" applyFont="1" applyFill="1" applyBorder="1" applyAlignment="1">
      <alignment horizontal="center"/>
    </xf>
    <xf numFmtId="0" fontId="2" fillId="11" borderId="31" xfId="0" applyFont="1" applyFill="1" applyBorder="1" applyAlignment="1">
      <alignment horizontal="center"/>
    </xf>
    <xf numFmtId="0" fontId="2" fillId="11" borderId="32" xfId="0" applyFont="1" applyFill="1" applyBorder="1" applyAlignment="1">
      <alignment horizontal="center"/>
    </xf>
    <xf numFmtId="0" fontId="2" fillId="11" borderId="3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25" xfId="0" applyFont="1" applyFill="1" applyBorder="1" applyAlignment="1">
      <alignment horizontal="center"/>
    </xf>
    <xf numFmtId="0" fontId="2" fillId="11" borderId="23" xfId="0" applyFont="1" applyFill="1" applyBorder="1" applyAlignment="1">
      <alignment horizontal="center"/>
    </xf>
    <xf numFmtId="0" fontId="2" fillId="11" borderId="26" xfId="0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0" fontId="2" fillId="11" borderId="24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0" fontId="2" fillId="2" borderId="40" xfId="0" applyFont="1" applyFill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17" fillId="2" borderId="6" xfId="0" quotePrefix="1" applyFont="1" applyFill="1" applyBorder="1" applyAlignment="1" applyProtection="1">
      <alignment horizontal="center" vertical="center"/>
      <protection locked="0"/>
    </xf>
    <xf numFmtId="0" fontId="17" fillId="2" borderId="6" xfId="0" quotePrefix="1" applyFont="1" applyFill="1" applyBorder="1" applyAlignment="1" applyProtection="1">
      <alignment horizontal="center"/>
      <protection locked="0"/>
    </xf>
    <xf numFmtId="1" fontId="17" fillId="2" borderId="41" xfId="0" quotePrefix="1" applyNumberFormat="1" applyFont="1" applyFill="1" applyBorder="1" applyAlignment="1" applyProtection="1">
      <alignment horizontal="center" vertical="center"/>
      <protection locked="0"/>
    </xf>
    <xf numFmtId="2" fontId="17" fillId="2" borderId="42" xfId="0" applyNumberFormat="1" applyFont="1" applyFill="1" applyBorder="1" applyAlignment="1">
      <alignment horizontal="center" vertical="center"/>
    </xf>
    <xf numFmtId="0" fontId="2" fillId="19" borderId="58" xfId="0" applyFont="1" applyFill="1" applyBorder="1" applyAlignment="1">
      <alignment horizontal="right" vertical="center"/>
    </xf>
    <xf numFmtId="0" fontId="2" fillId="19" borderId="0" xfId="0" applyFont="1" applyFill="1" applyAlignment="1">
      <alignment horizontal="right" vertical="center"/>
    </xf>
    <xf numFmtId="0" fontId="2" fillId="19" borderId="16" xfId="0" applyFont="1" applyFill="1" applyBorder="1" applyAlignment="1">
      <alignment horizontal="right" vertical="center"/>
    </xf>
    <xf numFmtId="164" fontId="17" fillId="19" borderId="6" xfId="0" applyNumberFormat="1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right" vertical="center"/>
    </xf>
    <xf numFmtId="0" fontId="2" fillId="2" borderId="31" xfId="0" applyFont="1" applyFill="1" applyBorder="1" applyAlignment="1">
      <alignment horizontal="right" vertical="center"/>
    </xf>
    <xf numFmtId="0" fontId="2" fillId="2" borderId="32" xfId="0" applyFont="1" applyFill="1" applyBorder="1" applyAlignment="1">
      <alignment horizontal="right" vertical="center"/>
    </xf>
    <xf numFmtId="164" fontId="17" fillId="2" borderId="41" xfId="0" applyNumberFormat="1" applyFont="1" applyFill="1" applyBorder="1" applyAlignment="1">
      <alignment horizontal="center" vertical="center"/>
    </xf>
    <xf numFmtId="164" fontId="17" fillId="10" borderId="30" xfId="0" applyNumberFormat="1" applyFont="1" applyFill="1" applyBorder="1" applyAlignment="1" applyProtection="1">
      <alignment horizontal="center" vertical="center"/>
      <protection locked="0"/>
    </xf>
    <xf numFmtId="164" fontId="17" fillId="10" borderId="31" xfId="0" applyNumberFormat="1" applyFont="1" applyFill="1" applyBorder="1" applyAlignment="1" applyProtection="1">
      <alignment horizontal="center" vertical="center"/>
      <protection locked="0"/>
    </xf>
    <xf numFmtId="164" fontId="17" fillId="10" borderId="32" xfId="0" applyNumberFormat="1" applyFont="1" applyFill="1" applyBorder="1" applyAlignment="1" applyProtection="1">
      <alignment horizontal="center" vertical="center"/>
      <protection locked="0"/>
    </xf>
    <xf numFmtId="164" fontId="17" fillId="2" borderId="6" xfId="0" applyNumberFormat="1" applyFont="1" applyFill="1" applyBorder="1" applyAlignment="1">
      <alignment horizontal="center" vertical="center"/>
    </xf>
    <xf numFmtId="164" fontId="17" fillId="10" borderId="80" xfId="0" applyNumberFormat="1" applyFont="1" applyFill="1" applyBorder="1" applyAlignment="1">
      <alignment horizontal="center" vertical="center"/>
    </xf>
    <xf numFmtId="2" fontId="17" fillId="2" borderId="1" xfId="0" applyNumberFormat="1" applyFont="1" applyFill="1" applyBorder="1" applyAlignment="1">
      <alignment horizontal="center" vertical="center"/>
    </xf>
    <xf numFmtId="164" fontId="17" fillId="2" borderId="41" xfId="0" applyNumberFormat="1" applyFont="1" applyFill="1" applyBorder="1" applyAlignment="1" applyProtection="1">
      <alignment horizontal="center" vertical="center"/>
      <protection locked="0"/>
    </xf>
    <xf numFmtId="9" fontId="17" fillId="2" borderId="33" xfId="0" applyNumberFormat="1" applyFont="1" applyFill="1" applyBorder="1" applyAlignment="1" applyProtection="1">
      <alignment horizontal="right" vertical="center"/>
      <protection locked="0"/>
    </xf>
    <xf numFmtId="9" fontId="17" fillId="2" borderId="31" xfId="0" applyNumberFormat="1" applyFont="1" applyFill="1" applyBorder="1" applyAlignment="1" applyProtection="1">
      <alignment horizontal="right" vertical="center"/>
      <protection locked="0"/>
    </xf>
    <xf numFmtId="164" fontId="17" fillId="19" borderId="2" xfId="0" applyNumberFormat="1" applyFont="1" applyFill="1" applyBorder="1" applyAlignment="1" applyProtection="1">
      <alignment horizontal="center" vertical="center"/>
      <protection locked="0"/>
    </xf>
    <xf numFmtId="9" fontId="17" fillId="19" borderId="1" xfId="0" quotePrefix="1" applyNumberFormat="1" applyFont="1" applyFill="1" applyBorder="1" applyAlignment="1">
      <alignment horizontal="center" vertical="center"/>
    </xf>
    <xf numFmtId="9" fontId="17" fillId="19" borderId="28" xfId="0" applyNumberFormat="1" applyFont="1" applyFill="1" applyBorder="1" applyAlignment="1">
      <alignment horizontal="center" vertical="center"/>
    </xf>
    <xf numFmtId="9" fontId="17" fillId="19" borderId="29" xfId="0" applyNumberFormat="1" applyFont="1" applyFill="1" applyBorder="1" applyAlignment="1">
      <alignment horizontal="center" vertical="center"/>
    </xf>
    <xf numFmtId="164" fontId="17" fillId="10" borderId="54" xfId="0" applyNumberFormat="1" applyFont="1" applyFill="1" applyBorder="1" applyAlignment="1" applyProtection="1">
      <alignment horizontal="center" vertical="center"/>
      <protection locked="0"/>
    </xf>
    <xf numFmtId="164" fontId="17" fillId="10" borderId="6" xfId="0" applyNumberFormat="1" applyFont="1" applyFill="1" applyBorder="1" applyAlignment="1" applyProtection="1">
      <alignment horizontal="center" vertical="center"/>
      <protection locked="0"/>
    </xf>
    <xf numFmtId="164" fontId="17" fillId="10" borderId="6" xfId="0" applyNumberFormat="1" applyFont="1" applyFill="1" applyBorder="1" applyAlignment="1">
      <alignment horizontal="center" vertical="center"/>
    </xf>
    <xf numFmtId="164" fontId="17" fillId="19" borderId="2" xfId="0" quotePrefix="1" applyNumberFormat="1" applyFont="1" applyFill="1" applyBorder="1" applyAlignment="1">
      <alignment horizontal="center" vertical="center"/>
    </xf>
    <xf numFmtId="164" fontId="17" fillId="19" borderId="2" xfId="0" applyNumberFormat="1" applyFont="1" applyFill="1" applyBorder="1" applyAlignment="1">
      <alignment horizontal="center" vertical="center"/>
    </xf>
    <xf numFmtId="0" fontId="17" fillId="2" borderId="47" xfId="0" applyFont="1" applyFill="1" applyBorder="1" applyAlignment="1" applyProtection="1">
      <alignment horizontal="center" vertical="center"/>
      <protection locked="0"/>
    </xf>
    <xf numFmtId="0" fontId="17" fillId="2" borderId="44" xfId="0" applyFont="1" applyFill="1" applyBorder="1" applyAlignment="1" applyProtection="1">
      <alignment horizontal="center" vertical="center"/>
      <protection locked="0"/>
    </xf>
    <xf numFmtId="0" fontId="17" fillId="2" borderId="15" xfId="0" applyFont="1" applyFill="1" applyBorder="1" applyAlignment="1" applyProtection="1">
      <alignment horizontal="center" vertical="center"/>
      <protection locked="0"/>
    </xf>
    <xf numFmtId="0" fontId="17" fillId="2" borderId="49" xfId="0" applyFont="1" applyFill="1" applyBorder="1" applyAlignment="1" applyProtection="1">
      <alignment horizontal="center" vertical="center"/>
      <protection locked="0"/>
    </xf>
    <xf numFmtId="0" fontId="17" fillId="2" borderId="50" xfId="0" applyFont="1" applyFill="1" applyBorder="1" applyAlignment="1" applyProtection="1">
      <alignment horizontal="center" vertical="center"/>
      <protection locked="0"/>
    </xf>
    <xf numFmtId="0" fontId="17" fillId="2" borderId="51" xfId="0" applyFont="1" applyFill="1" applyBorder="1" applyAlignment="1" applyProtection="1">
      <alignment horizontal="center" vertical="center"/>
      <protection locked="0"/>
    </xf>
    <xf numFmtId="0" fontId="30" fillId="19" borderId="1" xfId="0" applyFont="1" applyFill="1" applyBorder="1" applyAlignment="1">
      <alignment horizontal="center" vertical="center"/>
    </xf>
    <xf numFmtId="0" fontId="30" fillId="19" borderId="28" xfId="0" applyFont="1" applyFill="1" applyBorder="1" applyAlignment="1">
      <alignment horizontal="center" vertical="center"/>
    </xf>
    <xf numFmtId="0" fontId="30" fillId="19" borderId="13" xfId="0" applyFont="1" applyFill="1" applyBorder="1" applyAlignment="1">
      <alignment horizontal="center" vertical="center"/>
    </xf>
    <xf numFmtId="1" fontId="17" fillId="19" borderId="2" xfId="0" applyNumberFormat="1" applyFont="1" applyFill="1" applyBorder="1" applyAlignment="1" applyProtection="1">
      <alignment horizontal="center" vertical="center"/>
      <protection locked="0"/>
    </xf>
    <xf numFmtId="9" fontId="17" fillId="2" borderId="1" xfId="0" applyNumberFormat="1" applyFont="1" applyFill="1" applyBorder="1" applyAlignment="1" applyProtection="1">
      <alignment horizontal="right" vertical="center"/>
      <protection locked="0"/>
    </xf>
    <xf numFmtId="9" fontId="17" fillId="2" borderId="28" xfId="0" applyNumberFormat="1" applyFont="1" applyFill="1" applyBorder="1" applyAlignment="1" applyProtection="1">
      <alignment horizontal="right" vertical="center"/>
      <protection locked="0"/>
    </xf>
    <xf numFmtId="0" fontId="17" fillId="2" borderId="28" xfId="0" applyFont="1" applyFill="1" applyBorder="1" applyAlignment="1">
      <alignment horizontal="left" vertical="center"/>
    </xf>
    <xf numFmtId="0" fontId="17" fillId="2" borderId="29" xfId="0" applyFont="1" applyFill="1" applyBorder="1" applyAlignment="1">
      <alignment horizontal="left" vertical="center"/>
    </xf>
    <xf numFmtId="164" fontId="17" fillId="10" borderId="40" xfId="0" applyNumberFormat="1" applyFont="1" applyFill="1" applyBorder="1" applyAlignment="1" applyProtection="1">
      <alignment horizontal="center" vertical="center"/>
      <protection locked="0"/>
    </xf>
    <xf numFmtId="164" fontId="17" fillId="10" borderId="2" xfId="0" applyNumberFormat="1" applyFont="1" applyFill="1" applyBorder="1" applyAlignment="1" applyProtection="1">
      <alignment horizontal="center" vertical="center"/>
      <protection locked="0"/>
    </xf>
    <xf numFmtId="2" fontId="2" fillId="19" borderId="6" xfId="0" quotePrefix="1" applyNumberFormat="1" applyFont="1" applyFill="1" applyBorder="1" applyAlignment="1">
      <alignment horizontal="center" vertical="center"/>
    </xf>
    <xf numFmtId="2" fontId="2" fillId="19" borderId="6" xfId="0" applyNumberFormat="1" applyFont="1" applyFill="1" applyBorder="1" applyAlignment="1">
      <alignment horizontal="center" vertical="center"/>
    </xf>
    <xf numFmtId="2" fontId="2" fillId="19" borderId="12" xfId="0" applyNumberFormat="1" applyFont="1" applyFill="1" applyBorder="1" applyAlignment="1">
      <alignment horizontal="center" vertical="center"/>
    </xf>
    <xf numFmtId="2" fontId="2" fillId="19" borderId="38" xfId="0" applyNumberFormat="1" applyFont="1" applyFill="1" applyBorder="1" applyAlignment="1">
      <alignment horizontal="center" vertical="center"/>
    </xf>
    <xf numFmtId="0" fontId="30" fillId="2" borderId="33" xfId="0" applyFont="1" applyFill="1" applyBorder="1" applyAlignment="1">
      <alignment horizontal="center" vertical="center"/>
    </xf>
    <xf numFmtId="0" fontId="30" fillId="2" borderId="31" xfId="0" applyFont="1" applyFill="1" applyBorder="1" applyAlignment="1">
      <alignment horizontal="center" vertical="center"/>
    </xf>
    <xf numFmtId="0" fontId="30" fillId="2" borderId="32" xfId="0" applyFont="1" applyFill="1" applyBorder="1" applyAlignment="1">
      <alignment horizontal="center" vertical="center"/>
    </xf>
    <xf numFmtId="164" fontId="17" fillId="2" borderId="41" xfId="0" quotePrefix="1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2" borderId="28" xfId="0" applyFont="1" applyFill="1" applyBorder="1" applyAlignment="1">
      <alignment horizontal="center" vertical="center"/>
    </xf>
    <xf numFmtId="0" fontId="30" fillId="2" borderId="13" xfId="0" applyFont="1" applyFill="1" applyBorder="1" applyAlignment="1">
      <alignment horizontal="center" vertical="center"/>
    </xf>
    <xf numFmtId="0" fontId="17" fillId="2" borderId="60" xfId="0" applyFont="1" applyFill="1" applyBorder="1" applyAlignment="1" applyProtection="1">
      <alignment horizontal="center" vertical="center"/>
      <protection locked="0"/>
    </xf>
    <xf numFmtId="0" fontId="17" fillId="2" borderId="17" xfId="0" applyFont="1" applyFill="1" applyBorder="1" applyAlignment="1" applyProtection="1">
      <alignment horizontal="center" vertical="center"/>
      <protection locked="0"/>
    </xf>
    <xf numFmtId="164" fontId="17" fillId="19" borderId="1" xfId="0" applyNumberFormat="1" applyFont="1" applyFill="1" applyBorder="1" applyAlignment="1">
      <alignment horizontal="center" vertical="center"/>
    </xf>
    <xf numFmtId="164" fontId="17" fillId="19" borderId="28" xfId="0" applyNumberFormat="1" applyFont="1" applyFill="1" applyBorder="1" applyAlignment="1">
      <alignment horizontal="center" vertical="center"/>
    </xf>
    <xf numFmtId="164" fontId="17" fillId="19" borderId="13" xfId="0" applyNumberFormat="1" applyFont="1" applyFill="1" applyBorder="1" applyAlignment="1">
      <alignment horizontal="center" vertical="center"/>
    </xf>
    <xf numFmtId="164" fontId="17" fillId="10" borderId="40" xfId="0" quotePrefix="1" applyNumberFormat="1" applyFont="1" applyFill="1" applyBorder="1" applyAlignment="1" applyProtection="1">
      <alignment horizontal="center" vertical="center"/>
      <protection locked="0"/>
    </xf>
    <xf numFmtId="1" fontId="17" fillId="0" borderId="2" xfId="0" applyNumberFormat="1" applyFont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48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59" xfId="0" applyFont="1" applyFill="1" applyBorder="1" applyAlignment="1">
      <alignment horizontal="center" vertical="center" wrapText="1"/>
    </xf>
    <xf numFmtId="0" fontId="2" fillId="2" borderId="43" xfId="0" applyFont="1" applyFill="1" applyBorder="1" applyAlignment="1">
      <alignment horizontal="center" vertical="center" wrapText="1"/>
    </xf>
    <xf numFmtId="0" fontId="2" fillId="2" borderId="4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2" fillId="11" borderId="74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1" borderId="7" xfId="0" applyFont="1" applyFill="1" applyBorder="1" applyAlignment="1">
      <alignment horizontal="center" vertical="center" wrapText="1"/>
    </xf>
    <xf numFmtId="0" fontId="2" fillId="11" borderId="75" xfId="0" applyFont="1" applyFill="1" applyBorder="1" applyAlignment="1">
      <alignment horizontal="center" vertical="center" wrapText="1"/>
    </xf>
    <xf numFmtId="0" fontId="2" fillId="11" borderId="39" xfId="0" applyFont="1" applyFill="1" applyBorder="1" applyAlignment="1">
      <alignment horizontal="center" vertical="center" wrapText="1"/>
    </xf>
    <xf numFmtId="0" fontId="2" fillId="11" borderId="69" xfId="0" applyFont="1" applyFill="1" applyBorder="1" applyAlignment="1">
      <alignment horizontal="center" vertical="center" wrapText="1"/>
    </xf>
    <xf numFmtId="0" fontId="2" fillId="2" borderId="58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2" fillId="10" borderId="73" xfId="0" applyFont="1" applyFill="1" applyBorder="1" applyAlignment="1">
      <alignment horizontal="center" vertical="center" wrapText="1"/>
    </xf>
    <xf numFmtId="0" fontId="2" fillId="10" borderId="74" xfId="0" applyFont="1" applyFill="1" applyBorder="1" applyAlignment="1">
      <alignment horizontal="center" vertical="center" wrapText="1"/>
    </xf>
    <xf numFmtId="0" fontId="2" fillId="10" borderId="4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10" borderId="68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Percent" xfId="2" builtinId="5"/>
  </cellStyles>
  <dxfs count="449"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ont>
        <color rgb="FF002060"/>
      </font>
      <numFmt numFmtId="1" formatCode="0"/>
      <fill>
        <patternFill>
          <bgColor rgb="FFFF8080"/>
        </patternFill>
      </fill>
    </dxf>
    <dxf>
      <font>
        <color rgb="FF002060"/>
      </font>
      <numFmt numFmtId="164" formatCode="0.0"/>
      <fill>
        <patternFill>
          <bgColor rgb="FFFF8080"/>
        </patternFill>
      </fill>
    </dxf>
    <dxf>
      <numFmt numFmtId="170" formatCode=";;;"/>
    </dxf>
    <dxf>
      <numFmt numFmtId="170" formatCode=";;;"/>
    </dxf>
    <dxf>
      <fill>
        <patternFill patternType="solid">
          <fgColor auto="1"/>
          <bgColor rgb="FFFFFF00"/>
        </patternFill>
      </fill>
    </dxf>
    <dxf>
      <fill>
        <patternFill>
          <bgColor rgb="FFFFFF66"/>
        </patternFill>
      </fill>
    </dxf>
    <dxf>
      <font>
        <color rgb="FF00206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  <vertical/>
        <horizontal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  <vertical/>
        <horizontal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  <vertical/>
        <horizontal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numFmt numFmtId="170" formatCode=";;;"/>
      <fill>
        <patternFill>
          <bgColor theme="0" tint="-0.24994659260841701"/>
        </patternFill>
      </fill>
      <border>
        <top/>
        <vertical/>
        <horizontal/>
      </border>
    </dxf>
    <dxf>
      <numFmt numFmtId="170" formatCode=";;;"/>
      <fill>
        <patternFill>
          <bgColor theme="0" tint="-0.24994659260841701"/>
        </patternFill>
      </fill>
      <border>
        <top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 patternType="solid"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14996795556505021"/>
        </patternFill>
      </fill>
      <border>
        <left/>
      </border>
    </dxf>
    <dxf>
      <border>
        <right style="thin">
          <color theme="0" tint="-0.14996795556505021"/>
        </right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  <border>
        <right/>
      </border>
    </dxf>
    <dxf>
      <fill>
        <patternFill>
          <bgColor theme="0" tint="-0.14996795556505021"/>
        </patternFill>
      </fill>
      <border>
        <left/>
        <right/>
        <vertical/>
        <horizontal/>
      </border>
    </dxf>
    <dxf>
      <fill>
        <patternFill>
          <bgColor theme="0" tint="-0.14996795556505021"/>
        </patternFill>
      </fill>
      <border>
        <left/>
      </border>
    </dxf>
    <dxf>
      <border>
        <right style="thin">
          <color theme="0" tint="-0.14996795556505021"/>
        </right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  <border>
        <right/>
      </border>
    </dxf>
    <dxf>
      <fill>
        <patternFill>
          <bgColor theme="0" tint="-0.14996795556505021"/>
        </patternFill>
      </fill>
      <border>
        <left/>
        <right/>
        <vertical/>
        <horizontal/>
      </border>
    </dxf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14996795556505021"/>
        </patternFill>
      </fill>
      <border>
        <left/>
      </border>
    </dxf>
    <dxf>
      <border>
        <right style="thin">
          <color theme="0" tint="-0.14996795556505021"/>
        </right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  <border>
        <right/>
      </border>
    </dxf>
    <dxf>
      <fill>
        <patternFill>
          <bgColor theme="0" tint="-0.14996795556505021"/>
        </patternFill>
      </fill>
      <border>
        <left/>
        <right/>
        <vertical/>
        <horizontal/>
      </border>
    </dxf>
    <dxf>
      <fill>
        <patternFill>
          <bgColor rgb="FFFFFF00"/>
        </patternFill>
      </fill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14996795556505021"/>
        </patternFill>
      </fill>
      <border>
        <top style="thin">
          <color theme="0" tint="-0.14996795556505021"/>
        </top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top style="thin">
          <color theme="0" tint="-0.14996795556505021"/>
        </top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theme="0" tint="-0.14996795556505021"/>
        </bottom>
        <vertical/>
        <horizontal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0" formatCode=";;;"/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70" formatCode=";;;"/>
      <fill>
        <patternFill>
          <bgColor theme="0" tint="-0.14996795556505021"/>
        </patternFill>
      </fill>
    </dxf>
    <dxf>
      <border>
        <right style="thin">
          <color theme="0" tint="-0.14996795556505021"/>
        </right>
        <vertical/>
        <horizontal/>
      </border>
    </dxf>
    <dxf>
      <fill>
        <patternFill>
          <bgColor rgb="FFFFFF00"/>
        </patternFill>
      </fill>
    </dxf>
    <dxf>
      <border>
        <bottom style="thin">
          <color theme="0" tint="-0.14996795556505021"/>
        </bottom>
        <vertical/>
        <horizontal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bottom style="thin">
          <color theme="0" tint="-0.14996795556505021"/>
        </bottom>
        <vertical/>
        <horizontal/>
      </border>
    </dxf>
    <dxf>
      <border>
        <right style="thin">
          <color theme="0" tint="-0.14996795556505021"/>
        </right>
        <vertical/>
        <horizontal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  <border>
        <left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strike val="0"/>
      </font>
      <fill>
        <patternFill>
          <bgColor rgb="FF92D050"/>
        </patternFill>
      </fill>
    </dxf>
    <dxf>
      <numFmt numFmtId="170" formatCode=";;;"/>
      <fill>
        <patternFill>
          <bgColor theme="0" tint="-0.24994659260841701"/>
        </patternFill>
      </fill>
    </dxf>
    <dxf>
      <border>
        <right style="thin">
          <color theme="0" tint="-0.14996795556505021"/>
        </right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border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top style="thin">
          <color theme="0" tint="-0.14996795556505021"/>
        </top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top style="thin">
          <color theme="0" tint="-0.14996795556505021"/>
        </top>
        <vertical/>
        <horizontal/>
      </border>
    </dxf>
    <dxf>
      <numFmt numFmtId="170" formatCode=";;;"/>
      <fill>
        <patternFill>
          <bgColor theme="0" tint="-0.14996795556505021"/>
        </patternFill>
      </fill>
      <border>
        <bottom style="thin">
          <color theme="0" tint="-0.14996795556505021"/>
        </bottom>
        <vertical/>
        <horizontal/>
      </border>
    </dxf>
    <dxf>
      <border>
        <right style="thin">
          <color theme="0" tint="-0.14996795556505021"/>
        </right>
        <vertical/>
        <horizontal/>
      </border>
    </dxf>
    <dxf>
      <border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numFmt numFmtId="170" formatCode=";;;"/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  <border>
        <right/>
      </border>
    </dxf>
    <dxf>
      <fill>
        <patternFill>
          <bgColor theme="0" tint="-0.14996795556505021"/>
        </patternFill>
      </fill>
      <border>
        <left/>
        <right/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5D9F1"/>
      <color rgb="FFBF9FFF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190500</xdr:rowOff>
    </xdr:from>
    <xdr:to>
      <xdr:col>1</xdr:col>
      <xdr:colOff>1749979</xdr:colOff>
      <xdr:row>3</xdr:row>
      <xdr:rowOff>256762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9550" y="190500"/>
          <a:ext cx="2810429" cy="10822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90488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D4A9F0F2-0BE6-499D-BE63-8FECE3470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4987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161925</xdr:colOff>
      <xdr:row>21</xdr:row>
      <xdr:rowOff>20210</xdr:rowOff>
    </xdr:from>
    <xdr:to>
      <xdr:col>69</xdr:col>
      <xdr:colOff>108506</xdr:colOff>
      <xdr:row>33</xdr:row>
      <xdr:rowOff>144837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D7BAC2C-9BF9-4789-8AA2-BAF97680709E}"/>
            </a:ext>
          </a:extLst>
        </xdr:cNvPr>
        <xdr:cNvGrpSpPr/>
      </xdr:nvGrpSpPr>
      <xdr:grpSpPr>
        <a:xfrm>
          <a:off x="9934575" y="3249185"/>
          <a:ext cx="2661206" cy="1972477"/>
          <a:chOff x="11189641" y="7141465"/>
          <a:chExt cx="3098446" cy="2541753"/>
        </a:xfrm>
      </xdr:grpSpPr>
      <xdr:grpSp>
        <xdr:nvGrpSpPr>
          <xdr:cNvPr id="3" name="Group 104">
            <a:extLst>
              <a:ext uri="{FF2B5EF4-FFF2-40B4-BE49-F238E27FC236}">
                <a16:creationId xmlns:a16="http://schemas.microsoft.com/office/drawing/2014/main" id="{6A0ED7DA-AA46-2180-41BA-39B1470A07BE}"/>
              </a:ext>
            </a:extLst>
          </xdr:cNvPr>
          <xdr:cNvGrpSpPr>
            <a:grpSpLocks/>
          </xdr:cNvGrpSpPr>
        </xdr:nvGrpSpPr>
        <xdr:grpSpPr bwMode="auto">
          <a:xfrm>
            <a:off x="12291520" y="8111593"/>
            <a:ext cx="1045123" cy="1571625"/>
            <a:chOff x="6162675" y="8010525"/>
            <a:chExt cx="1047750" cy="1571625"/>
          </a:xfrm>
        </xdr:grpSpPr>
        <xdr:sp macro="" textlink="">
          <xdr:nvSpPr>
            <xdr:cNvPr id="28" name="Oval 94">
              <a:extLst>
                <a:ext uri="{FF2B5EF4-FFF2-40B4-BE49-F238E27FC236}">
                  <a16:creationId xmlns:a16="http://schemas.microsoft.com/office/drawing/2014/main" id="{5C1F689B-7A9C-9D95-A08C-4ACEF766463D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296025" y="9210675"/>
              <a:ext cx="381000" cy="371475"/>
            </a:xfrm>
            <a:prstGeom prst="ellipse">
              <a:avLst/>
            </a:prstGeom>
            <a:solidFill>
              <a:srgbClr val="7F7F7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Oval 91">
              <a:extLst>
                <a:ext uri="{FF2B5EF4-FFF2-40B4-BE49-F238E27FC236}">
                  <a16:creationId xmlns:a16="http://schemas.microsoft.com/office/drawing/2014/main" id="{BF26DDC3-8276-5C86-5200-9855243A4F2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00800" y="9296400"/>
              <a:ext cx="190500" cy="209550"/>
            </a:xfrm>
            <a:prstGeom prst="ellipse">
              <a:avLst/>
            </a:prstGeom>
            <a:solidFill>
              <a:srgbClr val="BFBFBF"/>
            </a:solidFill>
            <a:ln w="1587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Oval 92">
              <a:extLst>
                <a:ext uri="{FF2B5EF4-FFF2-40B4-BE49-F238E27FC236}">
                  <a16:creationId xmlns:a16="http://schemas.microsoft.com/office/drawing/2014/main" id="{BA8E9A45-169D-DE0E-0F45-6591D7E6751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57950" y="9363075"/>
              <a:ext cx="76200" cy="76200"/>
            </a:xfrm>
            <a:prstGeom prst="ellips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Oval 38">
              <a:extLst>
                <a:ext uri="{FF2B5EF4-FFF2-40B4-BE49-F238E27FC236}">
                  <a16:creationId xmlns:a16="http://schemas.microsoft.com/office/drawing/2014/main" id="{5BB09C17-8C7E-11D9-3209-03E47D83D5C3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62675" y="8258175"/>
              <a:ext cx="1047750" cy="952500"/>
            </a:xfrm>
            <a:prstGeom prst="ellipse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9">
              <a:extLst>
                <a:ext uri="{FF2B5EF4-FFF2-40B4-BE49-F238E27FC236}">
                  <a16:creationId xmlns:a16="http://schemas.microsoft.com/office/drawing/2014/main" id="{C5EFC849-0862-7953-F650-5EDCFB7DC3A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00825" y="8010525"/>
              <a:ext cx="609600" cy="790575"/>
            </a:xfrm>
            <a:prstGeom prst="rect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3" name="Oval 41">
              <a:extLst>
                <a:ext uri="{FF2B5EF4-FFF2-40B4-BE49-F238E27FC236}">
                  <a16:creationId xmlns:a16="http://schemas.microsoft.com/office/drawing/2014/main" id="{5ABB85E0-55A4-2BC3-780F-45D2FFACC36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91275" y="8486775"/>
              <a:ext cx="571500" cy="504825"/>
            </a:xfrm>
            <a:prstGeom prst="ellipse">
              <a:avLst/>
            </a:prstGeom>
            <a:solidFill>
              <a:srgbClr val="D9D9D9"/>
            </a:solidFill>
            <a:ln w="9525" algn="ctr">
              <a:solidFill>
                <a:srgbClr val="C0504D"/>
              </a:solidFill>
              <a:round/>
              <a:headEnd/>
              <a:tailEnd/>
            </a:ln>
          </xdr:spPr>
        </xdr:sp>
        <xdr:grpSp>
          <xdr:nvGrpSpPr>
            <xdr:cNvPr id="34" name="Group 89">
              <a:extLst>
                <a:ext uri="{FF2B5EF4-FFF2-40B4-BE49-F238E27FC236}">
                  <a16:creationId xmlns:a16="http://schemas.microsoft.com/office/drawing/2014/main" id="{977D3D2D-4330-4ABB-CE40-40415585FAFB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3675" y="8610600"/>
              <a:ext cx="266700" cy="266700"/>
              <a:chOff x="7553325" y="7058025"/>
              <a:chExt cx="266700" cy="266700"/>
            </a:xfrm>
          </xdr:grpSpPr>
          <xdr:sp macro="" textlink="">
            <xdr:nvSpPr>
              <xdr:cNvPr id="45" name="Oval 87">
                <a:extLst>
                  <a:ext uri="{FF2B5EF4-FFF2-40B4-BE49-F238E27FC236}">
                    <a16:creationId xmlns:a16="http://schemas.microsoft.com/office/drawing/2014/main" id="{7C73B6EA-BE29-051B-7F71-067C6CDD3B72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553325" y="7058025"/>
                <a:ext cx="266700" cy="266700"/>
              </a:xfrm>
              <a:prstGeom prst="ellipse">
                <a:avLst/>
              </a:prstGeom>
              <a:grpFill/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46" name="Oval 88">
                <a:extLst>
                  <a:ext uri="{FF2B5EF4-FFF2-40B4-BE49-F238E27FC236}">
                    <a16:creationId xmlns:a16="http://schemas.microsoft.com/office/drawing/2014/main" id="{5631DB3F-F902-2329-F52F-D99F121FA43B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639050" y="7143750"/>
                <a:ext cx="95250" cy="95250"/>
              </a:xfrm>
              <a:prstGeom prst="ellipse">
                <a:avLst/>
              </a:prstGeom>
              <a:solidFill>
                <a:srgbClr val="000000"/>
              </a:solidFill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cxnSp macro="">
          <xdr:nvCxnSpPr>
            <xdr:cNvPr id="35" name="Straight Connector 100">
              <a:extLst>
                <a:ext uri="{FF2B5EF4-FFF2-40B4-BE49-F238E27FC236}">
                  <a16:creationId xmlns:a16="http://schemas.microsoft.com/office/drawing/2014/main" id="{118AB5ED-3F8C-D33E-E826-E66A0B0C570D}"/>
                </a:ext>
              </a:extLst>
            </xdr:cNvPr>
            <xdr:cNvCxnSpPr>
              <a:cxnSpLocks noChangeShapeType="1"/>
              <a:stCxn id="45" idx="2"/>
              <a:endCxn id="29" idx="2"/>
            </xdr:cNvCxnSpPr>
          </xdr:nvCxnSpPr>
          <xdr:spPr bwMode="auto">
            <a:xfrm rot="10800000" flipV="1">
              <a:off x="6400800" y="8743950"/>
              <a:ext cx="142875" cy="65722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6" name="Straight Connector 103">
              <a:extLst>
                <a:ext uri="{FF2B5EF4-FFF2-40B4-BE49-F238E27FC236}">
                  <a16:creationId xmlns:a16="http://schemas.microsoft.com/office/drawing/2014/main" id="{0A42FA0B-A9A7-62D0-B11F-A38CF8813036}"/>
                </a:ext>
              </a:extLst>
            </xdr:cNvPr>
            <xdr:cNvCxnSpPr>
              <a:cxnSpLocks noChangeShapeType="1"/>
              <a:stCxn id="45" idx="5"/>
              <a:endCxn id="29" idx="6"/>
            </xdr:cNvCxnSpPr>
          </xdr:nvCxnSpPr>
          <xdr:spPr bwMode="auto">
            <a:xfrm rot="5400000">
              <a:off x="6400800" y="9029700"/>
              <a:ext cx="561975" cy="18097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7" name="Straight Connector 88">
              <a:extLst>
                <a:ext uri="{FF2B5EF4-FFF2-40B4-BE49-F238E27FC236}">
                  <a16:creationId xmlns:a16="http://schemas.microsoft.com/office/drawing/2014/main" id="{69CE349E-7BD6-44F8-2EB5-D40207C720DB}"/>
                </a:ext>
              </a:extLst>
            </xdr:cNvPr>
            <xdr:cNvCxnSpPr>
              <a:cxnSpLocks noChangeShapeType="1"/>
              <a:stCxn id="33" idx="6"/>
              <a:endCxn id="45" idx="5"/>
            </xdr:cNvCxnSpPr>
          </xdr:nvCxnSpPr>
          <xdr:spPr bwMode="auto">
            <a:xfrm flipH="1">
              <a:off x="6772275" y="874395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8" name="Straight Connector 95">
              <a:extLst>
                <a:ext uri="{FF2B5EF4-FFF2-40B4-BE49-F238E27FC236}">
                  <a16:creationId xmlns:a16="http://schemas.microsoft.com/office/drawing/2014/main" id="{F3222B36-CFFF-8BE0-8BF2-542A1868C817}"/>
                </a:ext>
              </a:extLst>
            </xdr:cNvPr>
            <xdr:cNvCxnSpPr>
              <a:cxnSpLocks noChangeShapeType="1"/>
              <a:stCxn id="33" idx="0"/>
              <a:endCxn id="45" idx="7"/>
            </xdr:cNvCxnSpPr>
          </xdr:nvCxnSpPr>
          <xdr:spPr bwMode="auto">
            <a:xfrm rot="16200000" flipH="1">
              <a:off x="6643687" y="8520113"/>
              <a:ext cx="161925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9" name="Straight Connector 98">
              <a:extLst>
                <a:ext uri="{FF2B5EF4-FFF2-40B4-BE49-F238E27FC236}">
                  <a16:creationId xmlns:a16="http://schemas.microsoft.com/office/drawing/2014/main" id="{81359F6F-5A08-DC12-9D5D-737C71295357}"/>
                </a:ext>
              </a:extLst>
            </xdr:cNvPr>
            <xdr:cNvCxnSpPr>
              <a:cxnSpLocks noChangeShapeType="1"/>
              <a:stCxn id="33" idx="2"/>
              <a:endCxn id="45" idx="1"/>
            </xdr:cNvCxnSpPr>
          </xdr:nvCxnSpPr>
          <xdr:spPr bwMode="auto">
            <a:xfrm rot="10800000" flipH="1">
              <a:off x="6391275" y="864870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0" name="Straight Connector 101">
              <a:extLst>
                <a:ext uri="{FF2B5EF4-FFF2-40B4-BE49-F238E27FC236}">
                  <a16:creationId xmlns:a16="http://schemas.microsoft.com/office/drawing/2014/main" id="{1DEB75B7-C07A-E9C3-B3FC-B3115AB31330}"/>
                </a:ext>
              </a:extLst>
            </xdr:cNvPr>
            <xdr:cNvCxnSpPr>
              <a:cxnSpLocks noChangeShapeType="1"/>
              <a:stCxn id="33" idx="4"/>
              <a:endCxn id="45" idx="3"/>
            </xdr:cNvCxnSpPr>
          </xdr:nvCxnSpPr>
          <xdr:spPr bwMode="auto">
            <a:xfrm rot="5400000" flipH="1">
              <a:off x="6553200" y="8867775"/>
              <a:ext cx="1524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1" name="Straight Connector 105">
              <a:extLst>
                <a:ext uri="{FF2B5EF4-FFF2-40B4-BE49-F238E27FC236}">
                  <a16:creationId xmlns:a16="http://schemas.microsoft.com/office/drawing/2014/main" id="{F10916A9-6C1F-A839-D4FB-47FB8750BECE}"/>
                </a:ext>
              </a:extLst>
            </xdr:cNvPr>
            <xdr:cNvCxnSpPr>
              <a:cxnSpLocks noChangeShapeType="1"/>
              <a:stCxn id="33" idx="7"/>
              <a:endCxn id="45" idx="6"/>
            </xdr:cNvCxnSpPr>
          </xdr:nvCxnSpPr>
          <xdr:spPr bwMode="auto">
            <a:xfrm rot="-5400000" flipH="1" flipV="1">
              <a:off x="6753225" y="8620125"/>
              <a:ext cx="180975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2" name="Straight Connector 108">
              <a:extLst>
                <a:ext uri="{FF2B5EF4-FFF2-40B4-BE49-F238E27FC236}">
                  <a16:creationId xmlns:a16="http://schemas.microsoft.com/office/drawing/2014/main" id="{4F68D2AF-DBF2-FD13-41AC-BDAEDF1C4F40}"/>
                </a:ext>
              </a:extLst>
            </xdr:cNvPr>
            <xdr:cNvCxnSpPr>
              <a:cxnSpLocks noChangeShapeType="1"/>
              <a:stCxn id="33" idx="1"/>
              <a:endCxn id="45" idx="0"/>
            </xdr:cNvCxnSpPr>
          </xdr:nvCxnSpPr>
          <xdr:spPr bwMode="auto">
            <a:xfrm rot="16200000" flipH="1">
              <a:off x="6553200" y="8486775"/>
              <a:ext cx="47625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3" name="Straight Connector 111">
              <a:extLst>
                <a:ext uri="{FF2B5EF4-FFF2-40B4-BE49-F238E27FC236}">
                  <a16:creationId xmlns:a16="http://schemas.microsoft.com/office/drawing/2014/main" id="{67926F7A-0A6D-64C0-AA60-7FB2ED621839}"/>
                </a:ext>
              </a:extLst>
            </xdr:cNvPr>
            <xdr:cNvCxnSpPr>
              <a:cxnSpLocks noChangeShapeType="1"/>
              <a:stCxn id="33" idx="3"/>
              <a:endCxn id="45" idx="2"/>
            </xdr:cNvCxnSpPr>
          </xdr:nvCxnSpPr>
          <xdr:spPr bwMode="auto">
            <a:xfrm rot="5400000" flipH="1" flipV="1">
              <a:off x="6424613" y="8796337"/>
              <a:ext cx="171450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4" name="Straight Connector 114">
              <a:extLst>
                <a:ext uri="{FF2B5EF4-FFF2-40B4-BE49-F238E27FC236}">
                  <a16:creationId xmlns:a16="http://schemas.microsoft.com/office/drawing/2014/main" id="{9E345A73-30E8-2F2E-69FB-50B02E7CB1CF}"/>
                </a:ext>
              </a:extLst>
            </xdr:cNvPr>
            <xdr:cNvCxnSpPr>
              <a:cxnSpLocks noChangeShapeType="1"/>
              <a:stCxn id="33" idx="5"/>
              <a:endCxn id="45" idx="4"/>
            </xdr:cNvCxnSpPr>
          </xdr:nvCxnSpPr>
          <xdr:spPr bwMode="auto">
            <a:xfrm rot="5400000" flipH="1">
              <a:off x="6757988" y="8796337"/>
              <a:ext cx="38100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grpSp>
        <xdr:nvGrpSpPr>
          <xdr:cNvPr id="4" name="Group 126">
            <a:extLst>
              <a:ext uri="{FF2B5EF4-FFF2-40B4-BE49-F238E27FC236}">
                <a16:creationId xmlns:a16="http://schemas.microsoft.com/office/drawing/2014/main" id="{61C29B56-3B01-0CC8-70F4-7CCED7904C5C}"/>
              </a:ext>
            </a:extLst>
          </xdr:cNvPr>
          <xdr:cNvGrpSpPr>
            <a:grpSpLocks/>
          </xdr:cNvGrpSpPr>
        </xdr:nvGrpSpPr>
        <xdr:grpSpPr bwMode="auto">
          <a:xfrm rot="10800000" flipH="1">
            <a:off x="12457467" y="7141465"/>
            <a:ext cx="868089" cy="753167"/>
            <a:chOff x="5924550" y="8229600"/>
            <a:chExt cx="1200150" cy="1266825"/>
          </a:xfrm>
        </xdr:grpSpPr>
        <xdr:grpSp>
          <xdr:nvGrpSpPr>
            <xdr:cNvPr id="11" name="Group 48">
              <a:extLst>
                <a:ext uri="{FF2B5EF4-FFF2-40B4-BE49-F238E27FC236}">
                  <a16:creationId xmlns:a16="http://schemas.microsoft.com/office/drawing/2014/main" id="{7C2DA43E-D9CC-77BF-2A7E-880E7E66E1BA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4408" y="8229600"/>
              <a:ext cx="580292" cy="914038"/>
              <a:chOff x="1012" y="923"/>
              <a:chExt cx="61" cy="96"/>
            </a:xfrm>
            <a:solidFill>
              <a:schemeClr val="tx2">
                <a:lumMod val="40000"/>
                <a:lumOff val="60000"/>
              </a:schemeClr>
            </a:solidFill>
          </xdr:grpSpPr>
          <xdr:grpSp>
            <xdr:nvGrpSpPr>
              <xdr:cNvPr id="20" name="Group 49">
                <a:extLst>
                  <a:ext uri="{FF2B5EF4-FFF2-40B4-BE49-F238E27FC236}">
                    <a16:creationId xmlns:a16="http://schemas.microsoft.com/office/drawing/2014/main" id="{76E3758A-F27C-7B0A-5A3B-FF8D64EFCAE4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12" y="923"/>
                <a:ext cx="61" cy="96"/>
                <a:chOff x="1073" y="936"/>
                <a:chExt cx="61" cy="96"/>
              </a:xfrm>
              <a:grpFill/>
            </xdr:grpSpPr>
            <xdr:sp macro="" textlink="">
              <xdr:nvSpPr>
                <xdr:cNvPr id="26" name="Rectangle 50">
                  <a:extLst>
                    <a:ext uri="{FF2B5EF4-FFF2-40B4-BE49-F238E27FC236}">
                      <a16:creationId xmlns:a16="http://schemas.microsoft.com/office/drawing/2014/main" id="{6D6B919F-A589-16BB-A498-CC5414FBE23A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090" y="936"/>
                  <a:ext cx="44" cy="96"/>
                </a:xfrm>
                <a:prstGeom prst="rect">
                  <a:avLst/>
                </a:prstGeom>
                <a:grp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  <xdr:sp macro="" textlink="">
              <xdr:nvSpPr>
                <xdr:cNvPr id="27" name="AutoShape 51">
                  <a:extLst>
                    <a:ext uri="{FF2B5EF4-FFF2-40B4-BE49-F238E27FC236}">
                      <a16:creationId xmlns:a16="http://schemas.microsoft.com/office/drawing/2014/main" id="{ADF2F3B8-E639-9FD1-9671-C99160990A4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3" y="936"/>
                  <a:ext cx="17" cy="96"/>
                </a:xfrm>
                <a:prstGeom prst="leftBracket">
                  <a:avLst>
                    <a:gd name="adj" fmla="val 47059"/>
                  </a:avLst>
                </a:prstGeom>
                <a:grp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</xdr:grpSp>
          <xdr:sp macro="" textlink="">
            <xdr:nvSpPr>
              <xdr:cNvPr id="21" name="Line 52">
                <a:extLst>
                  <a:ext uri="{FF2B5EF4-FFF2-40B4-BE49-F238E27FC236}">
                    <a16:creationId xmlns:a16="http://schemas.microsoft.com/office/drawing/2014/main" id="{CC77A3E4-F023-6FA8-64F9-808436F2E4CE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36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2" name="Line 53">
                <a:extLst>
                  <a:ext uri="{FF2B5EF4-FFF2-40B4-BE49-F238E27FC236}">
                    <a16:creationId xmlns:a16="http://schemas.microsoft.com/office/drawing/2014/main" id="{74062962-11CA-EA83-4E13-16D3DFC0FBC1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55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3" name="Line 54">
                <a:extLst>
                  <a:ext uri="{FF2B5EF4-FFF2-40B4-BE49-F238E27FC236}">
                    <a16:creationId xmlns:a16="http://schemas.microsoft.com/office/drawing/2014/main" id="{52F84A84-4E6B-1F22-4E3C-0F1879AACC05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72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4" name="Line 55">
                <a:extLst>
                  <a:ext uri="{FF2B5EF4-FFF2-40B4-BE49-F238E27FC236}">
                    <a16:creationId xmlns:a16="http://schemas.microsoft.com/office/drawing/2014/main" id="{F2BA3104-7064-6E39-C7E4-6D0F5ABD2CC5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89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5" name="Line 56">
                <a:extLst>
                  <a:ext uri="{FF2B5EF4-FFF2-40B4-BE49-F238E27FC236}">
                    <a16:creationId xmlns:a16="http://schemas.microsoft.com/office/drawing/2014/main" id="{9385FE39-4D14-B765-3BDA-7959A365BD1D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1004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</xdr:grpSp>
        <xdr:sp macro="" textlink="">
          <xdr:nvSpPr>
            <xdr:cNvPr id="12" name="Rounded Rectangle 128">
              <a:extLst>
                <a:ext uri="{FF2B5EF4-FFF2-40B4-BE49-F238E27FC236}">
                  <a16:creationId xmlns:a16="http://schemas.microsoft.com/office/drawing/2014/main" id="{5D909A69-E091-5A45-7767-632708C949D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24550" y="9124950"/>
              <a:ext cx="352425" cy="342900"/>
            </a:xfrm>
            <a:prstGeom prst="roundRect">
              <a:avLst>
                <a:gd name="adj" fmla="val 16667"/>
              </a:avLst>
            </a:prstGeom>
            <a:solidFill>
              <a:srgbClr val="FFFF99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" name="Group 89">
              <a:extLst>
                <a:ext uri="{FF2B5EF4-FFF2-40B4-BE49-F238E27FC236}">
                  <a16:creationId xmlns:a16="http://schemas.microsoft.com/office/drawing/2014/main" id="{15E5CAE1-825A-4049-BFD4-766CFE396EC8}"/>
                </a:ext>
              </a:extLst>
            </xdr:cNvPr>
            <xdr:cNvGrpSpPr/>
          </xdr:nvGrpSpPr>
          <xdr:grpSpPr>
            <a:xfrm>
              <a:off x="6254262" y="9063459"/>
              <a:ext cx="171450" cy="432966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8" name="Rectangle 17">
                <a:extLst>
                  <a:ext uri="{FF2B5EF4-FFF2-40B4-BE49-F238E27FC236}">
                    <a16:creationId xmlns:a16="http://schemas.microsoft.com/office/drawing/2014/main" id="{9CCCB2DA-8D7E-889D-92EF-0AF5C8DF2CC7}"/>
                  </a:ext>
                </a:extLst>
              </xdr:cNvPr>
              <xdr:cNvSpPr/>
            </xdr:nvSpPr>
            <xdr:spPr bwMode="auto">
              <a:xfrm>
                <a:off x="8991600" y="9137650"/>
                <a:ext cx="99646" cy="7937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9" name="Rectangle 18">
                <a:extLst>
                  <a:ext uri="{FF2B5EF4-FFF2-40B4-BE49-F238E27FC236}">
                    <a16:creationId xmlns:a16="http://schemas.microsoft.com/office/drawing/2014/main" id="{7C742E84-28A7-3977-D4A4-A022E3A62415}"/>
                  </a:ext>
                </a:extLst>
              </xdr:cNvPr>
              <xdr:cNvSpPr/>
            </xdr:nvSpPr>
            <xdr:spPr bwMode="auto">
              <a:xfrm>
                <a:off x="9091246" y="8963025"/>
                <a:ext cx="62279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grpSp>
          <xdr:nvGrpSpPr>
            <xdr:cNvPr id="14" name="Group 90">
              <a:extLst>
                <a:ext uri="{FF2B5EF4-FFF2-40B4-BE49-F238E27FC236}">
                  <a16:creationId xmlns:a16="http://schemas.microsoft.com/office/drawing/2014/main" id="{FFC4B66E-A0E3-6CD2-C9BA-DB939E8FC4C1}"/>
                </a:ext>
              </a:extLst>
            </xdr:cNvPr>
            <xdr:cNvGrpSpPr/>
          </xdr:nvGrpSpPr>
          <xdr:grpSpPr>
            <a:xfrm flipH="1">
              <a:off x="6359769" y="8502208"/>
              <a:ext cx="184638" cy="416930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153EDEFB-6C5F-C0F5-D074-63CBB7B426FD}"/>
                  </a:ext>
                </a:extLst>
              </xdr:cNvPr>
              <xdr:cNvSpPr/>
            </xdr:nvSpPr>
            <xdr:spPr bwMode="auto">
              <a:xfrm>
                <a:off x="8991599" y="9127881"/>
                <a:ext cx="104095" cy="82428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C25D41C0-0AA0-29AD-FC93-64F8487373D1}"/>
                  </a:ext>
                </a:extLst>
              </xdr:cNvPr>
              <xdr:cNvSpPr/>
            </xdr:nvSpPr>
            <xdr:spPr bwMode="auto">
              <a:xfrm>
                <a:off x="9095693" y="8963025"/>
                <a:ext cx="57830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cxnSp macro="">
          <xdr:nvCxnSpPr>
            <xdr:cNvPr id="15" name="Straight Connector 131">
              <a:extLst>
                <a:ext uri="{FF2B5EF4-FFF2-40B4-BE49-F238E27FC236}">
                  <a16:creationId xmlns:a16="http://schemas.microsoft.com/office/drawing/2014/main" id="{9DDED602-9837-9F8B-A41C-F48F84C95053}"/>
                </a:ext>
              </a:extLst>
            </xdr:cNvPr>
            <xdr:cNvCxnSpPr>
              <a:cxnSpLocks noChangeShapeType="1"/>
              <a:stCxn id="17" idx="0"/>
              <a:endCxn id="19" idx="2"/>
            </xdr:cNvCxnSpPr>
          </xdr:nvCxnSpPr>
          <xdr:spPr bwMode="auto">
            <a:xfrm rot="-5400000" flipH="1" flipV="1">
              <a:off x="5892893" y="8994681"/>
              <a:ext cx="1000125" cy="3361"/>
            </a:xfrm>
            <a:prstGeom prst="line">
              <a:avLst/>
            </a:prstGeom>
            <a:noFill/>
            <a:ln w="31750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cxnSp macro="">
        <xdr:nvCxnSpPr>
          <xdr:cNvPr id="5" name="Straight Connector 153">
            <a:extLst>
              <a:ext uri="{FF2B5EF4-FFF2-40B4-BE49-F238E27FC236}">
                <a16:creationId xmlns:a16="http://schemas.microsoft.com/office/drawing/2014/main" id="{6C6C23B3-7E79-AD57-1ECC-0DD7C385D9CA}"/>
              </a:ext>
            </a:extLst>
          </xdr:cNvPr>
          <xdr:cNvCxnSpPr>
            <a:cxnSpLocks noChangeShapeType="1"/>
            <a:stCxn id="19" idx="2"/>
            <a:endCxn id="46" idx="0"/>
          </xdr:cNvCxnSpPr>
        </xdr:nvCxnSpPr>
        <xdr:spPr bwMode="auto">
          <a:xfrm>
            <a:off x="12796613" y="7141465"/>
            <a:ext cx="8381" cy="165584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6" name="Curved Left Arrow 6">
            <a:extLst>
              <a:ext uri="{FF2B5EF4-FFF2-40B4-BE49-F238E27FC236}">
                <a16:creationId xmlns:a16="http://schemas.microsoft.com/office/drawing/2014/main" id="{7D6CBB35-B28A-804E-03B1-56193E76B483}"/>
              </a:ext>
            </a:extLst>
          </xdr:cNvPr>
          <xdr:cNvSpPr/>
        </xdr:nvSpPr>
        <xdr:spPr bwMode="auto">
          <a:xfrm flipV="1">
            <a:off x="12993414" y="8438125"/>
            <a:ext cx="256190" cy="727007"/>
          </a:xfrm>
          <a:prstGeom prst="curved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sp macro="" textlink="">
        <xdr:nvSpPr>
          <xdr:cNvPr id="7" name="Left Arrow 7">
            <a:extLst>
              <a:ext uri="{FF2B5EF4-FFF2-40B4-BE49-F238E27FC236}">
                <a16:creationId xmlns:a16="http://schemas.microsoft.com/office/drawing/2014/main" id="{FD2E9058-8A90-EC13-885F-3CE58B013737}"/>
              </a:ext>
            </a:extLst>
          </xdr:cNvPr>
          <xdr:cNvSpPr/>
        </xdr:nvSpPr>
        <xdr:spPr bwMode="auto">
          <a:xfrm>
            <a:off x="13367845" y="8785069"/>
            <a:ext cx="307048" cy="113573"/>
          </a:xfrm>
          <a:prstGeom prst="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pic>
        <xdr:nvPicPr>
          <xdr:cNvPr id="8" name="Picture 7" descr="C:\Users\Joseph Campos\AppData\Local\Microsoft\Windows\Temporary Internet Files\Content.IE5\KOY32B7X\eye-side[1].png">
            <a:extLst>
              <a:ext uri="{FF2B5EF4-FFF2-40B4-BE49-F238E27FC236}">
                <a16:creationId xmlns:a16="http://schemas.microsoft.com/office/drawing/2014/main" id="{A2E7C18E-E76D-CAA8-2DE1-04B0E368D5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1947199" y="7370567"/>
            <a:ext cx="328882" cy="537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BF753DAE-B61E-7650-327A-1E284C64C27F}"/>
              </a:ext>
            </a:extLst>
          </xdr:cNvPr>
          <xdr:cNvSpPr txBox="1"/>
        </xdr:nvSpPr>
        <xdr:spPr>
          <a:xfrm>
            <a:off x="11189641" y="7498379"/>
            <a:ext cx="895600" cy="3017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LOOKING</a:t>
            </a:r>
          </a:p>
          <a:p>
            <a:endParaRPr 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8E188B59-89C9-3894-38C5-4AD1305D16BC}"/>
              </a:ext>
            </a:extLst>
          </xdr:cNvPr>
          <xdr:cNvSpPr txBox="1"/>
        </xdr:nvSpPr>
        <xdr:spPr>
          <a:xfrm>
            <a:off x="13705489" y="8729405"/>
            <a:ext cx="582598" cy="2295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CCW</a:t>
            </a:r>
          </a:p>
          <a:p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47" name="logo">
          <a:extLst>
            <a:ext uri="{FF2B5EF4-FFF2-40B4-BE49-F238E27FC236}">
              <a16:creationId xmlns:a16="http://schemas.microsoft.com/office/drawing/2014/main" id="{372C944B-E41F-42F8-895B-AFB1CFA76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35F7838A-4253-4861-8737-E83A75A82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C667D2AC-F74D-461A-9CA2-0466AC533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9232B5D5-034F-4B51-B143-1F5F1CC70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90488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DA404AB3-0499-4F78-8FDC-03C397D56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050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4E94C421-C851-4645-A21A-07A8A1E46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EEEDFF92-99FF-4611-9A53-8B50893A9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EE92B77A-0C66-4AB5-A366-5467081BE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  <xdr:twoCellAnchor editAs="oneCell">
    <xdr:from>
      <xdr:col>64</xdr:col>
      <xdr:colOff>129540</xdr:colOff>
      <xdr:row>27</xdr:row>
      <xdr:rowOff>22860</xdr:rowOff>
    </xdr:from>
    <xdr:to>
      <xdr:col>78</xdr:col>
      <xdr:colOff>28086</xdr:colOff>
      <xdr:row>33</xdr:row>
      <xdr:rowOff>4219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840B4A7-251D-4862-A1B8-DA25B936A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21540" y="4163060"/>
          <a:ext cx="2565546" cy="9021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D4A1FEA-41AA-4774-86A8-ECA940F5E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25323</xdr:colOff>
      <xdr:row>16</xdr:row>
      <xdr:rowOff>113489</xdr:rowOff>
    </xdr:from>
    <xdr:to>
      <xdr:col>46</xdr:col>
      <xdr:colOff>158808</xdr:colOff>
      <xdr:row>30</xdr:row>
      <xdr:rowOff>7723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7670FC5-80B8-4998-9500-F660AD82FC68}"/>
            </a:ext>
          </a:extLst>
        </xdr:cNvPr>
        <xdr:cNvGrpSpPr/>
      </xdr:nvGrpSpPr>
      <xdr:grpSpPr>
        <a:xfrm>
          <a:off x="5997498" y="2551889"/>
          <a:ext cx="2486160" cy="2027834"/>
          <a:chOff x="6060363" y="2579321"/>
          <a:chExt cx="2510925" cy="2046122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768450D5-0026-AF8F-EC37-F2CE5571E674}"/>
              </a:ext>
            </a:extLst>
          </xdr:cNvPr>
          <xdr:cNvSpPr/>
        </xdr:nvSpPr>
        <xdr:spPr>
          <a:xfrm>
            <a:off x="6253201" y="2806052"/>
            <a:ext cx="1744456" cy="1644816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A52A52-E815-EA19-3304-9747D4808934}"/>
              </a:ext>
            </a:extLst>
          </xdr:cNvPr>
          <xdr:cNvCxnSpPr>
            <a:stCxn id="3" idx="2"/>
            <a:endCxn id="3" idx="6"/>
          </xdr:cNvCxnSpPr>
        </xdr:nvCxnSpPr>
        <xdr:spPr>
          <a:xfrm>
            <a:off x="6253201" y="3623888"/>
            <a:ext cx="174445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6980A483-5774-36A2-EAC0-34E01156FB05}"/>
              </a:ext>
            </a:extLst>
          </xdr:cNvPr>
          <xdr:cNvCxnSpPr/>
        </xdr:nvCxnSpPr>
        <xdr:spPr>
          <a:xfrm>
            <a:off x="7121671" y="2806052"/>
            <a:ext cx="0" cy="164481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31032D44-A5F1-C6F7-D92D-2CF161F96560}"/>
              </a:ext>
            </a:extLst>
          </xdr:cNvPr>
          <xdr:cNvCxnSpPr/>
        </xdr:nvCxnSpPr>
        <xdr:spPr>
          <a:xfrm>
            <a:off x="6060363" y="3623888"/>
            <a:ext cx="192838" cy="1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id="{11819606-49CF-A6B5-6D32-C2E16C213D02}"/>
              </a:ext>
            </a:extLst>
          </xdr:cNvPr>
          <xdr:cNvCxnSpPr/>
        </xdr:nvCxnSpPr>
        <xdr:spPr>
          <a:xfrm flipV="1">
            <a:off x="7116102" y="4455796"/>
            <a:ext cx="0" cy="169647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AE1F6E18-CD44-51B9-A2DB-C8E696513A5D}"/>
              </a:ext>
            </a:extLst>
          </xdr:cNvPr>
          <xdr:cNvSpPr txBox="1"/>
        </xdr:nvSpPr>
        <xdr:spPr>
          <a:xfrm>
            <a:off x="8006182" y="3527184"/>
            <a:ext cx="565106" cy="20347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X</a:t>
            </a:r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 AXIS</a:t>
            </a:r>
          </a:p>
          <a:p>
            <a:endParaRPr lang="en-US" sz="1100"/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12824E5D-9DDD-CE11-A6B0-F36D9EAD73A5}"/>
              </a:ext>
            </a:extLst>
          </xdr:cNvPr>
          <xdr:cNvSpPr txBox="1"/>
        </xdr:nvSpPr>
        <xdr:spPr>
          <a:xfrm>
            <a:off x="6848456" y="2579321"/>
            <a:ext cx="568908" cy="2126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Y AXIS</a:t>
            </a:r>
          </a:p>
          <a:p>
            <a:endParaRPr lang="en-US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10" name="logo">
          <a:extLst>
            <a:ext uri="{FF2B5EF4-FFF2-40B4-BE49-F238E27FC236}">
              <a16:creationId xmlns:a16="http://schemas.microsoft.com/office/drawing/2014/main" id="{C6A55645-9D50-4E2B-A598-C52265D0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  <xdr:twoCellAnchor editAs="oneCell">
    <xdr:from>
      <xdr:col>49</xdr:col>
      <xdr:colOff>7620</xdr:colOff>
      <xdr:row>25</xdr:row>
      <xdr:rowOff>91440</xdr:rowOff>
    </xdr:from>
    <xdr:to>
      <xdr:col>62</xdr:col>
      <xdr:colOff>89046</xdr:colOff>
      <xdr:row>31</xdr:row>
      <xdr:rowOff>72799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6E701D4-E5CB-4285-AB0B-82BE2F6D4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2120" y="3926840"/>
          <a:ext cx="2557926" cy="9021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25323</xdr:colOff>
      <xdr:row>16</xdr:row>
      <xdr:rowOff>113489</xdr:rowOff>
    </xdr:from>
    <xdr:to>
      <xdr:col>46</xdr:col>
      <xdr:colOff>158808</xdr:colOff>
      <xdr:row>30</xdr:row>
      <xdr:rowOff>7723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3E896EC-C29C-4AB0-A257-DDFDD5D7E011}"/>
            </a:ext>
          </a:extLst>
        </xdr:cNvPr>
        <xdr:cNvGrpSpPr/>
      </xdr:nvGrpSpPr>
      <xdr:grpSpPr>
        <a:xfrm>
          <a:off x="5997498" y="2551889"/>
          <a:ext cx="2486160" cy="2027834"/>
          <a:chOff x="6060363" y="2579321"/>
          <a:chExt cx="2510925" cy="2046122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744E8BA1-FEB5-6F6D-D518-4B00B4036DFD}"/>
              </a:ext>
            </a:extLst>
          </xdr:cNvPr>
          <xdr:cNvSpPr/>
        </xdr:nvSpPr>
        <xdr:spPr>
          <a:xfrm>
            <a:off x="6253201" y="2806052"/>
            <a:ext cx="1744456" cy="1644816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CB5C3863-A1D5-BF67-ED88-B77D2DB4405B}"/>
              </a:ext>
            </a:extLst>
          </xdr:cNvPr>
          <xdr:cNvCxnSpPr>
            <a:stCxn id="3" idx="2"/>
            <a:endCxn id="3" idx="6"/>
          </xdr:cNvCxnSpPr>
        </xdr:nvCxnSpPr>
        <xdr:spPr>
          <a:xfrm>
            <a:off x="6253201" y="3623888"/>
            <a:ext cx="174445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A0C39A79-0094-109F-255A-6D900AD261E4}"/>
              </a:ext>
            </a:extLst>
          </xdr:cNvPr>
          <xdr:cNvCxnSpPr/>
        </xdr:nvCxnSpPr>
        <xdr:spPr>
          <a:xfrm>
            <a:off x="7121671" y="2806052"/>
            <a:ext cx="0" cy="164481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FF01671D-C402-6F09-795D-455BE497B57D}"/>
              </a:ext>
            </a:extLst>
          </xdr:cNvPr>
          <xdr:cNvCxnSpPr/>
        </xdr:nvCxnSpPr>
        <xdr:spPr>
          <a:xfrm>
            <a:off x="6060363" y="3623888"/>
            <a:ext cx="192838" cy="1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id="{5F86CD10-60A7-041A-C653-34BD1E4E7C60}"/>
              </a:ext>
            </a:extLst>
          </xdr:cNvPr>
          <xdr:cNvCxnSpPr/>
        </xdr:nvCxnSpPr>
        <xdr:spPr>
          <a:xfrm flipV="1">
            <a:off x="7116102" y="4455796"/>
            <a:ext cx="0" cy="169647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73DD849B-5D91-2B6D-8864-9150A7CF5FE6}"/>
              </a:ext>
            </a:extLst>
          </xdr:cNvPr>
          <xdr:cNvSpPr txBox="1"/>
        </xdr:nvSpPr>
        <xdr:spPr>
          <a:xfrm>
            <a:off x="8006182" y="3527184"/>
            <a:ext cx="565106" cy="20347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X</a:t>
            </a:r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 AXIS</a:t>
            </a:r>
          </a:p>
          <a:p>
            <a:endParaRPr lang="en-US" sz="1100"/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63CEBD42-1CD9-ADA2-ED97-2C4DC323E0BD}"/>
              </a:ext>
            </a:extLst>
          </xdr:cNvPr>
          <xdr:cNvSpPr txBox="1"/>
        </xdr:nvSpPr>
        <xdr:spPr>
          <a:xfrm>
            <a:off x="6848456" y="2579321"/>
            <a:ext cx="568908" cy="2126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Y AXIS</a:t>
            </a:r>
          </a:p>
          <a:p>
            <a:endParaRPr lang="en-US" sz="1100"/>
          </a:p>
        </xdr:txBody>
      </xdr:sp>
    </xdr:grpSp>
    <xdr:clientData/>
  </xdr:twoCellAnchor>
  <xdr:twoCellAnchor>
    <xdr:from>
      <xdr:col>33</xdr:col>
      <xdr:colOff>25323</xdr:colOff>
      <xdr:row>16</xdr:row>
      <xdr:rowOff>113489</xdr:rowOff>
    </xdr:from>
    <xdr:to>
      <xdr:col>46</xdr:col>
      <xdr:colOff>158808</xdr:colOff>
      <xdr:row>30</xdr:row>
      <xdr:rowOff>7723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9208DBC-767C-4FD6-AF68-67D486C975CA}"/>
            </a:ext>
          </a:extLst>
        </xdr:cNvPr>
        <xdr:cNvGrpSpPr/>
      </xdr:nvGrpSpPr>
      <xdr:grpSpPr>
        <a:xfrm>
          <a:off x="5997498" y="2551889"/>
          <a:ext cx="2486160" cy="2027834"/>
          <a:chOff x="6060363" y="2579321"/>
          <a:chExt cx="2510925" cy="2046122"/>
        </a:xfrm>
      </xdr:grpSpPr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88380932-896E-30FE-86AC-C8957B7246B3}"/>
              </a:ext>
            </a:extLst>
          </xdr:cNvPr>
          <xdr:cNvSpPr/>
        </xdr:nvSpPr>
        <xdr:spPr>
          <a:xfrm>
            <a:off x="6253201" y="2806052"/>
            <a:ext cx="1744456" cy="1644816"/>
          </a:xfrm>
          <a:prstGeom prst="ellipse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F4157735-CAD3-283B-2154-170868410EED}"/>
              </a:ext>
            </a:extLst>
          </xdr:cNvPr>
          <xdr:cNvCxnSpPr>
            <a:stCxn id="11" idx="2"/>
            <a:endCxn id="11" idx="6"/>
          </xdr:cNvCxnSpPr>
        </xdr:nvCxnSpPr>
        <xdr:spPr>
          <a:xfrm>
            <a:off x="6253201" y="3623888"/>
            <a:ext cx="174445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2E3033DF-00ED-9F8F-C94E-1746977E0D8D}"/>
              </a:ext>
            </a:extLst>
          </xdr:cNvPr>
          <xdr:cNvCxnSpPr/>
        </xdr:nvCxnSpPr>
        <xdr:spPr>
          <a:xfrm>
            <a:off x="7121671" y="2806052"/>
            <a:ext cx="0" cy="164481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FDC39D3-D916-4A13-BFED-C43886CFA67E}"/>
              </a:ext>
            </a:extLst>
          </xdr:cNvPr>
          <xdr:cNvCxnSpPr/>
        </xdr:nvCxnSpPr>
        <xdr:spPr>
          <a:xfrm>
            <a:off x="6060363" y="3623888"/>
            <a:ext cx="192838" cy="1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4F907E7C-04D6-229B-E1F1-48EBCB0D19DE}"/>
              </a:ext>
            </a:extLst>
          </xdr:cNvPr>
          <xdr:cNvCxnSpPr/>
        </xdr:nvCxnSpPr>
        <xdr:spPr>
          <a:xfrm flipV="1">
            <a:off x="7116102" y="4455796"/>
            <a:ext cx="0" cy="169647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4966F61B-C586-12D6-C214-A36C4525E1A5}"/>
              </a:ext>
            </a:extLst>
          </xdr:cNvPr>
          <xdr:cNvSpPr txBox="1"/>
        </xdr:nvSpPr>
        <xdr:spPr>
          <a:xfrm>
            <a:off x="8006182" y="3527184"/>
            <a:ext cx="565106" cy="20347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X</a:t>
            </a:r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 AXIS</a:t>
            </a:r>
          </a:p>
          <a:p>
            <a:endParaRPr lang="en-US" sz="1100"/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C67D1291-D326-7CC4-5E42-669C7E5E9C06}"/>
              </a:ext>
            </a:extLst>
          </xdr:cNvPr>
          <xdr:cNvSpPr txBox="1"/>
        </xdr:nvSpPr>
        <xdr:spPr>
          <a:xfrm>
            <a:off x="6848456" y="2579321"/>
            <a:ext cx="568908" cy="2126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900" baseline="0">
                <a:latin typeface="Arial" panose="020B0604020202020204" pitchFamily="34" charset="0"/>
                <a:cs typeface="Arial" panose="020B0604020202020204" pitchFamily="34" charset="0"/>
              </a:rPr>
              <a:t>Y AXIS</a:t>
            </a:r>
          </a:p>
          <a:p>
            <a:endParaRPr lang="en-US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18" name="logo">
          <a:extLst>
            <a:ext uri="{FF2B5EF4-FFF2-40B4-BE49-F238E27FC236}">
              <a16:creationId xmlns:a16="http://schemas.microsoft.com/office/drawing/2014/main" id="{A5CBC4B9-0E4D-4E6E-A436-D868CB589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136208</xdr:colOff>
      <xdr:row>3</xdr:row>
      <xdr:rowOff>56761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A3DF7FC5-2EAE-4E0D-8CB9-5F9EFA1E4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79208" cy="51396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F763F722-45CF-43F4-9EF3-F113AAA3B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38095</xdr:colOff>
      <xdr:row>25</xdr:row>
      <xdr:rowOff>11505</xdr:rowOff>
    </xdr:from>
    <xdr:to>
      <xdr:col>9</xdr:col>
      <xdr:colOff>159538</xdr:colOff>
      <xdr:row>25</xdr:row>
      <xdr:rowOff>11505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C7EDA042-B7EB-4824-8049-C2F55316129F}"/>
            </a:ext>
          </a:extLst>
        </xdr:cNvPr>
        <xdr:cNvCxnSpPr/>
      </xdr:nvCxnSpPr>
      <xdr:spPr>
        <a:xfrm>
          <a:off x="1562095" y="3834205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36925</xdr:colOff>
      <xdr:row>27</xdr:row>
      <xdr:rowOff>7304</xdr:rowOff>
    </xdr:from>
    <xdr:to>
      <xdr:col>9</xdr:col>
      <xdr:colOff>158368</xdr:colOff>
      <xdr:row>27</xdr:row>
      <xdr:rowOff>7304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CD55CFE-7099-4840-9CC9-9F3CAC6499C8}"/>
            </a:ext>
          </a:extLst>
        </xdr:cNvPr>
        <xdr:cNvCxnSpPr/>
      </xdr:nvCxnSpPr>
      <xdr:spPr>
        <a:xfrm>
          <a:off x="1560925" y="4134804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45238</xdr:colOff>
      <xdr:row>25</xdr:row>
      <xdr:rowOff>11504</xdr:rowOff>
    </xdr:from>
    <xdr:to>
      <xdr:col>19</xdr:col>
      <xdr:colOff>166681</xdr:colOff>
      <xdr:row>25</xdr:row>
      <xdr:rowOff>11504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149FE730-EBC0-453E-A0B1-716B1331B039}"/>
            </a:ext>
          </a:extLst>
        </xdr:cNvPr>
        <xdr:cNvCxnSpPr/>
      </xdr:nvCxnSpPr>
      <xdr:spPr>
        <a:xfrm>
          <a:off x="3474238" y="3834204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44068</xdr:colOff>
      <xdr:row>27</xdr:row>
      <xdr:rowOff>7303</xdr:rowOff>
    </xdr:from>
    <xdr:to>
      <xdr:col>19</xdr:col>
      <xdr:colOff>165511</xdr:colOff>
      <xdr:row>27</xdr:row>
      <xdr:rowOff>7303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D14EB1E-229F-4649-A40A-4C9B8FBE0479}"/>
            </a:ext>
          </a:extLst>
        </xdr:cNvPr>
        <xdr:cNvCxnSpPr/>
      </xdr:nvCxnSpPr>
      <xdr:spPr>
        <a:xfrm>
          <a:off x="3473068" y="4134803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</xdr:colOff>
      <xdr:row>26</xdr:row>
      <xdr:rowOff>2382</xdr:rowOff>
    </xdr:from>
    <xdr:to>
      <xdr:col>16</xdr:col>
      <xdr:colOff>130968</xdr:colOff>
      <xdr:row>26</xdr:row>
      <xdr:rowOff>2382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8DC47D41-82B6-4043-ACDD-1744A02ED2AA}"/>
            </a:ext>
          </a:extLst>
        </xdr:cNvPr>
        <xdr:cNvCxnSpPr/>
      </xdr:nvCxnSpPr>
      <xdr:spPr>
        <a:xfrm>
          <a:off x="2867025" y="3977482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7144</xdr:colOff>
      <xdr:row>26</xdr:row>
      <xdr:rowOff>2382</xdr:rowOff>
    </xdr:from>
    <xdr:to>
      <xdr:col>26</xdr:col>
      <xdr:colOff>128587</xdr:colOff>
      <xdr:row>26</xdr:row>
      <xdr:rowOff>2382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BE6A9338-421C-4555-80C3-A67FD0682ED6}"/>
            </a:ext>
          </a:extLst>
        </xdr:cNvPr>
        <xdr:cNvCxnSpPr/>
      </xdr:nvCxnSpPr>
      <xdr:spPr>
        <a:xfrm>
          <a:off x="4769644" y="3977482"/>
          <a:ext cx="311943" cy="0"/>
        </a:xfrm>
        <a:prstGeom prst="straightConnector1">
          <a:avLst/>
        </a:prstGeom>
        <a:ln w="635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8" name="logo">
          <a:extLst>
            <a:ext uri="{FF2B5EF4-FFF2-40B4-BE49-F238E27FC236}">
              <a16:creationId xmlns:a16="http://schemas.microsoft.com/office/drawing/2014/main" id="{116C6185-95AE-4F60-84F4-C8D7F0F83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114302</xdr:colOff>
      <xdr:row>20</xdr:row>
      <xdr:rowOff>144035</xdr:rowOff>
    </xdr:from>
    <xdr:to>
      <xdr:col>70</xdr:col>
      <xdr:colOff>66676</xdr:colOff>
      <xdr:row>33</xdr:row>
      <xdr:rowOff>116262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BF9350-5C78-45E2-85A4-ABEEE3D4DBF6}"/>
            </a:ext>
          </a:extLst>
        </xdr:cNvPr>
        <xdr:cNvGrpSpPr/>
      </xdr:nvGrpSpPr>
      <xdr:grpSpPr>
        <a:xfrm>
          <a:off x="10248902" y="3239660"/>
          <a:ext cx="2486024" cy="1972477"/>
          <a:chOff x="11189641" y="7141465"/>
          <a:chExt cx="3098446" cy="2541753"/>
        </a:xfrm>
      </xdr:grpSpPr>
      <xdr:grpSp>
        <xdr:nvGrpSpPr>
          <xdr:cNvPr id="3" name="Group 104">
            <a:extLst>
              <a:ext uri="{FF2B5EF4-FFF2-40B4-BE49-F238E27FC236}">
                <a16:creationId xmlns:a16="http://schemas.microsoft.com/office/drawing/2014/main" id="{1B34EA83-AD41-8D08-B5B6-DAC167EB117D}"/>
              </a:ext>
            </a:extLst>
          </xdr:cNvPr>
          <xdr:cNvGrpSpPr>
            <a:grpSpLocks/>
          </xdr:cNvGrpSpPr>
        </xdr:nvGrpSpPr>
        <xdr:grpSpPr bwMode="auto">
          <a:xfrm>
            <a:off x="12291520" y="8111593"/>
            <a:ext cx="1045123" cy="1571625"/>
            <a:chOff x="6162675" y="8010525"/>
            <a:chExt cx="1047750" cy="1571625"/>
          </a:xfrm>
        </xdr:grpSpPr>
        <xdr:sp macro="" textlink="">
          <xdr:nvSpPr>
            <xdr:cNvPr id="28" name="Oval 94">
              <a:extLst>
                <a:ext uri="{FF2B5EF4-FFF2-40B4-BE49-F238E27FC236}">
                  <a16:creationId xmlns:a16="http://schemas.microsoft.com/office/drawing/2014/main" id="{FAB8DA30-4148-5AF4-D472-3389522A129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296025" y="9210675"/>
              <a:ext cx="381000" cy="371475"/>
            </a:xfrm>
            <a:prstGeom prst="ellipse">
              <a:avLst/>
            </a:prstGeom>
            <a:solidFill>
              <a:srgbClr val="7F7F7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Oval 91">
              <a:extLst>
                <a:ext uri="{FF2B5EF4-FFF2-40B4-BE49-F238E27FC236}">
                  <a16:creationId xmlns:a16="http://schemas.microsoft.com/office/drawing/2014/main" id="{7033A86E-5FEB-2F38-E4ED-B50EB4FDA24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00800" y="9296400"/>
              <a:ext cx="190500" cy="209550"/>
            </a:xfrm>
            <a:prstGeom prst="ellipse">
              <a:avLst/>
            </a:prstGeom>
            <a:solidFill>
              <a:srgbClr val="BFBFBF"/>
            </a:solidFill>
            <a:ln w="1587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Oval 92">
              <a:extLst>
                <a:ext uri="{FF2B5EF4-FFF2-40B4-BE49-F238E27FC236}">
                  <a16:creationId xmlns:a16="http://schemas.microsoft.com/office/drawing/2014/main" id="{C3D48249-24EA-64FB-56E7-47470CCA77C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57950" y="9363075"/>
              <a:ext cx="76200" cy="76200"/>
            </a:xfrm>
            <a:prstGeom prst="ellips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Oval 38">
              <a:extLst>
                <a:ext uri="{FF2B5EF4-FFF2-40B4-BE49-F238E27FC236}">
                  <a16:creationId xmlns:a16="http://schemas.microsoft.com/office/drawing/2014/main" id="{F2EE2B9D-B203-7837-D9C8-F7BAC32DC54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62675" y="8258175"/>
              <a:ext cx="1047750" cy="952500"/>
            </a:xfrm>
            <a:prstGeom prst="ellipse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9">
              <a:extLst>
                <a:ext uri="{FF2B5EF4-FFF2-40B4-BE49-F238E27FC236}">
                  <a16:creationId xmlns:a16="http://schemas.microsoft.com/office/drawing/2014/main" id="{916A974D-EC8C-4221-EFE7-9514FE97188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00825" y="8010525"/>
              <a:ext cx="609600" cy="790575"/>
            </a:xfrm>
            <a:prstGeom prst="rect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3" name="Oval 41">
              <a:extLst>
                <a:ext uri="{FF2B5EF4-FFF2-40B4-BE49-F238E27FC236}">
                  <a16:creationId xmlns:a16="http://schemas.microsoft.com/office/drawing/2014/main" id="{09C2375A-D874-38CE-BB88-B7F3FCEF210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91275" y="8486775"/>
              <a:ext cx="571500" cy="504825"/>
            </a:xfrm>
            <a:prstGeom prst="ellipse">
              <a:avLst/>
            </a:prstGeom>
            <a:solidFill>
              <a:srgbClr val="D9D9D9"/>
            </a:solidFill>
            <a:ln w="9525" algn="ctr">
              <a:solidFill>
                <a:srgbClr val="C0504D"/>
              </a:solidFill>
              <a:round/>
              <a:headEnd/>
              <a:tailEnd/>
            </a:ln>
          </xdr:spPr>
        </xdr:sp>
        <xdr:grpSp>
          <xdr:nvGrpSpPr>
            <xdr:cNvPr id="34" name="Group 89">
              <a:extLst>
                <a:ext uri="{FF2B5EF4-FFF2-40B4-BE49-F238E27FC236}">
                  <a16:creationId xmlns:a16="http://schemas.microsoft.com/office/drawing/2014/main" id="{3873924E-0CC6-F5CA-B7FE-9B312FAF4C59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3675" y="8610600"/>
              <a:ext cx="266700" cy="266700"/>
              <a:chOff x="7553325" y="7058025"/>
              <a:chExt cx="266700" cy="266700"/>
            </a:xfrm>
          </xdr:grpSpPr>
          <xdr:sp macro="" textlink="">
            <xdr:nvSpPr>
              <xdr:cNvPr id="45" name="Oval 87">
                <a:extLst>
                  <a:ext uri="{FF2B5EF4-FFF2-40B4-BE49-F238E27FC236}">
                    <a16:creationId xmlns:a16="http://schemas.microsoft.com/office/drawing/2014/main" id="{75515649-E18C-C579-6CBF-48B44A1CDA71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553325" y="7058025"/>
                <a:ext cx="266700" cy="266700"/>
              </a:xfrm>
              <a:prstGeom prst="ellipse">
                <a:avLst/>
              </a:prstGeom>
              <a:grpFill/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46" name="Oval 88">
                <a:extLst>
                  <a:ext uri="{FF2B5EF4-FFF2-40B4-BE49-F238E27FC236}">
                    <a16:creationId xmlns:a16="http://schemas.microsoft.com/office/drawing/2014/main" id="{7A456A69-0AF5-F5E7-83EA-0022F5631F84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639050" y="7143750"/>
                <a:ext cx="95250" cy="95250"/>
              </a:xfrm>
              <a:prstGeom prst="ellipse">
                <a:avLst/>
              </a:prstGeom>
              <a:solidFill>
                <a:srgbClr val="000000"/>
              </a:solidFill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cxnSp macro="">
          <xdr:nvCxnSpPr>
            <xdr:cNvPr id="35" name="Straight Connector 100">
              <a:extLst>
                <a:ext uri="{FF2B5EF4-FFF2-40B4-BE49-F238E27FC236}">
                  <a16:creationId xmlns:a16="http://schemas.microsoft.com/office/drawing/2014/main" id="{9E56213B-53E1-8771-9601-3AB1E6A4AEA9}"/>
                </a:ext>
              </a:extLst>
            </xdr:cNvPr>
            <xdr:cNvCxnSpPr>
              <a:cxnSpLocks noChangeShapeType="1"/>
              <a:stCxn id="45" idx="2"/>
              <a:endCxn id="29" idx="2"/>
            </xdr:cNvCxnSpPr>
          </xdr:nvCxnSpPr>
          <xdr:spPr bwMode="auto">
            <a:xfrm rot="10800000" flipV="1">
              <a:off x="6400800" y="8743950"/>
              <a:ext cx="142875" cy="65722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6" name="Straight Connector 103">
              <a:extLst>
                <a:ext uri="{FF2B5EF4-FFF2-40B4-BE49-F238E27FC236}">
                  <a16:creationId xmlns:a16="http://schemas.microsoft.com/office/drawing/2014/main" id="{E7EE5258-E989-87BB-6CCF-96305961EFF2}"/>
                </a:ext>
              </a:extLst>
            </xdr:cNvPr>
            <xdr:cNvCxnSpPr>
              <a:cxnSpLocks noChangeShapeType="1"/>
              <a:stCxn id="45" idx="5"/>
              <a:endCxn id="29" idx="6"/>
            </xdr:cNvCxnSpPr>
          </xdr:nvCxnSpPr>
          <xdr:spPr bwMode="auto">
            <a:xfrm rot="5400000">
              <a:off x="6400800" y="9029700"/>
              <a:ext cx="561975" cy="18097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7" name="Straight Connector 88">
              <a:extLst>
                <a:ext uri="{FF2B5EF4-FFF2-40B4-BE49-F238E27FC236}">
                  <a16:creationId xmlns:a16="http://schemas.microsoft.com/office/drawing/2014/main" id="{2E0844D2-5CA4-0381-DB58-C89D437C39E0}"/>
                </a:ext>
              </a:extLst>
            </xdr:cNvPr>
            <xdr:cNvCxnSpPr>
              <a:cxnSpLocks noChangeShapeType="1"/>
              <a:stCxn id="33" idx="6"/>
              <a:endCxn id="45" idx="5"/>
            </xdr:cNvCxnSpPr>
          </xdr:nvCxnSpPr>
          <xdr:spPr bwMode="auto">
            <a:xfrm flipH="1">
              <a:off x="6772275" y="874395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8" name="Straight Connector 95">
              <a:extLst>
                <a:ext uri="{FF2B5EF4-FFF2-40B4-BE49-F238E27FC236}">
                  <a16:creationId xmlns:a16="http://schemas.microsoft.com/office/drawing/2014/main" id="{1D3BB28D-3A8F-FDA3-5787-F3394FC2601A}"/>
                </a:ext>
              </a:extLst>
            </xdr:cNvPr>
            <xdr:cNvCxnSpPr>
              <a:cxnSpLocks noChangeShapeType="1"/>
              <a:stCxn id="33" idx="0"/>
              <a:endCxn id="45" idx="7"/>
            </xdr:cNvCxnSpPr>
          </xdr:nvCxnSpPr>
          <xdr:spPr bwMode="auto">
            <a:xfrm rot="16200000" flipH="1">
              <a:off x="6643687" y="8520113"/>
              <a:ext cx="161925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9" name="Straight Connector 98">
              <a:extLst>
                <a:ext uri="{FF2B5EF4-FFF2-40B4-BE49-F238E27FC236}">
                  <a16:creationId xmlns:a16="http://schemas.microsoft.com/office/drawing/2014/main" id="{5BBA8D7B-EB50-1D40-1473-6E8A7B1892CC}"/>
                </a:ext>
              </a:extLst>
            </xdr:cNvPr>
            <xdr:cNvCxnSpPr>
              <a:cxnSpLocks noChangeShapeType="1"/>
              <a:stCxn id="33" idx="2"/>
              <a:endCxn id="45" idx="1"/>
            </xdr:cNvCxnSpPr>
          </xdr:nvCxnSpPr>
          <xdr:spPr bwMode="auto">
            <a:xfrm rot="10800000" flipH="1">
              <a:off x="6391275" y="864870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0" name="Straight Connector 101">
              <a:extLst>
                <a:ext uri="{FF2B5EF4-FFF2-40B4-BE49-F238E27FC236}">
                  <a16:creationId xmlns:a16="http://schemas.microsoft.com/office/drawing/2014/main" id="{86CD9C4C-D0EF-362A-E8B4-3338F3C08493}"/>
                </a:ext>
              </a:extLst>
            </xdr:cNvPr>
            <xdr:cNvCxnSpPr>
              <a:cxnSpLocks noChangeShapeType="1"/>
              <a:stCxn id="33" idx="4"/>
              <a:endCxn id="45" idx="3"/>
            </xdr:cNvCxnSpPr>
          </xdr:nvCxnSpPr>
          <xdr:spPr bwMode="auto">
            <a:xfrm rot="5400000" flipH="1">
              <a:off x="6553200" y="8867775"/>
              <a:ext cx="1524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1" name="Straight Connector 105">
              <a:extLst>
                <a:ext uri="{FF2B5EF4-FFF2-40B4-BE49-F238E27FC236}">
                  <a16:creationId xmlns:a16="http://schemas.microsoft.com/office/drawing/2014/main" id="{364CC891-E511-C5A3-9695-886F3B78B2AF}"/>
                </a:ext>
              </a:extLst>
            </xdr:cNvPr>
            <xdr:cNvCxnSpPr>
              <a:cxnSpLocks noChangeShapeType="1"/>
              <a:stCxn id="33" idx="7"/>
              <a:endCxn id="45" idx="6"/>
            </xdr:cNvCxnSpPr>
          </xdr:nvCxnSpPr>
          <xdr:spPr bwMode="auto">
            <a:xfrm rot="-5400000" flipH="1" flipV="1">
              <a:off x="6753225" y="8620125"/>
              <a:ext cx="180975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2" name="Straight Connector 108">
              <a:extLst>
                <a:ext uri="{FF2B5EF4-FFF2-40B4-BE49-F238E27FC236}">
                  <a16:creationId xmlns:a16="http://schemas.microsoft.com/office/drawing/2014/main" id="{D9DF7FC0-2AEB-431B-15C4-F1EB796A1DD9}"/>
                </a:ext>
              </a:extLst>
            </xdr:cNvPr>
            <xdr:cNvCxnSpPr>
              <a:cxnSpLocks noChangeShapeType="1"/>
              <a:stCxn id="33" idx="1"/>
              <a:endCxn id="45" idx="0"/>
            </xdr:cNvCxnSpPr>
          </xdr:nvCxnSpPr>
          <xdr:spPr bwMode="auto">
            <a:xfrm rot="16200000" flipH="1">
              <a:off x="6553200" y="8486775"/>
              <a:ext cx="47625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3" name="Straight Connector 111">
              <a:extLst>
                <a:ext uri="{FF2B5EF4-FFF2-40B4-BE49-F238E27FC236}">
                  <a16:creationId xmlns:a16="http://schemas.microsoft.com/office/drawing/2014/main" id="{62BBAAB0-83B4-048F-08EE-DCD2E534013E}"/>
                </a:ext>
              </a:extLst>
            </xdr:cNvPr>
            <xdr:cNvCxnSpPr>
              <a:cxnSpLocks noChangeShapeType="1"/>
              <a:stCxn id="33" idx="3"/>
              <a:endCxn id="45" idx="2"/>
            </xdr:cNvCxnSpPr>
          </xdr:nvCxnSpPr>
          <xdr:spPr bwMode="auto">
            <a:xfrm rot="5400000" flipH="1" flipV="1">
              <a:off x="6424613" y="8796337"/>
              <a:ext cx="171450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4" name="Straight Connector 114">
              <a:extLst>
                <a:ext uri="{FF2B5EF4-FFF2-40B4-BE49-F238E27FC236}">
                  <a16:creationId xmlns:a16="http://schemas.microsoft.com/office/drawing/2014/main" id="{64806EB3-6448-E91D-468F-D5AF7294E2E7}"/>
                </a:ext>
              </a:extLst>
            </xdr:cNvPr>
            <xdr:cNvCxnSpPr>
              <a:cxnSpLocks noChangeShapeType="1"/>
              <a:stCxn id="33" idx="5"/>
              <a:endCxn id="45" idx="4"/>
            </xdr:cNvCxnSpPr>
          </xdr:nvCxnSpPr>
          <xdr:spPr bwMode="auto">
            <a:xfrm rot="5400000" flipH="1">
              <a:off x="6757988" y="8796337"/>
              <a:ext cx="38100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grpSp>
        <xdr:nvGrpSpPr>
          <xdr:cNvPr id="4" name="Group 126">
            <a:extLst>
              <a:ext uri="{FF2B5EF4-FFF2-40B4-BE49-F238E27FC236}">
                <a16:creationId xmlns:a16="http://schemas.microsoft.com/office/drawing/2014/main" id="{2DEEE01E-E255-A220-ECC7-A9A4C9F9DD36}"/>
              </a:ext>
            </a:extLst>
          </xdr:cNvPr>
          <xdr:cNvGrpSpPr>
            <a:grpSpLocks/>
          </xdr:cNvGrpSpPr>
        </xdr:nvGrpSpPr>
        <xdr:grpSpPr bwMode="auto">
          <a:xfrm rot="10800000" flipH="1">
            <a:off x="12457467" y="7141465"/>
            <a:ext cx="868089" cy="753167"/>
            <a:chOff x="5924550" y="8229600"/>
            <a:chExt cx="1200150" cy="1266825"/>
          </a:xfrm>
        </xdr:grpSpPr>
        <xdr:grpSp>
          <xdr:nvGrpSpPr>
            <xdr:cNvPr id="11" name="Group 48">
              <a:extLst>
                <a:ext uri="{FF2B5EF4-FFF2-40B4-BE49-F238E27FC236}">
                  <a16:creationId xmlns:a16="http://schemas.microsoft.com/office/drawing/2014/main" id="{13397ADA-C475-77CC-A716-35A65194033C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4408" y="8229600"/>
              <a:ext cx="580292" cy="914038"/>
              <a:chOff x="1012" y="923"/>
              <a:chExt cx="61" cy="96"/>
            </a:xfrm>
            <a:solidFill>
              <a:schemeClr val="tx2">
                <a:lumMod val="40000"/>
                <a:lumOff val="60000"/>
              </a:schemeClr>
            </a:solidFill>
          </xdr:grpSpPr>
          <xdr:grpSp>
            <xdr:nvGrpSpPr>
              <xdr:cNvPr id="20" name="Group 49">
                <a:extLst>
                  <a:ext uri="{FF2B5EF4-FFF2-40B4-BE49-F238E27FC236}">
                    <a16:creationId xmlns:a16="http://schemas.microsoft.com/office/drawing/2014/main" id="{563C71E0-9664-0046-39B0-966AFC2D3BE3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12" y="923"/>
                <a:ext cx="61" cy="96"/>
                <a:chOff x="1073" y="936"/>
                <a:chExt cx="61" cy="96"/>
              </a:xfrm>
              <a:grpFill/>
            </xdr:grpSpPr>
            <xdr:sp macro="" textlink="">
              <xdr:nvSpPr>
                <xdr:cNvPr id="26" name="Rectangle 50">
                  <a:extLst>
                    <a:ext uri="{FF2B5EF4-FFF2-40B4-BE49-F238E27FC236}">
                      <a16:creationId xmlns:a16="http://schemas.microsoft.com/office/drawing/2014/main" id="{712AC973-452A-D8E2-BB3C-56EED80CDE8E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090" y="936"/>
                  <a:ext cx="44" cy="96"/>
                </a:xfrm>
                <a:prstGeom prst="rect">
                  <a:avLst/>
                </a:prstGeom>
                <a:grp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  <xdr:sp macro="" textlink="">
              <xdr:nvSpPr>
                <xdr:cNvPr id="27" name="AutoShape 51">
                  <a:extLst>
                    <a:ext uri="{FF2B5EF4-FFF2-40B4-BE49-F238E27FC236}">
                      <a16:creationId xmlns:a16="http://schemas.microsoft.com/office/drawing/2014/main" id="{3E94125D-7787-5968-F273-8EC3B698D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3" y="936"/>
                  <a:ext cx="17" cy="96"/>
                </a:xfrm>
                <a:prstGeom prst="leftBracket">
                  <a:avLst>
                    <a:gd name="adj" fmla="val 47059"/>
                  </a:avLst>
                </a:prstGeom>
                <a:grp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</xdr:grpSp>
          <xdr:sp macro="" textlink="">
            <xdr:nvSpPr>
              <xdr:cNvPr id="21" name="Line 52">
                <a:extLst>
                  <a:ext uri="{FF2B5EF4-FFF2-40B4-BE49-F238E27FC236}">
                    <a16:creationId xmlns:a16="http://schemas.microsoft.com/office/drawing/2014/main" id="{78D820A8-B751-2CBB-9F9A-C3A9E1470B0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36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2" name="Line 53">
                <a:extLst>
                  <a:ext uri="{FF2B5EF4-FFF2-40B4-BE49-F238E27FC236}">
                    <a16:creationId xmlns:a16="http://schemas.microsoft.com/office/drawing/2014/main" id="{2F0AEBB8-0C9B-D0DC-9670-3A47072BFA95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55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3" name="Line 54">
                <a:extLst>
                  <a:ext uri="{FF2B5EF4-FFF2-40B4-BE49-F238E27FC236}">
                    <a16:creationId xmlns:a16="http://schemas.microsoft.com/office/drawing/2014/main" id="{7E964998-4A83-F351-59EC-61C62723CE8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72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4" name="Line 55">
                <a:extLst>
                  <a:ext uri="{FF2B5EF4-FFF2-40B4-BE49-F238E27FC236}">
                    <a16:creationId xmlns:a16="http://schemas.microsoft.com/office/drawing/2014/main" id="{E40F559A-C159-21BD-3220-C0090D8A1F35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89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5" name="Line 56">
                <a:extLst>
                  <a:ext uri="{FF2B5EF4-FFF2-40B4-BE49-F238E27FC236}">
                    <a16:creationId xmlns:a16="http://schemas.microsoft.com/office/drawing/2014/main" id="{6DE32A72-31EF-9C93-307E-218F8E1DB7B4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1004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</xdr:grpSp>
        <xdr:sp macro="" textlink="">
          <xdr:nvSpPr>
            <xdr:cNvPr id="12" name="Rounded Rectangle 128">
              <a:extLst>
                <a:ext uri="{FF2B5EF4-FFF2-40B4-BE49-F238E27FC236}">
                  <a16:creationId xmlns:a16="http://schemas.microsoft.com/office/drawing/2014/main" id="{D890B0A2-F76C-3D31-9BE1-75A61B02358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24550" y="9124950"/>
              <a:ext cx="352425" cy="342900"/>
            </a:xfrm>
            <a:prstGeom prst="roundRect">
              <a:avLst>
                <a:gd name="adj" fmla="val 16667"/>
              </a:avLst>
            </a:prstGeom>
            <a:solidFill>
              <a:srgbClr val="FFFF99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" name="Group 89">
              <a:extLst>
                <a:ext uri="{FF2B5EF4-FFF2-40B4-BE49-F238E27FC236}">
                  <a16:creationId xmlns:a16="http://schemas.microsoft.com/office/drawing/2014/main" id="{7EAB1198-54B0-367F-22D4-E766936B1607}"/>
                </a:ext>
              </a:extLst>
            </xdr:cNvPr>
            <xdr:cNvGrpSpPr/>
          </xdr:nvGrpSpPr>
          <xdr:grpSpPr>
            <a:xfrm>
              <a:off x="6254262" y="9063459"/>
              <a:ext cx="171450" cy="432966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8" name="Rectangle 17">
                <a:extLst>
                  <a:ext uri="{FF2B5EF4-FFF2-40B4-BE49-F238E27FC236}">
                    <a16:creationId xmlns:a16="http://schemas.microsoft.com/office/drawing/2014/main" id="{A72529F1-99B2-0A9F-4DCF-7F6A54C1E225}"/>
                  </a:ext>
                </a:extLst>
              </xdr:cNvPr>
              <xdr:cNvSpPr/>
            </xdr:nvSpPr>
            <xdr:spPr bwMode="auto">
              <a:xfrm>
                <a:off x="8991600" y="9137650"/>
                <a:ext cx="99646" cy="7937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9" name="Rectangle 18">
                <a:extLst>
                  <a:ext uri="{FF2B5EF4-FFF2-40B4-BE49-F238E27FC236}">
                    <a16:creationId xmlns:a16="http://schemas.microsoft.com/office/drawing/2014/main" id="{704F7412-79A4-84BE-DC82-77B7C5331611}"/>
                  </a:ext>
                </a:extLst>
              </xdr:cNvPr>
              <xdr:cNvSpPr/>
            </xdr:nvSpPr>
            <xdr:spPr bwMode="auto">
              <a:xfrm>
                <a:off x="9091246" y="8963025"/>
                <a:ext cx="62279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grpSp>
          <xdr:nvGrpSpPr>
            <xdr:cNvPr id="14" name="Group 90">
              <a:extLst>
                <a:ext uri="{FF2B5EF4-FFF2-40B4-BE49-F238E27FC236}">
                  <a16:creationId xmlns:a16="http://schemas.microsoft.com/office/drawing/2014/main" id="{870C9452-9421-30D0-3A03-4D1BC1F19241}"/>
                </a:ext>
              </a:extLst>
            </xdr:cNvPr>
            <xdr:cNvGrpSpPr/>
          </xdr:nvGrpSpPr>
          <xdr:grpSpPr>
            <a:xfrm flipH="1">
              <a:off x="6359769" y="8502208"/>
              <a:ext cx="184638" cy="416930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71F20455-BD32-1739-4640-33DBBD22306D}"/>
                  </a:ext>
                </a:extLst>
              </xdr:cNvPr>
              <xdr:cNvSpPr/>
            </xdr:nvSpPr>
            <xdr:spPr bwMode="auto">
              <a:xfrm>
                <a:off x="8991599" y="9127881"/>
                <a:ext cx="104095" cy="82428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79F13B2F-EC5F-E6C0-3E89-42A1ECD898C8}"/>
                  </a:ext>
                </a:extLst>
              </xdr:cNvPr>
              <xdr:cNvSpPr/>
            </xdr:nvSpPr>
            <xdr:spPr bwMode="auto">
              <a:xfrm>
                <a:off x="9095693" y="8963025"/>
                <a:ext cx="57830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cxnSp macro="">
          <xdr:nvCxnSpPr>
            <xdr:cNvPr id="15" name="Straight Connector 131">
              <a:extLst>
                <a:ext uri="{FF2B5EF4-FFF2-40B4-BE49-F238E27FC236}">
                  <a16:creationId xmlns:a16="http://schemas.microsoft.com/office/drawing/2014/main" id="{20FF1E82-1B23-C126-41A3-25D19D564471}"/>
                </a:ext>
              </a:extLst>
            </xdr:cNvPr>
            <xdr:cNvCxnSpPr>
              <a:cxnSpLocks noChangeShapeType="1"/>
              <a:stCxn id="17" idx="0"/>
              <a:endCxn id="19" idx="2"/>
            </xdr:cNvCxnSpPr>
          </xdr:nvCxnSpPr>
          <xdr:spPr bwMode="auto">
            <a:xfrm rot="-5400000" flipH="1" flipV="1">
              <a:off x="5892893" y="8994681"/>
              <a:ext cx="1000125" cy="3361"/>
            </a:xfrm>
            <a:prstGeom prst="line">
              <a:avLst/>
            </a:prstGeom>
            <a:noFill/>
            <a:ln w="31750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cxnSp macro="">
        <xdr:nvCxnSpPr>
          <xdr:cNvPr id="5" name="Straight Connector 153">
            <a:extLst>
              <a:ext uri="{FF2B5EF4-FFF2-40B4-BE49-F238E27FC236}">
                <a16:creationId xmlns:a16="http://schemas.microsoft.com/office/drawing/2014/main" id="{1437577B-B205-524D-4614-B858E62099C0}"/>
              </a:ext>
            </a:extLst>
          </xdr:cNvPr>
          <xdr:cNvCxnSpPr>
            <a:cxnSpLocks noChangeShapeType="1"/>
            <a:stCxn id="19" idx="2"/>
            <a:endCxn id="46" idx="0"/>
          </xdr:cNvCxnSpPr>
        </xdr:nvCxnSpPr>
        <xdr:spPr bwMode="auto">
          <a:xfrm>
            <a:off x="12796613" y="7141465"/>
            <a:ext cx="8381" cy="165584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6" name="Curved Left Arrow 6">
            <a:extLst>
              <a:ext uri="{FF2B5EF4-FFF2-40B4-BE49-F238E27FC236}">
                <a16:creationId xmlns:a16="http://schemas.microsoft.com/office/drawing/2014/main" id="{3449AD35-D471-0AC4-7CC9-2A1B2E83C63D}"/>
              </a:ext>
            </a:extLst>
          </xdr:cNvPr>
          <xdr:cNvSpPr/>
        </xdr:nvSpPr>
        <xdr:spPr bwMode="auto">
          <a:xfrm flipV="1">
            <a:off x="12993414" y="8438125"/>
            <a:ext cx="256190" cy="727007"/>
          </a:xfrm>
          <a:prstGeom prst="curved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sp macro="" textlink="">
        <xdr:nvSpPr>
          <xdr:cNvPr id="7" name="Left Arrow 7">
            <a:extLst>
              <a:ext uri="{FF2B5EF4-FFF2-40B4-BE49-F238E27FC236}">
                <a16:creationId xmlns:a16="http://schemas.microsoft.com/office/drawing/2014/main" id="{E27203B7-CFC9-1604-BD87-20882D767F27}"/>
              </a:ext>
            </a:extLst>
          </xdr:cNvPr>
          <xdr:cNvSpPr/>
        </xdr:nvSpPr>
        <xdr:spPr bwMode="auto">
          <a:xfrm>
            <a:off x="13367845" y="8785069"/>
            <a:ext cx="307048" cy="113573"/>
          </a:xfrm>
          <a:prstGeom prst="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pic>
        <xdr:nvPicPr>
          <xdr:cNvPr id="8" name="Picture 7" descr="C:\Users\Joseph Campos\AppData\Local\Microsoft\Windows\Temporary Internet Files\Content.IE5\KOY32B7X\eye-side[1].png">
            <a:extLst>
              <a:ext uri="{FF2B5EF4-FFF2-40B4-BE49-F238E27FC236}">
                <a16:creationId xmlns:a16="http://schemas.microsoft.com/office/drawing/2014/main" id="{9FE55A84-E303-FD79-60B2-48904F551A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1947199" y="7370567"/>
            <a:ext cx="328882" cy="537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54C8B520-3F78-D1EC-166B-CACD0ACDA6BF}"/>
              </a:ext>
            </a:extLst>
          </xdr:cNvPr>
          <xdr:cNvSpPr txBox="1"/>
        </xdr:nvSpPr>
        <xdr:spPr>
          <a:xfrm>
            <a:off x="11189641" y="7498379"/>
            <a:ext cx="895600" cy="3017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LOOKING</a:t>
            </a:r>
          </a:p>
          <a:p>
            <a:endParaRPr 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13AD9BA3-FB49-B7F7-1C73-0D5E6CEFC90E}"/>
              </a:ext>
            </a:extLst>
          </xdr:cNvPr>
          <xdr:cNvSpPr txBox="1"/>
        </xdr:nvSpPr>
        <xdr:spPr>
          <a:xfrm>
            <a:off x="13705489" y="8729405"/>
            <a:ext cx="582598" cy="2295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CCW</a:t>
            </a:r>
          </a:p>
          <a:p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47" name="logo">
          <a:extLst>
            <a:ext uri="{FF2B5EF4-FFF2-40B4-BE49-F238E27FC236}">
              <a16:creationId xmlns:a16="http://schemas.microsoft.com/office/drawing/2014/main" id="{200C0A3E-1A4E-4BB1-A15A-B6397A749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177244</xdr:colOff>
      <xdr:row>21</xdr:row>
      <xdr:rowOff>39260</xdr:rowOff>
    </xdr:from>
    <xdr:to>
      <xdr:col>70</xdr:col>
      <xdr:colOff>85725</xdr:colOff>
      <xdr:row>34</xdr:row>
      <xdr:rowOff>11487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A51CAC0-7835-4856-BE9C-2A6D66467D98}"/>
            </a:ext>
          </a:extLst>
        </xdr:cNvPr>
        <xdr:cNvGrpSpPr/>
      </xdr:nvGrpSpPr>
      <xdr:grpSpPr>
        <a:xfrm>
          <a:off x="10311844" y="3287285"/>
          <a:ext cx="2442131" cy="1972477"/>
          <a:chOff x="11189641" y="7141465"/>
          <a:chExt cx="3098446" cy="2541753"/>
        </a:xfrm>
      </xdr:grpSpPr>
      <xdr:grpSp>
        <xdr:nvGrpSpPr>
          <xdr:cNvPr id="3" name="Group 104">
            <a:extLst>
              <a:ext uri="{FF2B5EF4-FFF2-40B4-BE49-F238E27FC236}">
                <a16:creationId xmlns:a16="http://schemas.microsoft.com/office/drawing/2014/main" id="{595D414E-53B1-0498-2F72-2FF9D9016928}"/>
              </a:ext>
            </a:extLst>
          </xdr:cNvPr>
          <xdr:cNvGrpSpPr>
            <a:grpSpLocks/>
          </xdr:cNvGrpSpPr>
        </xdr:nvGrpSpPr>
        <xdr:grpSpPr bwMode="auto">
          <a:xfrm>
            <a:off x="12291520" y="8111593"/>
            <a:ext cx="1045123" cy="1571625"/>
            <a:chOff x="6162675" y="8010525"/>
            <a:chExt cx="1047750" cy="1571625"/>
          </a:xfrm>
        </xdr:grpSpPr>
        <xdr:sp macro="" textlink="">
          <xdr:nvSpPr>
            <xdr:cNvPr id="28" name="Oval 94">
              <a:extLst>
                <a:ext uri="{FF2B5EF4-FFF2-40B4-BE49-F238E27FC236}">
                  <a16:creationId xmlns:a16="http://schemas.microsoft.com/office/drawing/2014/main" id="{22D62EE2-7DC7-991C-D00D-6239581A453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296025" y="9210675"/>
              <a:ext cx="381000" cy="371475"/>
            </a:xfrm>
            <a:prstGeom prst="ellipse">
              <a:avLst/>
            </a:prstGeom>
            <a:solidFill>
              <a:srgbClr val="7F7F7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Oval 91">
              <a:extLst>
                <a:ext uri="{FF2B5EF4-FFF2-40B4-BE49-F238E27FC236}">
                  <a16:creationId xmlns:a16="http://schemas.microsoft.com/office/drawing/2014/main" id="{072CC7F9-8085-2C1C-402D-1CB043088273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00800" y="9296400"/>
              <a:ext cx="190500" cy="209550"/>
            </a:xfrm>
            <a:prstGeom prst="ellipse">
              <a:avLst/>
            </a:prstGeom>
            <a:solidFill>
              <a:srgbClr val="BFBFBF"/>
            </a:solidFill>
            <a:ln w="1587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Oval 92">
              <a:extLst>
                <a:ext uri="{FF2B5EF4-FFF2-40B4-BE49-F238E27FC236}">
                  <a16:creationId xmlns:a16="http://schemas.microsoft.com/office/drawing/2014/main" id="{0A515CB8-04CB-EB2D-1FF6-7A4994746938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57950" y="9363075"/>
              <a:ext cx="76200" cy="76200"/>
            </a:xfrm>
            <a:prstGeom prst="ellips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Oval 38">
              <a:extLst>
                <a:ext uri="{FF2B5EF4-FFF2-40B4-BE49-F238E27FC236}">
                  <a16:creationId xmlns:a16="http://schemas.microsoft.com/office/drawing/2014/main" id="{89BFCDBD-7348-6869-9656-50B380A6838D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62675" y="8258175"/>
              <a:ext cx="1047750" cy="952500"/>
            </a:xfrm>
            <a:prstGeom prst="ellipse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9">
              <a:extLst>
                <a:ext uri="{FF2B5EF4-FFF2-40B4-BE49-F238E27FC236}">
                  <a16:creationId xmlns:a16="http://schemas.microsoft.com/office/drawing/2014/main" id="{C3F4D2BD-9D26-0B81-49EF-08721829E456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00825" y="8010525"/>
              <a:ext cx="609600" cy="790575"/>
            </a:xfrm>
            <a:prstGeom prst="rect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3" name="Oval 41">
              <a:extLst>
                <a:ext uri="{FF2B5EF4-FFF2-40B4-BE49-F238E27FC236}">
                  <a16:creationId xmlns:a16="http://schemas.microsoft.com/office/drawing/2014/main" id="{44979B96-ED32-2B7B-2D57-48FCB9F8E3F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91275" y="8486775"/>
              <a:ext cx="571500" cy="504825"/>
            </a:xfrm>
            <a:prstGeom prst="ellipse">
              <a:avLst/>
            </a:prstGeom>
            <a:solidFill>
              <a:srgbClr val="D9D9D9"/>
            </a:solidFill>
            <a:ln w="9525" algn="ctr">
              <a:solidFill>
                <a:srgbClr val="C0504D"/>
              </a:solidFill>
              <a:round/>
              <a:headEnd/>
              <a:tailEnd/>
            </a:ln>
          </xdr:spPr>
        </xdr:sp>
        <xdr:grpSp>
          <xdr:nvGrpSpPr>
            <xdr:cNvPr id="34" name="Group 89">
              <a:extLst>
                <a:ext uri="{FF2B5EF4-FFF2-40B4-BE49-F238E27FC236}">
                  <a16:creationId xmlns:a16="http://schemas.microsoft.com/office/drawing/2014/main" id="{9F8181D1-EB80-52F6-0E19-EF50D25BCC8B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3675" y="8610600"/>
              <a:ext cx="266700" cy="266700"/>
              <a:chOff x="7553325" y="7058025"/>
              <a:chExt cx="266700" cy="266700"/>
            </a:xfrm>
          </xdr:grpSpPr>
          <xdr:sp macro="" textlink="">
            <xdr:nvSpPr>
              <xdr:cNvPr id="45" name="Oval 87">
                <a:extLst>
                  <a:ext uri="{FF2B5EF4-FFF2-40B4-BE49-F238E27FC236}">
                    <a16:creationId xmlns:a16="http://schemas.microsoft.com/office/drawing/2014/main" id="{FAB77F8E-5563-F541-44D7-4547A0336C22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553325" y="7058025"/>
                <a:ext cx="266700" cy="266700"/>
              </a:xfrm>
              <a:prstGeom prst="ellipse">
                <a:avLst/>
              </a:prstGeom>
              <a:grpFill/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46" name="Oval 88">
                <a:extLst>
                  <a:ext uri="{FF2B5EF4-FFF2-40B4-BE49-F238E27FC236}">
                    <a16:creationId xmlns:a16="http://schemas.microsoft.com/office/drawing/2014/main" id="{5AF36F7F-71D2-78D9-DEB3-92438CB6B9CC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639050" y="7143750"/>
                <a:ext cx="95250" cy="95250"/>
              </a:xfrm>
              <a:prstGeom prst="ellipse">
                <a:avLst/>
              </a:prstGeom>
              <a:solidFill>
                <a:srgbClr val="000000"/>
              </a:solidFill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cxnSp macro="">
          <xdr:nvCxnSpPr>
            <xdr:cNvPr id="35" name="Straight Connector 100">
              <a:extLst>
                <a:ext uri="{FF2B5EF4-FFF2-40B4-BE49-F238E27FC236}">
                  <a16:creationId xmlns:a16="http://schemas.microsoft.com/office/drawing/2014/main" id="{8ABAF947-58FE-5BC0-B5DE-6C8682797EE2}"/>
                </a:ext>
              </a:extLst>
            </xdr:cNvPr>
            <xdr:cNvCxnSpPr>
              <a:cxnSpLocks noChangeShapeType="1"/>
              <a:stCxn id="45" idx="2"/>
              <a:endCxn id="29" idx="2"/>
            </xdr:cNvCxnSpPr>
          </xdr:nvCxnSpPr>
          <xdr:spPr bwMode="auto">
            <a:xfrm rot="10800000" flipV="1">
              <a:off x="6400800" y="8743950"/>
              <a:ext cx="142875" cy="65722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6" name="Straight Connector 103">
              <a:extLst>
                <a:ext uri="{FF2B5EF4-FFF2-40B4-BE49-F238E27FC236}">
                  <a16:creationId xmlns:a16="http://schemas.microsoft.com/office/drawing/2014/main" id="{78998CD3-174D-6CAD-56EE-51153FB4CB23}"/>
                </a:ext>
              </a:extLst>
            </xdr:cNvPr>
            <xdr:cNvCxnSpPr>
              <a:cxnSpLocks noChangeShapeType="1"/>
              <a:stCxn id="45" idx="5"/>
              <a:endCxn id="29" idx="6"/>
            </xdr:cNvCxnSpPr>
          </xdr:nvCxnSpPr>
          <xdr:spPr bwMode="auto">
            <a:xfrm rot="5400000">
              <a:off x="6400800" y="9029700"/>
              <a:ext cx="561975" cy="18097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7" name="Straight Connector 88">
              <a:extLst>
                <a:ext uri="{FF2B5EF4-FFF2-40B4-BE49-F238E27FC236}">
                  <a16:creationId xmlns:a16="http://schemas.microsoft.com/office/drawing/2014/main" id="{8F1988FC-BD65-2787-4843-964845751DE1}"/>
                </a:ext>
              </a:extLst>
            </xdr:cNvPr>
            <xdr:cNvCxnSpPr>
              <a:cxnSpLocks noChangeShapeType="1"/>
              <a:stCxn id="33" idx="6"/>
              <a:endCxn id="45" idx="5"/>
            </xdr:cNvCxnSpPr>
          </xdr:nvCxnSpPr>
          <xdr:spPr bwMode="auto">
            <a:xfrm flipH="1">
              <a:off x="6772275" y="874395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8" name="Straight Connector 95">
              <a:extLst>
                <a:ext uri="{FF2B5EF4-FFF2-40B4-BE49-F238E27FC236}">
                  <a16:creationId xmlns:a16="http://schemas.microsoft.com/office/drawing/2014/main" id="{FA4CF3EC-42CE-B469-210E-D62F8FC11510}"/>
                </a:ext>
              </a:extLst>
            </xdr:cNvPr>
            <xdr:cNvCxnSpPr>
              <a:cxnSpLocks noChangeShapeType="1"/>
              <a:stCxn id="33" idx="0"/>
              <a:endCxn id="45" idx="7"/>
            </xdr:cNvCxnSpPr>
          </xdr:nvCxnSpPr>
          <xdr:spPr bwMode="auto">
            <a:xfrm rot="16200000" flipH="1">
              <a:off x="6643687" y="8520113"/>
              <a:ext cx="161925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9" name="Straight Connector 98">
              <a:extLst>
                <a:ext uri="{FF2B5EF4-FFF2-40B4-BE49-F238E27FC236}">
                  <a16:creationId xmlns:a16="http://schemas.microsoft.com/office/drawing/2014/main" id="{64A51EF8-9938-2E74-C148-ABCAD23D2016}"/>
                </a:ext>
              </a:extLst>
            </xdr:cNvPr>
            <xdr:cNvCxnSpPr>
              <a:cxnSpLocks noChangeShapeType="1"/>
              <a:stCxn id="33" idx="2"/>
              <a:endCxn id="45" idx="1"/>
            </xdr:cNvCxnSpPr>
          </xdr:nvCxnSpPr>
          <xdr:spPr bwMode="auto">
            <a:xfrm rot="10800000" flipH="1">
              <a:off x="6391275" y="864870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0" name="Straight Connector 101">
              <a:extLst>
                <a:ext uri="{FF2B5EF4-FFF2-40B4-BE49-F238E27FC236}">
                  <a16:creationId xmlns:a16="http://schemas.microsoft.com/office/drawing/2014/main" id="{D0FC10F3-28DE-21EB-54F3-1B6FA7223450}"/>
                </a:ext>
              </a:extLst>
            </xdr:cNvPr>
            <xdr:cNvCxnSpPr>
              <a:cxnSpLocks noChangeShapeType="1"/>
              <a:stCxn id="33" idx="4"/>
              <a:endCxn id="45" idx="3"/>
            </xdr:cNvCxnSpPr>
          </xdr:nvCxnSpPr>
          <xdr:spPr bwMode="auto">
            <a:xfrm rot="5400000" flipH="1">
              <a:off x="6553200" y="8867775"/>
              <a:ext cx="1524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1" name="Straight Connector 105">
              <a:extLst>
                <a:ext uri="{FF2B5EF4-FFF2-40B4-BE49-F238E27FC236}">
                  <a16:creationId xmlns:a16="http://schemas.microsoft.com/office/drawing/2014/main" id="{5BE0C5AB-6ADB-8C23-1C5E-B930AC9AC6EC}"/>
                </a:ext>
              </a:extLst>
            </xdr:cNvPr>
            <xdr:cNvCxnSpPr>
              <a:cxnSpLocks noChangeShapeType="1"/>
              <a:stCxn id="33" idx="7"/>
              <a:endCxn id="45" idx="6"/>
            </xdr:cNvCxnSpPr>
          </xdr:nvCxnSpPr>
          <xdr:spPr bwMode="auto">
            <a:xfrm rot="-5400000" flipH="1" flipV="1">
              <a:off x="6753225" y="8620125"/>
              <a:ext cx="180975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2" name="Straight Connector 108">
              <a:extLst>
                <a:ext uri="{FF2B5EF4-FFF2-40B4-BE49-F238E27FC236}">
                  <a16:creationId xmlns:a16="http://schemas.microsoft.com/office/drawing/2014/main" id="{CEBE73CD-CE67-EB63-C1DF-0A87142AE918}"/>
                </a:ext>
              </a:extLst>
            </xdr:cNvPr>
            <xdr:cNvCxnSpPr>
              <a:cxnSpLocks noChangeShapeType="1"/>
              <a:stCxn id="33" idx="1"/>
              <a:endCxn id="45" idx="0"/>
            </xdr:cNvCxnSpPr>
          </xdr:nvCxnSpPr>
          <xdr:spPr bwMode="auto">
            <a:xfrm rot="16200000" flipH="1">
              <a:off x="6553200" y="8486775"/>
              <a:ext cx="47625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3" name="Straight Connector 111">
              <a:extLst>
                <a:ext uri="{FF2B5EF4-FFF2-40B4-BE49-F238E27FC236}">
                  <a16:creationId xmlns:a16="http://schemas.microsoft.com/office/drawing/2014/main" id="{8F3560BE-00C2-E3FE-A417-9653074C6F64}"/>
                </a:ext>
              </a:extLst>
            </xdr:cNvPr>
            <xdr:cNvCxnSpPr>
              <a:cxnSpLocks noChangeShapeType="1"/>
              <a:stCxn id="33" idx="3"/>
              <a:endCxn id="45" idx="2"/>
            </xdr:cNvCxnSpPr>
          </xdr:nvCxnSpPr>
          <xdr:spPr bwMode="auto">
            <a:xfrm rot="5400000" flipH="1" flipV="1">
              <a:off x="6424613" y="8796337"/>
              <a:ext cx="171450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4" name="Straight Connector 114">
              <a:extLst>
                <a:ext uri="{FF2B5EF4-FFF2-40B4-BE49-F238E27FC236}">
                  <a16:creationId xmlns:a16="http://schemas.microsoft.com/office/drawing/2014/main" id="{476774F3-B044-99F3-24CD-066AB226CEE9}"/>
                </a:ext>
              </a:extLst>
            </xdr:cNvPr>
            <xdr:cNvCxnSpPr>
              <a:cxnSpLocks noChangeShapeType="1"/>
              <a:stCxn id="33" idx="5"/>
              <a:endCxn id="45" idx="4"/>
            </xdr:cNvCxnSpPr>
          </xdr:nvCxnSpPr>
          <xdr:spPr bwMode="auto">
            <a:xfrm rot="5400000" flipH="1">
              <a:off x="6757988" y="8796337"/>
              <a:ext cx="38100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grpSp>
        <xdr:nvGrpSpPr>
          <xdr:cNvPr id="4" name="Group 126">
            <a:extLst>
              <a:ext uri="{FF2B5EF4-FFF2-40B4-BE49-F238E27FC236}">
                <a16:creationId xmlns:a16="http://schemas.microsoft.com/office/drawing/2014/main" id="{DF2E2551-795F-7BA3-34D7-837F70A8FF07}"/>
              </a:ext>
            </a:extLst>
          </xdr:cNvPr>
          <xdr:cNvGrpSpPr>
            <a:grpSpLocks/>
          </xdr:cNvGrpSpPr>
        </xdr:nvGrpSpPr>
        <xdr:grpSpPr bwMode="auto">
          <a:xfrm rot="10800000" flipH="1">
            <a:off x="12457467" y="7141465"/>
            <a:ext cx="868089" cy="753167"/>
            <a:chOff x="5924550" y="8229600"/>
            <a:chExt cx="1200150" cy="1266825"/>
          </a:xfrm>
        </xdr:grpSpPr>
        <xdr:grpSp>
          <xdr:nvGrpSpPr>
            <xdr:cNvPr id="11" name="Group 48">
              <a:extLst>
                <a:ext uri="{FF2B5EF4-FFF2-40B4-BE49-F238E27FC236}">
                  <a16:creationId xmlns:a16="http://schemas.microsoft.com/office/drawing/2014/main" id="{D98419A9-8774-4ABB-012F-597715E48C1B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4408" y="8229600"/>
              <a:ext cx="580292" cy="914038"/>
              <a:chOff x="1012" y="923"/>
              <a:chExt cx="61" cy="96"/>
            </a:xfrm>
            <a:solidFill>
              <a:schemeClr val="tx2">
                <a:lumMod val="40000"/>
                <a:lumOff val="60000"/>
              </a:schemeClr>
            </a:solidFill>
          </xdr:grpSpPr>
          <xdr:grpSp>
            <xdr:nvGrpSpPr>
              <xdr:cNvPr id="20" name="Group 49">
                <a:extLst>
                  <a:ext uri="{FF2B5EF4-FFF2-40B4-BE49-F238E27FC236}">
                    <a16:creationId xmlns:a16="http://schemas.microsoft.com/office/drawing/2014/main" id="{49FEB55D-D815-5E26-2139-71BA45C54691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12" y="923"/>
                <a:ext cx="61" cy="96"/>
                <a:chOff x="1073" y="936"/>
                <a:chExt cx="61" cy="96"/>
              </a:xfrm>
              <a:grpFill/>
            </xdr:grpSpPr>
            <xdr:sp macro="" textlink="">
              <xdr:nvSpPr>
                <xdr:cNvPr id="26" name="Rectangle 50">
                  <a:extLst>
                    <a:ext uri="{FF2B5EF4-FFF2-40B4-BE49-F238E27FC236}">
                      <a16:creationId xmlns:a16="http://schemas.microsoft.com/office/drawing/2014/main" id="{28508A7C-DE41-A35E-93A5-AED5D46717FD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090" y="936"/>
                  <a:ext cx="44" cy="96"/>
                </a:xfrm>
                <a:prstGeom prst="rect">
                  <a:avLst/>
                </a:prstGeom>
                <a:grp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  <xdr:sp macro="" textlink="">
              <xdr:nvSpPr>
                <xdr:cNvPr id="27" name="AutoShape 51">
                  <a:extLst>
                    <a:ext uri="{FF2B5EF4-FFF2-40B4-BE49-F238E27FC236}">
                      <a16:creationId xmlns:a16="http://schemas.microsoft.com/office/drawing/2014/main" id="{BEDD2787-BC75-88F6-17E6-BB83EA831D6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3" y="936"/>
                  <a:ext cx="17" cy="96"/>
                </a:xfrm>
                <a:prstGeom prst="leftBracket">
                  <a:avLst>
                    <a:gd name="adj" fmla="val 47059"/>
                  </a:avLst>
                </a:prstGeom>
                <a:grp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</xdr:grpSp>
          <xdr:sp macro="" textlink="">
            <xdr:nvSpPr>
              <xdr:cNvPr id="21" name="Line 52">
                <a:extLst>
                  <a:ext uri="{FF2B5EF4-FFF2-40B4-BE49-F238E27FC236}">
                    <a16:creationId xmlns:a16="http://schemas.microsoft.com/office/drawing/2014/main" id="{1CD9068B-11C6-02A0-7B45-75F59559C5A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36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2" name="Line 53">
                <a:extLst>
                  <a:ext uri="{FF2B5EF4-FFF2-40B4-BE49-F238E27FC236}">
                    <a16:creationId xmlns:a16="http://schemas.microsoft.com/office/drawing/2014/main" id="{33FFFF53-A4F3-5118-CCEB-2C88117D099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55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3" name="Line 54">
                <a:extLst>
                  <a:ext uri="{FF2B5EF4-FFF2-40B4-BE49-F238E27FC236}">
                    <a16:creationId xmlns:a16="http://schemas.microsoft.com/office/drawing/2014/main" id="{8A83AF63-B320-3EA2-DA40-A48415CA90C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72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4" name="Line 55">
                <a:extLst>
                  <a:ext uri="{FF2B5EF4-FFF2-40B4-BE49-F238E27FC236}">
                    <a16:creationId xmlns:a16="http://schemas.microsoft.com/office/drawing/2014/main" id="{CE6B6176-8D8E-9940-3D1B-CEC5C9DC53BF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89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5" name="Line 56">
                <a:extLst>
                  <a:ext uri="{FF2B5EF4-FFF2-40B4-BE49-F238E27FC236}">
                    <a16:creationId xmlns:a16="http://schemas.microsoft.com/office/drawing/2014/main" id="{B0A87B1F-941C-8F08-EE80-DF6EE4764793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1004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</xdr:grpSp>
        <xdr:sp macro="" textlink="">
          <xdr:nvSpPr>
            <xdr:cNvPr id="12" name="Rounded Rectangle 128">
              <a:extLst>
                <a:ext uri="{FF2B5EF4-FFF2-40B4-BE49-F238E27FC236}">
                  <a16:creationId xmlns:a16="http://schemas.microsoft.com/office/drawing/2014/main" id="{046FF29C-3727-1FBD-98BC-0F5973785FB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24550" y="9124950"/>
              <a:ext cx="352425" cy="342900"/>
            </a:xfrm>
            <a:prstGeom prst="roundRect">
              <a:avLst>
                <a:gd name="adj" fmla="val 16667"/>
              </a:avLst>
            </a:prstGeom>
            <a:solidFill>
              <a:srgbClr val="FFFF99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" name="Group 89">
              <a:extLst>
                <a:ext uri="{FF2B5EF4-FFF2-40B4-BE49-F238E27FC236}">
                  <a16:creationId xmlns:a16="http://schemas.microsoft.com/office/drawing/2014/main" id="{F00CEF5A-7BAA-8993-2EFF-823AD5B9BA41}"/>
                </a:ext>
              </a:extLst>
            </xdr:cNvPr>
            <xdr:cNvGrpSpPr/>
          </xdr:nvGrpSpPr>
          <xdr:grpSpPr>
            <a:xfrm>
              <a:off x="6254262" y="9063459"/>
              <a:ext cx="171450" cy="432966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8" name="Rectangle 17">
                <a:extLst>
                  <a:ext uri="{FF2B5EF4-FFF2-40B4-BE49-F238E27FC236}">
                    <a16:creationId xmlns:a16="http://schemas.microsoft.com/office/drawing/2014/main" id="{44922F85-7F72-0A62-5FA3-613738089742}"/>
                  </a:ext>
                </a:extLst>
              </xdr:cNvPr>
              <xdr:cNvSpPr/>
            </xdr:nvSpPr>
            <xdr:spPr bwMode="auto">
              <a:xfrm>
                <a:off x="8991600" y="9137650"/>
                <a:ext cx="99646" cy="7937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9" name="Rectangle 18">
                <a:extLst>
                  <a:ext uri="{FF2B5EF4-FFF2-40B4-BE49-F238E27FC236}">
                    <a16:creationId xmlns:a16="http://schemas.microsoft.com/office/drawing/2014/main" id="{A2D85472-1F8B-75D7-6018-F733491BD788}"/>
                  </a:ext>
                </a:extLst>
              </xdr:cNvPr>
              <xdr:cNvSpPr/>
            </xdr:nvSpPr>
            <xdr:spPr bwMode="auto">
              <a:xfrm>
                <a:off x="9091246" y="8963025"/>
                <a:ext cx="62279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grpSp>
          <xdr:nvGrpSpPr>
            <xdr:cNvPr id="14" name="Group 90">
              <a:extLst>
                <a:ext uri="{FF2B5EF4-FFF2-40B4-BE49-F238E27FC236}">
                  <a16:creationId xmlns:a16="http://schemas.microsoft.com/office/drawing/2014/main" id="{5AD2E45D-C6C5-954C-F7C6-E34C5D537B65}"/>
                </a:ext>
              </a:extLst>
            </xdr:cNvPr>
            <xdr:cNvGrpSpPr/>
          </xdr:nvGrpSpPr>
          <xdr:grpSpPr>
            <a:xfrm flipH="1">
              <a:off x="6359769" y="8502208"/>
              <a:ext cx="184638" cy="416930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B3085D48-441C-B130-3B58-209E2985F17B}"/>
                  </a:ext>
                </a:extLst>
              </xdr:cNvPr>
              <xdr:cNvSpPr/>
            </xdr:nvSpPr>
            <xdr:spPr bwMode="auto">
              <a:xfrm>
                <a:off x="8991599" y="9127881"/>
                <a:ext cx="104095" cy="82428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65F5B417-8D9E-98B1-619F-A2A3B0C59450}"/>
                  </a:ext>
                </a:extLst>
              </xdr:cNvPr>
              <xdr:cNvSpPr/>
            </xdr:nvSpPr>
            <xdr:spPr bwMode="auto">
              <a:xfrm>
                <a:off x="9095693" y="8963025"/>
                <a:ext cx="57830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cxnSp macro="">
          <xdr:nvCxnSpPr>
            <xdr:cNvPr id="15" name="Straight Connector 131">
              <a:extLst>
                <a:ext uri="{FF2B5EF4-FFF2-40B4-BE49-F238E27FC236}">
                  <a16:creationId xmlns:a16="http://schemas.microsoft.com/office/drawing/2014/main" id="{BC4A788E-5AAC-A092-FF09-C485364E8B83}"/>
                </a:ext>
              </a:extLst>
            </xdr:cNvPr>
            <xdr:cNvCxnSpPr>
              <a:cxnSpLocks noChangeShapeType="1"/>
              <a:stCxn id="17" idx="0"/>
              <a:endCxn id="19" idx="2"/>
            </xdr:cNvCxnSpPr>
          </xdr:nvCxnSpPr>
          <xdr:spPr bwMode="auto">
            <a:xfrm rot="-5400000" flipH="1" flipV="1">
              <a:off x="5892893" y="8994681"/>
              <a:ext cx="1000125" cy="3361"/>
            </a:xfrm>
            <a:prstGeom prst="line">
              <a:avLst/>
            </a:prstGeom>
            <a:noFill/>
            <a:ln w="31750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cxnSp macro="">
        <xdr:nvCxnSpPr>
          <xdr:cNvPr id="5" name="Straight Connector 153">
            <a:extLst>
              <a:ext uri="{FF2B5EF4-FFF2-40B4-BE49-F238E27FC236}">
                <a16:creationId xmlns:a16="http://schemas.microsoft.com/office/drawing/2014/main" id="{CB2112F2-7855-97A4-5189-2FE8732C8BC1}"/>
              </a:ext>
            </a:extLst>
          </xdr:cNvPr>
          <xdr:cNvCxnSpPr>
            <a:cxnSpLocks noChangeShapeType="1"/>
            <a:stCxn id="19" idx="2"/>
            <a:endCxn id="46" idx="0"/>
          </xdr:cNvCxnSpPr>
        </xdr:nvCxnSpPr>
        <xdr:spPr bwMode="auto">
          <a:xfrm>
            <a:off x="12796613" y="7141465"/>
            <a:ext cx="8381" cy="165584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6" name="Curved Left Arrow 7">
            <a:extLst>
              <a:ext uri="{FF2B5EF4-FFF2-40B4-BE49-F238E27FC236}">
                <a16:creationId xmlns:a16="http://schemas.microsoft.com/office/drawing/2014/main" id="{F97154D1-74F2-8502-FA49-37D7A26B39CE}"/>
              </a:ext>
            </a:extLst>
          </xdr:cNvPr>
          <xdr:cNvSpPr/>
        </xdr:nvSpPr>
        <xdr:spPr bwMode="auto">
          <a:xfrm flipV="1">
            <a:off x="12993414" y="8438125"/>
            <a:ext cx="256190" cy="727007"/>
          </a:xfrm>
          <a:prstGeom prst="curved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sp macro="" textlink="">
        <xdr:nvSpPr>
          <xdr:cNvPr id="7" name="Left Arrow 8">
            <a:extLst>
              <a:ext uri="{FF2B5EF4-FFF2-40B4-BE49-F238E27FC236}">
                <a16:creationId xmlns:a16="http://schemas.microsoft.com/office/drawing/2014/main" id="{E94793D8-75F3-5A3D-6383-360FDBE9044F}"/>
              </a:ext>
            </a:extLst>
          </xdr:cNvPr>
          <xdr:cNvSpPr/>
        </xdr:nvSpPr>
        <xdr:spPr bwMode="auto">
          <a:xfrm>
            <a:off x="13367845" y="8785069"/>
            <a:ext cx="307048" cy="113573"/>
          </a:xfrm>
          <a:prstGeom prst="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pic>
        <xdr:nvPicPr>
          <xdr:cNvPr id="8" name="Picture 7" descr="C:\Users\Joseph Campos\AppData\Local\Microsoft\Windows\Temporary Internet Files\Content.IE5\KOY32B7X\eye-side[1].png">
            <a:extLst>
              <a:ext uri="{FF2B5EF4-FFF2-40B4-BE49-F238E27FC236}">
                <a16:creationId xmlns:a16="http://schemas.microsoft.com/office/drawing/2014/main" id="{ED554247-F5F0-C3DE-BD20-5BDA8685EF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1947199" y="7370567"/>
            <a:ext cx="328882" cy="537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28AFE2E9-B149-594F-95F0-45B171C9A427}"/>
              </a:ext>
            </a:extLst>
          </xdr:cNvPr>
          <xdr:cNvSpPr txBox="1"/>
        </xdr:nvSpPr>
        <xdr:spPr>
          <a:xfrm>
            <a:off x="11189641" y="7498379"/>
            <a:ext cx="895600" cy="3017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LOOKING</a:t>
            </a:r>
          </a:p>
          <a:p>
            <a:endParaRPr 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5E846148-09BA-4A22-B782-6145FB8A38D1}"/>
              </a:ext>
            </a:extLst>
          </xdr:cNvPr>
          <xdr:cNvSpPr txBox="1"/>
        </xdr:nvSpPr>
        <xdr:spPr>
          <a:xfrm>
            <a:off x="13705489" y="8729405"/>
            <a:ext cx="582598" cy="2295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CCW</a:t>
            </a:r>
          </a:p>
          <a:p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47" name="logo">
          <a:extLst>
            <a:ext uri="{FF2B5EF4-FFF2-40B4-BE49-F238E27FC236}">
              <a16:creationId xmlns:a16="http://schemas.microsoft.com/office/drawing/2014/main" id="{1B0D281C-A51B-4CA2-89E4-A7615FD1F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85725</xdr:colOff>
      <xdr:row>21</xdr:row>
      <xdr:rowOff>1160</xdr:rowOff>
    </xdr:from>
    <xdr:to>
      <xdr:col>71</xdr:col>
      <xdr:colOff>0</xdr:colOff>
      <xdr:row>33</xdr:row>
      <xdr:rowOff>125787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45AE253-4F85-4BE2-A2EC-F6333C8BBAFE}"/>
            </a:ext>
          </a:extLst>
        </xdr:cNvPr>
        <xdr:cNvGrpSpPr/>
      </xdr:nvGrpSpPr>
      <xdr:grpSpPr>
        <a:xfrm>
          <a:off x="10401300" y="3249185"/>
          <a:ext cx="2447925" cy="1972477"/>
          <a:chOff x="11189641" y="7141465"/>
          <a:chExt cx="3098446" cy="2541753"/>
        </a:xfrm>
      </xdr:grpSpPr>
      <xdr:grpSp>
        <xdr:nvGrpSpPr>
          <xdr:cNvPr id="3" name="Group 104">
            <a:extLst>
              <a:ext uri="{FF2B5EF4-FFF2-40B4-BE49-F238E27FC236}">
                <a16:creationId xmlns:a16="http://schemas.microsoft.com/office/drawing/2014/main" id="{D43ADB73-00D6-596F-0FD6-FE1686BA1489}"/>
              </a:ext>
            </a:extLst>
          </xdr:cNvPr>
          <xdr:cNvGrpSpPr>
            <a:grpSpLocks/>
          </xdr:cNvGrpSpPr>
        </xdr:nvGrpSpPr>
        <xdr:grpSpPr bwMode="auto">
          <a:xfrm>
            <a:off x="12291520" y="8111593"/>
            <a:ext cx="1045123" cy="1571625"/>
            <a:chOff x="6162675" y="8010525"/>
            <a:chExt cx="1047750" cy="1571625"/>
          </a:xfrm>
        </xdr:grpSpPr>
        <xdr:sp macro="" textlink="">
          <xdr:nvSpPr>
            <xdr:cNvPr id="28" name="Oval 94">
              <a:extLst>
                <a:ext uri="{FF2B5EF4-FFF2-40B4-BE49-F238E27FC236}">
                  <a16:creationId xmlns:a16="http://schemas.microsoft.com/office/drawing/2014/main" id="{9AA3ADA4-ED11-FE14-8690-3C70DA32036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296025" y="9210675"/>
              <a:ext cx="381000" cy="371475"/>
            </a:xfrm>
            <a:prstGeom prst="ellipse">
              <a:avLst/>
            </a:prstGeom>
            <a:solidFill>
              <a:srgbClr val="7F7F7F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Oval 91">
              <a:extLst>
                <a:ext uri="{FF2B5EF4-FFF2-40B4-BE49-F238E27FC236}">
                  <a16:creationId xmlns:a16="http://schemas.microsoft.com/office/drawing/2014/main" id="{142F1C60-3B55-860B-5EA9-D8376608752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00800" y="9296400"/>
              <a:ext cx="190500" cy="209550"/>
            </a:xfrm>
            <a:prstGeom prst="ellipse">
              <a:avLst/>
            </a:prstGeom>
            <a:solidFill>
              <a:srgbClr val="BFBFBF"/>
            </a:solidFill>
            <a:ln w="1587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Oval 92">
              <a:extLst>
                <a:ext uri="{FF2B5EF4-FFF2-40B4-BE49-F238E27FC236}">
                  <a16:creationId xmlns:a16="http://schemas.microsoft.com/office/drawing/2014/main" id="{7AEBB9B6-1F21-BF18-3FF6-CCB4E3E5CF5D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57950" y="9363075"/>
              <a:ext cx="76200" cy="76200"/>
            </a:xfrm>
            <a:prstGeom prst="ellips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Oval 38">
              <a:extLst>
                <a:ext uri="{FF2B5EF4-FFF2-40B4-BE49-F238E27FC236}">
                  <a16:creationId xmlns:a16="http://schemas.microsoft.com/office/drawing/2014/main" id="{B65B7D22-9B76-81A3-A798-FCE4D4FBF9F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62675" y="8258175"/>
              <a:ext cx="1047750" cy="952500"/>
            </a:xfrm>
            <a:prstGeom prst="ellipse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9">
              <a:extLst>
                <a:ext uri="{FF2B5EF4-FFF2-40B4-BE49-F238E27FC236}">
                  <a16:creationId xmlns:a16="http://schemas.microsoft.com/office/drawing/2014/main" id="{2803F914-A327-DB6E-3122-6CAD12D336D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00825" y="8010525"/>
              <a:ext cx="609600" cy="790575"/>
            </a:xfrm>
            <a:prstGeom prst="rect">
              <a:avLst/>
            </a:prstGeom>
            <a:solidFill>
              <a:srgbClr val="1F497D"/>
            </a:solidFill>
            <a:ln w="9525" algn="ctr">
              <a:solidFill>
                <a:srgbClr val="1F497D"/>
              </a:solidFill>
              <a:round/>
              <a:headEnd/>
              <a:tailEnd/>
            </a:ln>
          </xdr:spPr>
        </xdr:sp>
        <xdr:sp macro="" textlink="">
          <xdr:nvSpPr>
            <xdr:cNvPr id="33" name="Oval 41">
              <a:extLst>
                <a:ext uri="{FF2B5EF4-FFF2-40B4-BE49-F238E27FC236}">
                  <a16:creationId xmlns:a16="http://schemas.microsoft.com/office/drawing/2014/main" id="{2F12C9F3-4E1F-6FDF-A789-3DB3C9457385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91275" y="8486775"/>
              <a:ext cx="571500" cy="504825"/>
            </a:xfrm>
            <a:prstGeom prst="ellipse">
              <a:avLst/>
            </a:prstGeom>
            <a:solidFill>
              <a:srgbClr val="D9D9D9"/>
            </a:solidFill>
            <a:ln w="9525" algn="ctr">
              <a:solidFill>
                <a:srgbClr val="C0504D"/>
              </a:solidFill>
              <a:round/>
              <a:headEnd/>
              <a:tailEnd/>
            </a:ln>
          </xdr:spPr>
        </xdr:sp>
        <xdr:grpSp>
          <xdr:nvGrpSpPr>
            <xdr:cNvPr id="34" name="Group 89">
              <a:extLst>
                <a:ext uri="{FF2B5EF4-FFF2-40B4-BE49-F238E27FC236}">
                  <a16:creationId xmlns:a16="http://schemas.microsoft.com/office/drawing/2014/main" id="{C0C20C63-8F75-F4D1-33D6-9A3C22874D4F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3675" y="8610600"/>
              <a:ext cx="266700" cy="266700"/>
              <a:chOff x="7553325" y="7058025"/>
              <a:chExt cx="266700" cy="266700"/>
            </a:xfrm>
          </xdr:grpSpPr>
          <xdr:sp macro="" textlink="">
            <xdr:nvSpPr>
              <xdr:cNvPr id="45" name="Oval 87">
                <a:extLst>
                  <a:ext uri="{FF2B5EF4-FFF2-40B4-BE49-F238E27FC236}">
                    <a16:creationId xmlns:a16="http://schemas.microsoft.com/office/drawing/2014/main" id="{B920E85D-F74C-FB7F-3C76-EBBB89A383EE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553325" y="7058025"/>
                <a:ext cx="266700" cy="266700"/>
              </a:xfrm>
              <a:prstGeom prst="ellipse">
                <a:avLst/>
              </a:prstGeom>
              <a:grpFill/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46" name="Oval 88">
                <a:extLst>
                  <a:ext uri="{FF2B5EF4-FFF2-40B4-BE49-F238E27FC236}">
                    <a16:creationId xmlns:a16="http://schemas.microsoft.com/office/drawing/2014/main" id="{ADE47CF8-1CE2-839E-1868-468B0A324EFC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639050" y="7143750"/>
                <a:ext cx="95250" cy="95250"/>
              </a:xfrm>
              <a:prstGeom prst="ellipse">
                <a:avLst/>
              </a:prstGeom>
              <a:solidFill>
                <a:srgbClr val="000000"/>
              </a:solidFill>
              <a:ln w="15875" algn="ctr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cxnSp macro="">
          <xdr:nvCxnSpPr>
            <xdr:cNvPr id="35" name="Straight Connector 100">
              <a:extLst>
                <a:ext uri="{FF2B5EF4-FFF2-40B4-BE49-F238E27FC236}">
                  <a16:creationId xmlns:a16="http://schemas.microsoft.com/office/drawing/2014/main" id="{3C2AECE3-EE92-C76C-3470-50309238D100}"/>
                </a:ext>
              </a:extLst>
            </xdr:cNvPr>
            <xdr:cNvCxnSpPr>
              <a:cxnSpLocks noChangeShapeType="1"/>
              <a:stCxn id="45" idx="2"/>
              <a:endCxn id="29" idx="2"/>
            </xdr:cNvCxnSpPr>
          </xdr:nvCxnSpPr>
          <xdr:spPr bwMode="auto">
            <a:xfrm rot="10800000" flipV="1">
              <a:off x="6400800" y="8743950"/>
              <a:ext cx="142875" cy="65722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6" name="Straight Connector 103">
              <a:extLst>
                <a:ext uri="{FF2B5EF4-FFF2-40B4-BE49-F238E27FC236}">
                  <a16:creationId xmlns:a16="http://schemas.microsoft.com/office/drawing/2014/main" id="{488DD22A-1A39-3CDD-7335-032F4AD3D84C}"/>
                </a:ext>
              </a:extLst>
            </xdr:cNvPr>
            <xdr:cNvCxnSpPr>
              <a:cxnSpLocks noChangeShapeType="1"/>
              <a:stCxn id="45" idx="5"/>
              <a:endCxn id="29" idx="6"/>
            </xdr:cNvCxnSpPr>
          </xdr:nvCxnSpPr>
          <xdr:spPr bwMode="auto">
            <a:xfrm rot="5400000">
              <a:off x="6400800" y="9029700"/>
              <a:ext cx="561975" cy="180975"/>
            </a:xfrm>
            <a:prstGeom prst="line">
              <a:avLst/>
            </a:prstGeom>
            <a:noFill/>
            <a:ln w="1587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7" name="Straight Connector 88">
              <a:extLst>
                <a:ext uri="{FF2B5EF4-FFF2-40B4-BE49-F238E27FC236}">
                  <a16:creationId xmlns:a16="http://schemas.microsoft.com/office/drawing/2014/main" id="{90540F4B-533A-F20A-0AA2-410663BBA895}"/>
                </a:ext>
              </a:extLst>
            </xdr:cNvPr>
            <xdr:cNvCxnSpPr>
              <a:cxnSpLocks noChangeShapeType="1"/>
              <a:stCxn id="33" idx="6"/>
              <a:endCxn id="45" idx="5"/>
            </xdr:cNvCxnSpPr>
          </xdr:nvCxnSpPr>
          <xdr:spPr bwMode="auto">
            <a:xfrm flipH="1">
              <a:off x="6772275" y="874395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8" name="Straight Connector 95">
              <a:extLst>
                <a:ext uri="{FF2B5EF4-FFF2-40B4-BE49-F238E27FC236}">
                  <a16:creationId xmlns:a16="http://schemas.microsoft.com/office/drawing/2014/main" id="{941CD48E-AE59-20C6-98AA-BC8DC3B33D62}"/>
                </a:ext>
              </a:extLst>
            </xdr:cNvPr>
            <xdr:cNvCxnSpPr>
              <a:cxnSpLocks noChangeShapeType="1"/>
              <a:stCxn id="33" idx="0"/>
              <a:endCxn id="45" idx="7"/>
            </xdr:cNvCxnSpPr>
          </xdr:nvCxnSpPr>
          <xdr:spPr bwMode="auto">
            <a:xfrm rot="16200000" flipH="1">
              <a:off x="6643687" y="8520113"/>
              <a:ext cx="161925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39" name="Straight Connector 98">
              <a:extLst>
                <a:ext uri="{FF2B5EF4-FFF2-40B4-BE49-F238E27FC236}">
                  <a16:creationId xmlns:a16="http://schemas.microsoft.com/office/drawing/2014/main" id="{4A3D7CFB-3EB4-623F-0C92-C7AF1B31402D}"/>
                </a:ext>
              </a:extLst>
            </xdr:cNvPr>
            <xdr:cNvCxnSpPr>
              <a:cxnSpLocks noChangeShapeType="1"/>
              <a:stCxn id="33" idx="2"/>
              <a:endCxn id="45" idx="1"/>
            </xdr:cNvCxnSpPr>
          </xdr:nvCxnSpPr>
          <xdr:spPr bwMode="auto">
            <a:xfrm rot="10800000" flipH="1">
              <a:off x="6391275" y="8648700"/>
              <a:ext cx="1905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0" name="Straight Connector 101">
              <a:extLst>
                <a:ext uri="{FF2B5EF4-FFF2-40B4-BE49-F238E27FC236}">
                  <a16:creationId xmlns:a16="http://schemas.microsoft.com/office/drawing/2014/main" id="{A765A24B-98C8-9BAF-38A6-AB80AC6F7675}"/>
                </a:ext>
              </a:extLst>
            </xdr:cNvPr>
            <xdr:cNvCxnSpPr>
              <a:cxnSpLocks noChangeShapeType="1"/>
              <a:stCxn id="33" idx="4"/>
              <a:endCxn id="45" idx="3"/>
            </xdr:cNvCxnSpPr>
          </xdr:nvCxnSpPr>
          <xdr:spPr bwMode="auto">
            <a:xfrm rot="5400000" flipH="1">
              <a:off x="6553200" y="8867775"/>
              <a:ext cx="152400" cy="9525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1" name="Straight Connector 105">
              <a:extLst>
                <a:ext uri="{FF2B5EF4-FFF2-40B4-BE49-F238E27FC236}">
                  <a16:creationId xmlns:a16="http://schemas.microsoft.com/office/drawing/2014/main" id="{CE63D0C8-9514-3E57-8A3E-8EF56D0D3755}"/>
                </a:ext>
              </a:extLst>
            </xdr:cNvPr>
            <xdr:cNvCxnSpPr>
              <a:cxnSpLocks noChangeShapeType="1"/>
              <a:stCxn id="33" idx="7"/>
              <a:endCxn id="45" idx="6"/>
            </xdr:cNvCxnSpPr>
          </xdr:nvCxnSpPr>
          <xdr:spPr bwMode="auto">
            <a:xfrm rot="-5400000" flipH="1" flipV="1">
              <a:off x="6753225" y="8620125"/>
              <a:ext cx="180975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2" name="Straight Connector 108">
              <a:extLst>
                <a:ext uri="{FF2B5EF4-FFF2-40B4-BE49-F238E27FC236}">
                  <a16:creationId xmlns:a16="http://schemas.microsoft.com/office/drawing/2014/main" id="{2D7E9EA8-2C91-3FF0-56E9-8D71095E6779}"/>
                </a:ext>
              </a:extLst>
            </xdr:cNvPr>
            <xdr:cNvCxnSpPr>
              <a:cxnSpLocks noChangeShapeType="1"/>
              <a:stCxn id="33" idx="1"/>
              <a:endCxn id="45" idx="0"/>
            </xdr:cNvCxnSpPr>
          </xdr:nvCxnSpPr>
          <xdr:spPr bwMode="auto">
            <a:xfrm rot="16200000" flipH="1">
              <a:off x="6553200" y="8486775"/>
              <a:ext cx="47625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3" name="Straight Connector 111">
              <a:extLst>
                <a:ext uri="{FF2B5EF4-FFF2-40B4-BE49-F238E27FC236}">
                  <a16:creationId xmlns:a16="http://schemas.microsoft.com/office/drawing/2014/main" id="{CAA46D14-E2A8-0D56-75A1-2362B15C544A}"/>
                </a:ext>
              </a:extLst>
            </xdr:cNvPr>
            <xdr:cNvCxnSpPr>
              <a:cxnSpLocks noChangeShapeType="1"/>
              <a:stCxn id="33" idx="3"/>
              <a:endCxn id="45" idx="2"/>
            </xdr:cNvCxnSpPr>
          </xdr:nvCxnSpPr>
          <xdr:spPr bwMode="auto">
            <a:xfrm rot="5400000" flipH="1" flipV="1">
              <a:off x="6424613" y="8796337"/>
              <a:ext cx="171450" cy="6667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44" name="Straight Connector 114">
              <a:extLst>
                <a:ext uri="{FF2B5EF4-FFF2-40B4-BE49-F238E27FC236}">
                  <a16:creationId xmlns:a16="http://schemas.microsoft.com/office/drawing/2014/main" id="{215AED29-2ED0-9B81-833E-7DCA41FFE93E}"/>
                </a:ext>
              </a:extLst>
            </xdr:cNvPr>
            <xdr:cNvCxnSpPr>
              <a:cxnSpLocks noChangeShapeType="1"/>
              <a:stCxn id="33" idx="5"/>
              <a:endCxn id="45" idx="4"/>
            </xdr:cNvCxnSpPr>
          </xdr:nvCxnSpPr>
          <xdr:spPr bwMode="auto">
            <a:xfrm rot="5400000" flipH="1">
              <a:off x="6757988" y="8796337"/>
              <a:ext cx="38100" cy="200025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grpSp>
        <xdr:nvGrpSpPr>
          <xdr:cNvPr id="4" name="Group 126">
            <a:extLst>
              <a:ext uri="{FF2B5EF4-FFF2-40B4-BE49-F238E27FC236}">
                <a16:creationId xmlns:a16="http://schemas.microsoft.com/office/drawing/2014/main" id="{94444CA1-D97F-3583-6D52-460B75A13C45}"/>
              </a:ext>
            </a:extLst>
          </xdr:cNvPr>
          <xdr:cNvGrpSpPr>
            <a:grpSpLocks/>
          </xdr:cNvGrpSpPr>
        </xdr:nvGrpSpPr>
        <xdr:grpSpPr bwMode="auto">
          <a:xfrm rot="10800000" flipH="1">
            <a:off x="12457467" y="7141465"/>
            <a:ext cx="868089" cy="753167"/>
            <a:chOff x="5924550" y="8229600"/>
            <a:chExt cx="1200150" cy="1266825"/>
          </a:xfrm>
        </xdr:grpSpPr>
        <xdr:grpSp>
          <xdr:nvGrpSpPr>
            <xdr:cNvPr id="11" name="Group 48">
              <a:extLst>
                <a:ext uri="{FF2B5EF4-FFF2-40B4-BE49-F238E27FC236}">
                  <a16:creationId xmlns:a16="http://schemas.microsoft.com/office/drawing/2014/main" id="{8811F152-AE83-D9EC-0FD5-85EA08426FCE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544408" y="8229600"/>
              <a:ext cx="580292" cy="914038"/>
              <a:chOff x="1012" y="923"/>
              <a:chExt cx="61" cy="96"/>
            </a:xfrm>
            <a:solidFill>
              <a:schemeClr val="tx2">
                <a:lumMod val="40000"/>
                <a:lumOff val="60000"/>
              </a:schemeClr>
            </a:solidFill>
          </xdr:grpSpPr>
          <xdr:grpSp>
            <xdr:nvGrpSpPr>
              <xdr:cNvPr id="20" name="Group 49">
                <a:extLst>
                  <a:ext uri="{FF2B5EF4-FFF2-40B4-BE49-F238E27FC236}">
                    <a16:creationId xmlns:a16="http://schemas.microsoft.com/office/drawing/2014/main" id="{15B280D9-55BA-D1FC-24E4-170B32F97A0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12" y="923"/>
                <a:ext cx="61" cy="96"/>
                <a:chOff x="1073" y="936"/>
                <a:chExt cx="61" cy="96"/>
              </a:xfrm>
              <a:grpFill/>
            </xdr:grpSpPr>
            <xdr:sp macro="" textlink="">
              <xdr:nvSpPr>
                <xdr:cNvPr id="26" name="Rectangle 50">
                  <a:extLst>
                    <a:ext uri="{FF2B5EF4-FFF2-40B4-BE49-F238E27FC236}">
                      <a16:creationId xmlns:a16="http://schemas.microsoft.com/office/drawing/2014/main" id="{27F6A998-2757-0D21-AECF-712AF052FC3A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090" y="936"/>
                  <a:ext cx="44" cy="96"/>
                </a:xfrm>
                <a:prstGeom prst="rect">
                  <a:avLst/>
                </a:prstGeom>
                <a:grpFill/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  <xdr:sp macro="" textlink="">
              <xdr:nvSpPr>
                <xdr:cNvPr id="27" name="AutoShape 51">
                  <a:extLst>
                    <a:ext uri="{FF2B5EF4-FFF2-40B4-BE49-F238E27FC236}">
                      <a16:creationId xmlns:a16="http://schemas.microsoft.com/office/drawing/2014/main" id="{7ADE3F46-4DE3-AD7C-62E8-A0161163DF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3" y="936"/>
                  <a:ext cx="17" cy="96"/>
                </a:xfrm>
                <a:prstGeom prst="leftBracket">
                  <a:avLst>
                    <a:gd name="adj" fmla="val 47059"/>
                  </a:avLst>
                </a:prstGeom>
                <a:grp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  <xdr:txBody>
                <a:bodyPr/>
                <a:lstStyle/>
                <a:p>
                  <a:endParaRPr lang="en-US"/>
                </a:p>
              </xdr:txBody>
            </xdr:sp>
          </xdr:grpSp>
          <xdr:sp macro="" textlink="">
            <xdr:nvSpPr>
              <xdr:cNvPr id="21" name="Line 52">
                <a:extLst>
                  <a:ext uri="{FF2B5EF4-FFF2-40B4-BE49-F238E27FC236}">
                    <a16:creationId xmlns:a16="http://schemas.microsoft.com/office/drawing/2014/main" id="{84D30934-F5B9-A1EA-6B97-F3E3F02C10E6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36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2" name="Line 53">
                <a:extLst>
                  <a:ext uri="{FF2B5EF4-FFF2-40B4-BE49-F238E27FC236}">
                    <a16:creationId xmlns:a16="http://schemas.microsoft.com/office/drawing/2014/main" id="{4C351227-B396-DEE1-7585-E4BE698C22A8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55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3" name="Line 54">
                <a:extLst>
                  <a:ext uri="{FF2B5EF4-FFF2-40B4-BE49-F238E27FC236}">
                    <a16:creationId xmlns:a16="http://schemas.microsoft.com/office/drawing/2014/main" id="{DCB98180-F0AB-40F2-7BA8-0FB6C143BA2D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72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4" name="Line 55">
                <a:extLst>
                  <a:ext uri="{FF2B5EF4-FFF2-40B4-BE49-F238E27FC236}">
                    <a16:creationId xmlns:a16="http://schemas.microsoft.com/office/drawing/2014/main" id="{698B3800-FE5D-1108-6251-A9365DB9B72F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989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25" name="Line 56">
                <a:extLst>
                  <a:ext uri="{FF2B5EF4-FFF2-40B4-BE49-F238E27FC236}">
                    <a16:creationId xmlns:a16="http://schemas.microsoft.com/office/drawing/2014/main" id="{FF76CE71-AA95-AA2D-5B8F-F4BFA5B010C4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29" y="1004"/>
                <a:ext cx="44" cy="0"/>
              </a:xfrm>
              <a:prstGeom prst="line">
                <a:avLst/>
              </a:prstGeom>
              <a:grp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  <xdr:txBody>
              <a:bodyPr/>
              <a:lstStyle/>
              <a:p>
                <a:endParaRPr lang="en-US"/>
              </a:p>
            </xdr:txBody>
          </xdr:sp>
        </xdr:grpSp>
        <xdr:sp macro="" textlink="">
          <xdr:nvSpPr>
            <xdr:cNvPr id="12" name="Rounded Rectangle 128">
              <a:extLst>
                <a:ext uri="{FF2B5EF4-FFF2-40B4-BE49-F238E27FC236}">
                  <a16:creationId xmlns:a16="http://schemas.microsoft.com/office/drawing/2014/main" id="{E6E49C65-B545-4F90-87D1-01980796DBA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24550" y="9124950"/>
              <a:ext cx="352425" cy="342900"/>
            </a:xfrm>
            <a:prstGeom prst="roundRect">
              <a:avLst>
                <a:gd name="adj" fmla="val 16667"/>
              </a:avLst>
            </a:prstGeom>
            <a:solidFill>
              <a:srgbClr val="FFFF99"/>
            </a:solidFill>
            <a:ln w="9525" algn="ctr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" name="Group 89">
              <a:extLst>
                <a:ext uri="{FF2B5EF4-FFF2-40B4-BE49-F238E27FC236}">
                  <a16:creationId xmlns:a16="http://schemas.microsoft.com/office/drawing/2014/main" id="{C0D5A414-FC1E-D957-EAEE-27F2AA881228}"/>
                </a:ext>
              </a:extLst>
            </xdr:cNvPr>
            <xdr:cNvGrpSpPr/>
          </xdr:nvGrpSpPr>
          <xdr:grpSpPr>
            <a:xfrm>
              <a:off x="6254262" y="9063459"/>
              <a:ext cx="171450" cy="432966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8" name="Rectangle 17">
                <a:extLst>
                  <a:ext uri="{FF2B5EF4-FFF2-40B4-BE49-F238E27FC236}">
                    <a16:creationId xmlns:a16="http://schemas.microsoft.com/office/drawing/2014/main" id="{BB7BB5E4-50A9-04E7-6187-425A5E681FCA}"/>
                  </a:ext>
                </a:extLst>
              </xdr:cNvPr>
              <xdr:cNvSpPr/>
            </xdr:nvSpPr>
            <xdr:spPr bwMode="auto">
              <a:xfrm>
                <a:off x="8991600" y="9137650"/>
                <a:ext cx="99646" cy="7937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9" name="Rectangle 18">
                <a:extLst>
                  <a:ext uri="{FF2B5EF4-FFF2-40B4-BE49-F238E27FC236}">
                    <a16:creationId xmlns:a16="http://schemas.microsoft.com/office/drawing/2014/main" id="{E5D47A40-E60D-F45C-301C-BFA72FBD727B}"/>
                  </a:ext>
                </a:extLst>
              </xdr:cNvPr>
              <xdr:cNvSpPr/>
            </xdr:nvSpPr>
            <xdr:spPr bwMode="auto">
              <a:xfrm>
                <a:off x="9091246" y="8963025"/>
                <a:ext cx="62279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grpSp>
          <xdr:nvGrpSpPr>
            <xdr:cNvPr id="14" name="Group 90">
              <a:extLst>
                <a:ext uri="{FF2B5EF4-FFF2-40B4-BE49-F238E27FC236}">
                  <a16:creationId xmlns:a16="http://schemas.microsoft.com/office/drawing/2014/main" id="{761D1D5A-2CE7-A504-6D4C-9C5CD9A06226}"/>
                </a:ext>
              </a:extLst>
            </xdr:cNvPr>
            <xdr:cNvGrpSpPr/>
          </xdr:nvGrpSpPr>
          <xdr:grpSpPr>
            <a:xfrm flipH="1">
              <a:off x="6359769" y="8502208"/>
              <a:ext cx="184638" cy="416930"/>
              <a:chOff x="8991600" y="8963025"/>
              <a:chExt cx="161925" cy="428625"/>
            </a:xfrm>
            <a:solidFill>
              <a:schemeClr val="bg1">
                <a:lumMod val="85000"/>
              </a:schemeClr>
            </a:solidFill>
          </xdr:grpSpPr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24E7AB5D-A8D3-95C6-9127-92D88DF04FF6}"/>
                  </a:ext>
                </a:extLst>
              </xdr:cNvPr>
              <xdr:cNvSpPr/>
            </xdr:nvSpPr>
            <xdr:spPr bwMode="auto">
              <a:xfrm>
                <a:off x="8991599" y="9127881"/>
                <a:ext cx="104095" cy="82428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66A21D64-8FB3-322E-67BE-68B36D9B8F07}"/>
                  </a:ext>
                </a:extLst>
              </xdr:cNvPr>
              <xdr:cNvSpPr/>
            </xdr:nvSpPr>
            <xdr:spPr bwMode="auto">
              <a:xfrm>
                <a:off x="9095693" y="8963025"/>
                <a:ext cx="57830" cy="428625"/>
              </a:xfrm>
              <a:prstGeom prst="rect">
                <a:avLst/>
              </a:prstGeom>
              <a:grpFill/>
              <a:ln w="9525" cap="flat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wrap="square" lIns="18288" tIns="0" rIns="0" bIns="0" rtlCol="0" anchor="ctr" upright="1"/>
              <a:lstStyle/>
              <a:p>
                <a:endParaRPr lang="en-US"/>
              </a:p>
            </xdr:txBody>
          </xdr:sp>
        </xdr:grpSp>
        <xdr:cxnSp macro="">
          <xdr:nvCxnSpPr>
            <xdr:cNvPr id="15" name="Straight Connector 131">
              <a:extLst>
                <a:ext uri="{FF2B5EF4-FFF2-40B4-BE49-F238E27FC236}">
                  <a16:creationId xmlns:a16="http://schemas.microsoft.com/office/drawing/2014/main" id="{B41ED083-2827-2FA6-D050-4B7C41A77A60}"/>
                </a:ext>
              </a:extLst>
            </xdr:cNvPr>
            <xdr:cNvCxnSpPr>
              <a:cxnSpLocks noChangeShapeType="1"/>
              <a:stCxn id="17" idx="0"/>
              <a:endCxn id="19" idx="2"/>
            </xdr:cNvCxnSpPr>
          </xdr:nvCxnSpPr>
          <xdr:spPr bwMode="auto">
            <a:xfrm rot="-5400000" flipH="1" flipV="1">
              <a:off x="5892893" y="8994681"/>
              <a:ext cx="1000125" cy="3361"/>
            </a:xfrm>
            <a:prstGeom prst="line">
              <a:avLst/>
            </a:prstGeom>
            <a:noFill/>
            <a:ln w="31750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cxnSp macro="">
        <xdr:nvCxnSpPr>
          <xdr:cNvPr id="5" name="Straight Connector 153">
            <a:extLst>
              <a:ext uri="{FF2B5EF4-FFF2-40B4-BE49-F238E27FC236}">
                <a16:creationId xmlns:a16="http://schemas.microsoft.com/office/drawing/2014/main" id="{CE5F7450-97F2-E5F9-D40D-5399E390210D}"/>
              </a:ext>
            </a:extLst>
          </xdr:cNvPr>
          <xdr:cNvCxnSpPr>
            <a:cxnSpLocks noChangeShapeType="1"/>
            <a:stCxn id="19" idx="2"/>
            <a:endCxn id="46" idx="0"/>
          </xdr:cNvCxnSpPr>
        </xdr:nvCxnSpPr>
        <xdr:spPr bwMode="auto">
          <a:xfrm>
            <a:off x="12796613" y="7141465"/>
            <a:ext cx="8381" cy="165584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6" name="Curved Left Arrow 6">
            <a:extLst>
              <a:ext uri="{FF2B5EF4-FFF2-40B4-BE49-F238E27FC236}">
                <a16:creationId xmlns:a16="http://schemas.microsoft.com/office/drawing/2014/main" id="{18E52D58-FDB1-E1B2-96EB-31ADA8CDC5B7}"/>
              </a:ext>
            </a:extLst>
          </xdr:cNvPr>
          <xdr:cNvSpPr/>
        </xdr:nvSpPr>
        <xdr:spPr bwMode="auto">
          <a:xfrm flipV="1">
            <a:off x="12993414" y="8438125"/>
            <a:ext cx="256190" cy="727007"/>
          </a:xfrm>
          <a:prstGeom prst="curved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sp macro="" textlink="">
        <xdr:nvSpPr>
          <xdr:cNvPr id="7" name="Left Arrow 7">
            <a:extLst>
              <a:ext uri="{FF2B5EF4-FFF2-40B4-BE49-F238E27FC236}">
                <a16:creationId xmlns:a16="http://schemas.microsoft.com/office/drawing/2014/main" id="{86C53423-364D-2830-961B-C76CA9905B11}"/>
              </a:ext>
            </a:extLst>
          </xdr:cNvPr>
          <xdr:cNvSpPr/>
        </xdr:nvSpPr>
        <xdr:spPr bwMode="auto">
          <a:xfrm>
            <a:off x="13367845" y="8785069"/>
            <a:ext cx="307048" cy="113573"/>
          </a:xfrm>
          <a:prstGeom prst="leftArrow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pic>
        <xdr:nvPicPr>
          <xdr:cNvPr id="8" name="Picture 7" descr="C:\Users\Joseph Campos\AppData\Local\Microsoft\Windows\Temporary Internet Files\Content.IE5\KOY32B7X\eye-side[1].png">
            <a:extLst>
              <a:ext uri="{FF2B5EF4-FFF2-40B4-BE49-F238E27FC236}">
                <a16:creationId xmlns:a16="http://schemas.microsoft.com/office/drawing/2014/main" id="{C68E45BC-1043-4C9C-45C6-ED4F27F7D4F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1947199" y="7370567"/>
            <a:ext cx="328882" cy="537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E291B5D2-9501-4455-5BE5-69E1957310D5}"/>
              </a:ext>
            </a:extLst>
          </xdr:cNvPr>
          <xdr:cNvSpPr txBox="1"/>
        </xdr:nvSpPr>
        <xdr:spPr>
          <a:xfrm>
            <a:off x="11189641" y="7498379"/>
            <a:ext cx="895600" cy="3017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LOOKING</a:t>
            </a:r>
          </a:p>
          <a:p>
            <a:endParaRPr 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899446FF-192D-A9A5-2B59-6192A2E27437}"/>
              </a:ext>
            </a:extLst>
          </xdr:cNvPr>
          <xdr:cNvSpPr txBox="1"/>
        </xdr:nvSpPr>
        <xdr:spPr>
          <a:xfrm>
            <a:off x="13705489" y="8729405"/>
            <a:ext cx="582598" cy="2295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CCW</a:t>
            </a:r>
          </a:p>
          <a:p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47" name="logo">
          <a:extLst>
            <a:ext uri="{FF2B5EF4-FFF2-40B4-BE49-F238E27FC236}">
              <a16:creationId xmlns:a16="http://schemas.microsoft.com/office/drawing/2014/main" id="{ACB1514B-286E-4BC5-913C-8167EEFE3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A77CBA08-CAB7-4B88-A54A-7455ABC78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404E03B0-3911-4652-B3EC-AFDC21D1D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FA4B074F-7C87-42EA-B0D9-66FE1D50B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147638</xdr:colOff>
      <xdr:row>3</xdr:row>
      <xdr:rowOff>60571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ED44C2E7-1257-48E4-B2CD-CBB343BF8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290638" cy="5177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amposmep-my.sharepoint.com/Users/jmejia/Desktop/Fort%20Worth%20Project2/03%20-%20Project/Copy%20of%20Report%20Build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irkt\AppData\Local\Temp\Rar$DIa42712.16732\Report%20Builder%20DPS%20_V5.6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cuments\Campos\report-builder-branches\report-builder-new\dev\Report%20Builder_V8.0.3.xlsm" TargetMode="External"/><Relationship Id="rId1" Type="http://schemas.openxmlformats.org/officeDocument/2006/relationships/externalLinkPath" Target="Report%20Builder_V8.0.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Users\Joseph%20Campos\Project%20Template\Archive\V1.4-Template%20-%20T&amp;B%20Project\03%20-%20Project\Report%20Builder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Projects\Dallas\2020\E20-2264.00%20-%20Keurig%20-%20Dr.%20Pepper%20Lab\03%20-%20Project\Copy%20of%20Report%20Builder_V5.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er"/>
      <sheetName val="Sheet1"/>
      <sheetName val="DURATIONS"/>
      <sheetName val="CERTFLYER"/>
      <sheetName val="TOCFLYER"/>
      <sheetName val="DIAGCERTFLYER"/>
      <sheetName val="TPFLYER"/>
      <sheetName val="FLYERMT"/>
      <sheetName val="MAINMT"/>
      <sheetName val="CURVEMT"/>
      <sheetName val="OUTLETSUMMT"/>
      <sheetName val="TRAVMT"/>
      <sheetName val="STDPTORAVMT"/>
      <sheetName val="RNDTRAVMT"/>
      <sheetName val="ATUSUMMT"/>
      <sheetName val="ATUMT"/>
      <sheetName val="DDATUMT"/>
      <sheetName val="SFPBMT"/>
      <sheetName val="SFPBOAMT"/>
      <sheetName val="PFPBMT"/>
      <sheetName val="FANMT"/>
      <sheetName val="UHMT"/>
      <sheetName val="WCCHILLERMT"/>
      <sheetName val="ACCHILLERMT"/>
      <sheetName val="PUMPMT"/>
      <sheetName val="CTMT"/>
      <sheetName val="IMPORTMT"/>
      <sheetName val="BOILERMT"/>
      <sheetName val="CHWMT"/>
      <sheetName val="HHWMT"/>
      <sheetName val="DXMT"/>
      <sheetName val="GASMT"/>
      <sheetName val="EHMT"/>
      <sheetName val="ABBREVMT"/>
      <sheetName val="CALIBMT"/>
    </sheetNames>
    <sheetDataSet>
      <sheetData sheetId="0">
        <row r="41">
          <cell r="C41">
            <v>3</v>
          </cell>
        </row>
        <row r="43">
          <cell r="D43" t="str">
            <v>AHU</v>
          </cell>
        </row>
        <row r="46">
          <cell r="D46">
            <v>1</v>
          </cell>
          <cell r="AF46">
            <v>4</v>
          </cell>
        </row>
        <row r="51">
          <cell r="D51" t="str">
            <v>AHU-ATU</v>
          </cell>
        </row>
        <row r="54">
          <cell r="D54">
            <v>1</v>
          </cell>
          <cell r="O54">
            <v>2200</v>
          </cell>
          <cell r="AH54">
            <v>3</v>
          </cell>
        </row>
        <row r="67">
          <cell r="D67" t="str">
            <v>AHU-Outlet</v>
          </cell>
        </row>
        <row r="73">
          <cell r="D73" t="str">
            <v>AHU-ATU-Outlet</v>
          </cell>
        </row>
        <row r="76">
          <cell r="D76">
            <v>1</v>
          </cell>
          <cell r="J76">
            <v>395</v>
          </cell>
        </row>
        <row r="97">
          <cell r="D97" t="str">
            <v>AHU-Ducted Return - Inlet</v>
          </cell>
        </row>
        <row r="102">
          <cell r="C102">
            <v>0</v>
          </cell>
        </row>
        <row r="104">
          <cell r="D104" t="str">
            <v>RTU</v>
          </cell>
        </row>
        <row r="110">
          <cell r="D110" t="str">
            <v>RTU-ATU</v>
          </cell>
        </row>
        <row r="116">
          <cell r="D116" t="str">
            <v>RTU-Outlet</v>
          </cell>
        </row>
        <row r="122">
          <cell r="D122" t="str">
            <v>RTU-ATU-Outlet</v>
          </cell>
        </row>
        <row r="128">
          <cell r="D128" t="str">
            <v>RTU-Ducted Return - Inlet</v>
          </cell>
        </row>
        <row r="133">
          <cell r="C133">
            <v>0</v>
          </cell>
        </row>
        <row r="135">
          <cell r="D135" t="str">
            <v>FCU</v>
          </cell>
        </row>
        <row r="141">
          <cell r="D141" t="str">
            <v>FCU-Outlet</v>
          </cell>
        </row>
        <row r="147">
          <cell r="D147" t="str">
            <v>FCU-Ducted Return - Inlet</v>
          </cell>
        </row>
        <row r="152">
          <cell r="C152">
            <v>0</v>
          </cell>
        </row>
        <row r="154">
          <cell r="D154" t="str">
            <v>A/C</v>
          </cell>
        </row>
        <row r="160">
          <cell r="D160" t="str">
            <v>A/C-Outlet</v>
          </cell>
        </row>
        <row r="166">
          <cell r="D166" t="str">
            <v>A/C-Ducted Return - Inlet</v>
          </cell>
        </row>
        <row r="171">
          <cell r="C171">
            <v>0</v>
          </cell>
        </row>
        <row r="173">
          <cell r="D173" t="str">
            <v>CRAC</v>
          </cell>
        </row>
        <row r="179">
          <cell r="D179" t="str">
            <v>CRAC-Outlet</v>
          </cell>
        </row>
        <row r="185">
          <cell r="D185" t="str">
            <v>CRAC-Ducted Return - Inlet</v>
          </cell>
        </row>
        <row r="190">
          <cell r="C190">
            <v>0</v>
          </cell>
        </row>
        <row r="192">
          <cell r="D192" t="str">
            <v>ERV</v>
          </cell>
        </row>
        <row r="199">
          <cell r="D199" t="str">
            <v>ERV-ATU</v>
          </cell>
        </row>
        <row r="205">
          <cell r="D205" t="str">
            <v>ERV-Outlet</v>
          </cell>
        </row>
        <row r="211">
          <cell r="D211" t="str">
            <v>ERV-ATU-Outlet</v>
          </cell>
        </row>
        <row r="217">
          <cell r="D217" t="str">
            <v>ERV-Ducted Return - Inlet</v>
          </cell>
        </row>
        <row r="222">
          <cell r="C222">
            <v>1</v>
          </cell>
        </row>
        <row r="224">
          <cell r="D224" t="str">
            <v>FAN</v>
          </cell>
        </row>
        <row r="227">
          <cell r="D227">
            <v>1</v>
          </cell>
        </row>
        <row r="230">
          <cell r="D230" t="str">
            <v>FAN-Inlet</v>
          </cell>
        </row>
        <row r="235">
          <cell r="C235">
            <v>0</v>
          </cell>
        </row>
        <row r="237">
          <cell r="D237" t="str">
            <v>UH</v>
          </cell>
        </row>
        <row r="242">
          <cell r="C242">
            <v>0</v>
          </cell>
        </row>
        <row r="244">
          <cell r="D244" t="str">
            <v>CHILLER</v>
          </cell>
        </row>
        <row r="249">
          <cell r="C249">
            <v>0</v>
          </cell>
        </row>
        <row r="251">
          <cell r="D251" t="str">
            <v>CHWP</v>
          </cell>
        </row>
        <row r="256">
          <cell r="C256">
            <v>0</v>
          </cell>
        </row>
        <row r="258">
          <cell r="D258" t="str">
            <v>CWP</v>
          </cell>
        </row>
        <row r="263">
          <cell r="C263">
            <v>0</v>
          </cell>
        </row>
        <row r="265">
          <cell r="D265" t="str">
            <v>HWP</v>
          </cell>
        </row>
        <row r="270">
          <cell r="C270">
            <v>0</v>
          </cell>
        </row>
        <row r="272">
          <cell r="D272" t="str">
            <v>CT</v>
          </cell>
        </row>
        <row r="278">
          <cell r="C278">
            <v>0</v>
          </cell>
        </row>
        <row r="280">
          <cell r="D280" t="str">
            <v>BOILER</v>
          </cell>
        </row>
        <row r="287">
          <cell r="D287" t="str">
            <v>CHW COIL SUMMARY</v>
          </cell>
        </row>
      </sheetData>
      <sheetData sheetId="1"/>
      <sheetData sheetId="2">
        <row r="10">
          <cell r="B10">
            <v>8</v>
          </cell>
        </row>
        <row r="11">
          <cell r="B11">
            <v>6</v>
          </cell>
        </row>
        <row r="12">
          <cell r="B12">
            <v>2</v>
          </cell>
        </row>
        <row r="13">
          <cell r="B13">
            <v>2</v>
          </cell>
        </row>
        <row r="14">
          <cell r="B14">
            <v>2</v>
          </cell>
        </row>
        <row r="15">
          <cell r="B15">
            <v>8</v>
          </cell>
        </row>
        <row r="16">
          <cell r="B16">
            <v>2</v>
          </cell>
        </row>
        <row r="17">
          <cell r="B17">
            <v>1.25</v>
          </cell>
        </row>
        <row r="18">
          <cell r="B18">
            <v>0.14000000000000001</v>
          </cell>
        </row>
        <row r="19">
          <cell r="B19">
            <v>0.14000000000000001</v>
          </cell>
        </row>
        <row r="20">
          <cell r="B20">
            <v>0.5</v>
          </cell>
        </row>
        <row r="21">
          <cell r="B21">
            <v>4</v>
          </cell>
        </row>
        <row r="22">
          <cell r="B22">
            <v>2</v>
          </cell>
        </row>
        <row r="23">
          <cell r="B23">
            <v>4</v>
          </cell>
        </row>
        <row r="24">
          <cell r="B24">
            <v>1</v>
          </cell>
        </row>
        <row r="25">
          <cell r="B25">
            <v>0.5</v>
          </cell>
        </row>
        <row r="26">
          <cell r="B26">
            <v>0.5</v>
          </cell>
        </row>
        <row r="27">
          <cell r="B27">
            <v>0.5</v>
          </cell>
        </row>
        <row r="28">
          <cell r="B28">
            <v>0.5</v>
          </cell>
        </row>
        <row r="29">
          <cell r="B29">
            <v>0.5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er"/>
      <sheetName val="PUMPMT"/>
      <sheetName val="logo"/>
      <sheetName val="DURATIONS"/>
      <sheetName val="TPFLYER"/>
      <sheetName val="CERTFLYER"/>
      <sheetName val="DIAGCERTFLYER"/>
      <sheetName val="TOCFLYER"/>
      <sheetName val="FLYERMT"/>
      <sheetName val="MAINMT"/>
      <sheetName val="DFMT"/>
      <sheetName val="DF_SINGLE_SPMT"/>
      <sheetName val="DF_DOUBLE_SPMT"/>
      <sheetName val="CURVEMT"/>
      <sheetName val="OUTLETSUMMT"/>
      <sheetName val="TRAVMT"/>
      <sheetName val="STDPTORAVMT"/>
      <sheetName val="STD_AF_TRAVMT"/>
      <sheetName val="RNDTRAVMT"/>
      <sheetName val="RND_AF_TRAVMT"/>
      <sheetName val="ATUSUMMT"/>
      <sheetName val="ATUMT"/>
      <sheetName val="DDATUMT"/>
      <sheetName val="SFPBMT"/>
      <sheetName val="SFPBOAMT"/>
      <sheetName val="PFPBMT"/>
      <sheetName val="SAVMT"/>
      <sheetName val="RAVMT"/>
      <sheetName val="EAVMT"/>
      <sheetName val="FANMT"/>
      <sheetName val="UHMT"/>
      <sheetName val="ACCHILLERMT"/>
      <sheetName val="WCCHILLERMT"/>
      <sheetName val="HRCHMT"/>
      <sheetName val="HEXMT"/>
      <sheetName val="HEX_STEAMMT"/>
      <sheetName val="CTMT"/>
      <sheetName val="BOILERMT"/>
      <sheetName val="CHWMT"/>
      <sheetName val="DXMT"/>
      <sheetName val="HHWMT"/>
      <sheetName val="HPMT"/>
      <sheetName val="ERCSUMFLYER"/>
      <sheetName val="ERC_SUMMERMT"/>
      <sheetName val="ERC_WINTERMT"/>
      <sheetName val="WHEELSUMFLYER"/>
      <sheetName val="WHEEL_SUMMERMT"/>
      <sheetName val="WHEEL_WINTERMT"/>
      <sheetName val="GASMT"/>
      <sheetName val="DHWMT"/>
      <sheetName val="EHMT"/>
      <sheetName val="ABBREVMT"/>
      <sheetName val="CALIBMT"/>
      <sheetName val="IMPORTMT"/>
    </sheetNames>
    <sheetDataSet>
      <sheetData sheetId="0">
        <row r="41">
          <cell r="C41">
            <v>0</v>
          </cell>
        </row>
        <row r="43">
          <cell r="D43" t="str">
            <v>AHU</v>
          </cell>
        </row>
        <row r="49">
          <cell r="D49" t="str">
            <v>AHU-ATU</v>
          </cell>
        </row>
        <row r="55">
          <cell r="D55" t="str">
            <v>AHU-Outlet</v>
          </cell>
        </row>
        <row r="61">
          <cell r="D61" t="str">
            <v>AHU-ATU-Outlet</v>
          </cell>
        </row>
        <row r="67">
          <cell r="D67" t="str">
            <v>AHU-Ducted Return - Inlet</v>
          </cell>
        </row>
        <row r="72">
          <cell r="C72">
            <v>0</v>
          </cell>
        </row>
        <row r="74">
          <cell r="D74" t="str">
            <v>RTU</v>
          </cell>
        </row>
        <row r="80">
          <cell r="D80" t="str">
            <v>RTU-ATU</v>
          </cell>
        </row>
        <row r="86">
          <cell r="D86" t="str">
            <v>RTU-Outlet</v>
          </cell>
        </row>
        <row r="92">
          <cell r="D92" t="str">
            <v>RTU-ATU-Outlet</v>
          </cell>
        </row>
        <row r="98">
          <cell r="D98" t="str">
            <v>RTU-Ducted Return - Inlet</v>
          </cell>
        </row>
        <row r="103">
          <cell r="C103">
            <v>0</v>
          </cell>
        </row>
        <row r="105">
          <cell r="D105" t="str">
            <v>FCU</v>
          </cell>
        </row>
        <row r="111">
          <cell r="D111" t="str">
            <v>FCU-Outlet</v>
          </cell>
        </row>
        <row r="117">
          <cell r="D117" t="str">
            <v>FCU-Ducted Return - Inlet</v>
          </cell>
        </row>
        <row r="122">
          <cell r="C122">
            <v>0</v>
          </cell>
        </row>
        <row r="124">
          <cell r="D124" t="str">
            <v>A/C</v>
          </cell>
        </row>
        <row r="130">
          <cell r="D130" t="str">
            <v>A/C-Outlet</v>
          </cell>
        </row>
        <row r="136">
          <cell r="D136" t="str">
            <v>A/C-Ducted Return - Inlet</v>
          </cell>
        </row>
        <row r="141">
          <cell r="C141">
            <v>0</v>
          </cell>
        </row>
        <row r="143">
          <cell r="D143" t="str">
            <v>CRAC</v>
          </cell>
        </row>
        <row r="149">
          <cell r="D149" t="str">
            <v>CRAC-Outlet</v>
          </cell>
        </row>
        <row r="155">
          <cell r="D155" t="str">
            <v>CRAC-Ducted Return - Inlet</v>
          </cell>
        </row>
        <row r="160">
          <cell r="C160">
            <v>0</v>
          </cell>
        </row>
        <row r="162">
          <cell r="D162" t="str">
            <v>ERV</v>
          </cell>
        </row>
        <row r="169">
          <cell r="D169" t="str">
            <v>ERV-ATU</v>
          </cell>
        </row>
        <row r="175">
          <cell r="D175" t="str">
            <v>ERV-Outlet</v>
          </cell>
        </row>
        <row r="181">
          <cell r="D181" t="str">
            <v>ERV-ATU-Outlet</v>
          </cell>
        </row>
        <row r="187">
          <cell r="D187" t="str">
            <v>ERV-Ducted Return - Inlet</v>
          </cell>
        </row>
        <row r="192">
          <cell r="C192">
            <v>0</v>
          </cell>
        </row>
        <row r="194">
          <cell r="D194" t="str">
            <v>FAN</v>
          </cell>
        </row>
        <row r="200">
          <cell r="D200" t="str">
            <v>FAN-Inlet</v>
          </cell>
        </row>
        <row r="205">
          <cell r="C205">
            <v>0</v>
          </cell>
        </row>
        <row r="207">
          <cell r="D207" t="str">
            <v>UH</v>
          </cell>
        </row>
        <row r="212">
          <cell r="C212">
            <v>0</v>
          </cell>
        </row>
        <row r="214">
          <cell r="D214" t="str">
            <v>CHILLER</v>
          </cell>
        </row>
        <row r="219">
          <cell r="C219">
            <v>0</v>
          </cell>
        </row>
        <row r="221">
          <cell r="D221" t="str">
            <v>CHWP</v>
          </cell>
        </row>
        <row r="226">
          <cell r="C226">
            <v>0</v>
          </cell>
        </row>
        <row r="228">
          <cell r="D228" t="str">
            <v>CWP</v>
          </cell>
        </row>
        <row r="233">
          <cell r="C233">
            <v>0</v>
          </cell>
        </row>
        <row r="235">
          <cell r="D235" t="str">
            <v>HWP</v>
          </cell>
        </row>
        <row r="240">
          <cell r="C240">
            <v>0</v>
          </cell>
        </row>
        <row r="242">
          <cell r="D242" t="str">
            <v>CT</v>
          </cell>
        </row>
        <row r="248">
          <cell r="C248">
            <v>0</v>
          </cell>
        </row>
        <row r="250">
          <cell r="D250" t="str">
            <v>BOILER</v>
          </cell>
        </row>
        <row r="257">
          <cell r="D257" t="str">
            <v>CHW COIL SUMMARY</v>
          </cell>
        </row>
      </sheetData>
      <sheetData sheetId="1" refreshError="1"/>
      <sheetData sheetId="2" refreshError="1"/>
      <sheetData sheetId="3">
        <row r="10">
          <cell r="B10">
            <v>8</v>
          </cell>
        </row>
        <row r="11">
          <cell r="B11">
            <v>6</v>
          </cell>
        </row>
        <row r="12">
          <cell r="B12">
            <v>2</v>
          </cell>
        </row>
        <row r="13">
          <cell r="B13">
            <v>2</v>
          </cell>
        </row>
        <row r="14">
          <cell r="B14">
            <v>2</v>
          </cell>
        </row>
        <row r="15">
          <cell r="B15">
            <v>8</v>
          </cell>
        </row>
        <row r="16">
          <cell r="B16">
            <v>2</v>
          </cell>
        </row>
        <row r="17">
          <cell r="B17">
            <v>1.25</v>
          </cell>
        </row>
        <row r="18">
          <cell r="B18">
            <v>0.14000000000000001</v>
          </cell>
        </row>
        <row r="19">
          <cell r="B19">
            <v>0.14000000000000001</v>
          </cell>
        </row>
        <row r="20">
          <cell r="B20">
            <v>0.5</v>
          </cell>
        </row>
        <row r="21">
          <cell r="B21">
            <v>4</v>
          </cell>
        </row>
        <row r="22">
          <cell r="B22">
            <v>2</v>
          </cell>
        </row>
        <row r="23">
          <cell r="B23">
            <v>4</v>
          </cell>
        </row>
        <row r="24">
          <cell r="B24">
            <v>1</v>
          </cell>
        </row>
        <row r="25">
          <cell r="B25">
            <v>0.5</v>
          </cell>
        </row>
        <row r="26">
          <cell r="B26">
            <v>0.5</v>
          </cell>
        </row>
        <row r="27">
          <cell r="B27">
            <v>0.5</v>
          </cell>
        </row>
        <row r="28">
          <cell r="B28">
            <v>0.5</v>
          </cell>
        </row>
        <row r="29">
          <cell r="B29">
            <v>0.5</v>
          </cell>
        </row>
        <row r="30">
          <cell r="B30">
            <v>0.5</v>
          </cell>
        </row>
      </sheetData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ilder"/>
      <sheetName val="Engineer List"/>
      <sheetName val="TESTINGONLY"/>
      <sheetName val="HPMT1"/>
      <sheetName val="PUMPMT"/>
      <sheetName val="CTMT"/>
      <sheetName val="logo"/>
      <sheetName val="DURATIONS"/>
      <sheetName val="TPFLYER"/>
      <sheetName val="CERTFLYER"/>
      <sheetName val="DIAGCERTFLYER"/>
      <sheetName val="TOCFLYER"/>
      <sheetName val="SUMFLYER"/>
      <sheetName val="FLYERMT"/>
      <sheetName val="MAINMT"/>
      <sheetName val="DFMT"/>
      <sheetName val="DF_SINGLE_SPMT"/>
      <sheetName val="DF_DOUBLE_SPMT"/>
      <sheetName val="CURVEMT"/>
      <sheetName val="OUTLETSUMMT"/>
      <sheetName val="TRAVMT"/>
      <sheetName val="STDPTORAVMT"/>
      <sheetName val="STD_AF_TRAVMT"/>
      <sheetName val="RNDTRAVMT"/>
      <sheetName val="RND_AF_TRAVMT"/>
      <sheetName val="ATUSUMMT"/>
      <sheetName val="ATUMT"/>
      <sheetName val="DDATUMT"/>
      <sheetName val="SFPBMT"/>
      <sheetName val="SFPBOAMT"/>
      <sheetName val="PFPBMT"/>
      <sheetName val="SAVMT"/>
      <sheetName val="RAVMT"/>
      <sheetName val="EAVMT"/>
      <sheetName val="FANMT"/>
      <sheetName val="UHMT"/>
      <sheetName val="ACCHILLERMT"/>
      <sheetName val="WCCHILLERMT"/>
      <sheetName val="HRCHMT"/>
      <sheetName val="HEXMT"/>
      <sheetName val="HEX_STEAMMT"/>
      <sheetName val="BOILERMT"/>
      <sheetName val="CHWMT"/>
      <sheetName val="DXMT"/>
      <sheetName val="HHWMT"/>
      <sheetName val="ERCSUMFLYER"/>
      <sheetName val="ERC_SUMMERMT"/>
      <sheetName val="ERC_WINTERMT"/>
      <sheetName val="WHEELSUMFLYER"/>
      <sheetName val="WHEEL_SUMMERMT"/>
      <sheetName val="WHEEL_WINTERMT"/>
      <sheetName val="GASMT"/>
      <sheetName val="DHWMT"/>
      <sheetName val="EHMT"/>
      <sheetName val="ABBREVMT"/>
      <sheetName val="CALIBMT"/>
      <sheetName val="Sheet1"/>
      <sheetName val="IMPORTMT"/>
    </sheetNames>
    <sheetDataSet>
      <sheetData sheetId="0">
        <row r="41">
          <cell r="C41">
            <v>1</v>
          </cell>
        </row>
        <row r="43">
          <cell r="D43" t="str">
            <v>AHU</v>
          </cell>
        </row>
        <row r="49">
          <cell r="D49" t="str">
            <v>AHU-ATU</v>
          </cell>
        </row>
        <row r="75">
          <cell r="J75" t="str">
            <v>Model No.</v>
          </cell>
        </row>
        <row r="80">
          <cell r="D80" t="str">
            <v>RTU-ATU</v>
          </cell>
        </row>
        <row r="86">
          <cell r="D86" t="str">
            <v>RTU-Outlet</v>
          </cell>
        </row>
        <row r="92">
          <cell r="D92" t="str">
            <v>RTU-ATU-Outlet</v>
          </cell>
        </row>
        <row r="98">
          <cell r="D98" t="str">
            <v>RTU-Ducted Return - Inlet</v>
          </cell>
        </row>
        <row r="111">
          <cell r="D111" t="str">
            <v>FCU-Outlet</v>
          </cell>
        </row>
        <row r="117">
          <cell r="D117" t="str">
            <v>FCU-Ducted Return - Inlet</v>
          </cell>
        </row>
        <row r="130">
          <cell r="D130" t="str">
            <v>A/C-Outlet</v>
          </cell>
        </row>
        <row r="136">
          <cell r="D136" t="str">
            <v>A/C-Ducted Return - Inlet</v>
          </cell>
        </row>
        <row r="149">
          <cell r="D149" t="str">
            <v>CRAC-Outlet</v>
          </cell>
        </row>
        <row r="155">
          <cell r="D155" t="str">
            <v>CRAC-Ducted Return - Inlet</v>
          </cell>
        </row>
        <row r="223">
          <cell r="D223" t="str">
            <v>FAN-Inlet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0">
          <cell r="B10">
            <v>8</v>
          </cell>
        </row>
        <row r="11">
          <cell r="B11">
            <v>6</v>
          </cell>
        </row>
        <row r="12">
          <cell r="B12">
            <v>2</v>
          </cell>
        </row>
        <row r="13">
          <cell r="B13">
            <v>2</v>
          </cell>
        </row>
        <row r="14">
          <cell r="B14">
            <v>2</v>
          </cell>
        </row>
        <row r="15">
          <cell r="B15">
            <v>8</v>
          </cell>
        </row>
        <row r="16">
          <cell r="B16">
            <v>2</v>
          </cell>
        </row>
        <row r="17">
          <cell r="B17">
            <v>1.25</v>
          </cell>
        </row>
        <row r="18">
          <cell r="B18">
            <v>0.14000000000000001</v>
          </cell>
        </row>
        <row r="19">
          <cell r="B19">
            <v>0.14000000000000001</v>
          </cell>
        </row>
        <row r="20">
          <cell r="B20">
            <v>0.5</v>
          </cell>
        </row>
        <row r="21">
          <cell r="B21">
            <v>4</v>
          </cell>
        </row>
        <row r="22">
          <cell r="B22">
            <v>2</v>
          </cell>
        </row>
        <row r="23">
          <cell r="B23">
            <v>4</v>
          </cell>
        </row>
        <row r="24">
          <cell r="B24">
            <v>1</v>
          </cell>
        </row>
        <row r="25">
          <cell r="B25">
            <v>0.5</v>
          </cell>
        </row>
        <row r="26">
          <cell r="B26">
            <v>0.5</v>
          </cell>
        </row>
        <row r="27">
          <cell r="B27">
            <v>0.5</v>
          </cell>
        </row>
        <row r="28">
          <cell r="B28">
            <v>0.5</v>
          </cell>
        </row>
        <row r="29">
          <cell r="B29">
            <v>0.5</v>
          </cell>
        </row>
        <row r="30">
          <cell r="B30">
            <v>0.5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er"/>
      <sheetName val="TPFLYER"/>
      <sheetName val="CERTFLYER"/>
      <sheetName val="TOCFLYER"/>
      <sheetName val="FLYERMT"/>
      <sheetName val="MAINMT"/>
      <sheetName val="CURVEMT"/>
      <sheetName val="TRAVMT"/>
      <sheetName val="OUTLETSUMMT"/>
      <sheetName val="ATUSUMMT"/>
      <sheetName val="ATUMT"/>
      <sheetName val="DDATUMT"/>
      <sheetName val="FANMT"/>
      <sheetName val="UHMT"/>
      <sheetName val="WCCHILLERMT"/>
      <sheetName val="ACCHILLERMT"/>
      <sheetName val="PUMPMT"/>
      <sheetName val="CTMT"/>
      <sheetName val="BOILERMT"/>
      <sheetName val="CHWMT"/>
      <sheetName val="HHWMT"/>
      <sheetName val="ABBREVMT"/>
      <sheetName val="CALIBM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er"/>
      <sheetName val="DURATIONS"/>
      <sheetName val="TPFLYER"/>
      <sheetName val="CERTFLYER"/>
      <sheetName val="DIAGCERTFLYER"/>
      <sheetName val="TOCFLYER"/>
      <sheetName val="FLYERMT"/>
      <sheetName val="MAINMT"/>
      <sheetName val="CURVEMT"/>
      <sheetName val="OUTLETSUMMT"/>
      <sheetName val="TRAVMT"/>
      <sheetName val="STDPTORAVMT"/>
      <sheetName val="RNDTRAVMT"/>
      <sheetName val="ATUSUMMT"/>
      <sheetName val="ATUMT"/>
      <sheetName val="DDATUMT"/>
      <sheetName val="SFPBMT"/>
      <sheetName val="SFPBOAMT"/>
      <sheetName val="PFPBMT"/>
      <sheetName val="SAVMT"/>
      <sheetName val="RAVMT"/>
      <sheetName val="EAVMT"/>
      <sheetName val="FANMT"/>
      <sheetName val="UHMT"/>
      <sheetName val="WCCHILLERMT"/>
      <sheetName val="ACCHILLERMT"/>
      <sheetName val="HEXMT"/>
      <sheetName val="PUMPMT"/>
      <sheetName val="CTMT"/>
      <sheetName val="IMPORTMT"/>
      <sheetName val="BOILERMT"/>
      <sheetName val="CHWMT"/>
      <sheetName val="DXMT"/>
      <sheetName val="HHWMT"/>
      <sheetName val="HPMT"/>
      <sheetName val="GASMT"/>
      <sheetName val="DHWMT"/>
      <sheetName val="EHMT"/>
      <sheetName val="ABBREVMT"/>
      <sheetName val="CALIBMT"/>
    </sheetNames>
    <sheetDataSet>
      <sheetData sheetId="0">
        <row r="10">
          <cell r="C10" t="str">
            <v>Keurig - Dr. Pepper Lab</v>
          </cell>
        </row>
      </sheetData>
      <sheetData sheetId="1">
        <row r="10">
          <cell r="B10">
            <v>8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34">
          <cell r="A34"/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uilder"/>
  <dimension ref="A1:AD552"/>
  <sheetViews>
    <sheetView tabSelected="1" topLeftCell="A179" zoomScale="103" zoomScaleNormal="100" workbookViewId="0">
      <pane xSplit="6" topLeftCell="G1" activePane="topRight" state="frozen"/>
      <selection pane="topRight" activeCell="C550" sqref="C550:C552"/>
    </sheetView>
  </sheetViews>
  <sheetFormatPr defaultRowHeight="15" x14ac:dyDescent="0.25"/>
  <cols>
    <col min="1" max="1" width="18.140625" customWidth="1"/>
    <col min="2" max="2" width="31.28515625" bestFit="1" customWidth="1"/>
    <col min="3" max="3" width="36.140625" customWidth="1"/>
    <col min="4" max="4" width="4.42578125" customWidth="1"/>
    <col min="5" max="37" width="18.7109375" customWidth="1"/>
  </cols>
  <sheetData>
    <row r="1" spans="1:6" ht="28.5" customHeight="1" x14ac:dyDescent="0.25">
      <c r="A1" s="12"/>
      <c r="B1" s="12"/>
      <c r="C1" s="261" t="s">
        <v>39</v>
      </c>
      <c r="D1" s="261"/>
      <c r="E1" s="261"/>
      <c r="F1" s="261"/>
    </row>
    <row r="2" spans="1:6" ht="27.95" customHeight="1" x14ac:dyDescent="0.25">
      <c r="A2" s="12"/>
      <c r="B2" s="12"/>
      <c r="C2" s="261" t="s">
        <v>38</v>
      </c>
      <c r="D2" s="261"/>
      <c r="E2" s="261"/>
      <c r="F2" s="261"/>
    </row>
    <row r="3" spans="1:6" ht="23.45" customHeight="1" x14ac:dyDescent="0.25">
      <c r="A3" s="12"/>
      <c r="B3" s="12"/>
      <c r="C3" s="261" t="s">
        <v>37</v>
      </c>
      <c r="D3" s="261"/>
      <c r="E3" s="261"/>
      <c r="F3" s="261"/>
    </row>
    <row r="4" spans="1:6" ht="26.45" customHeight="1" x14ac:dyDescent="0.25">
      <c r="A4" s="12"/>
      <c r="B4" s="12"/>
      <c r="C4" s="261" t="s">
        <v>36</v>
      </c>
      <c r="D4" s="261"/>
      <c r="E4" s="261"/>
      <c r="F4" s="261"/>
    </row>
    <row r="5" spans="1:6" ht="23.1" customHeight="1" x14ac:dyDescent="0.25">
      <c r="A5" s="14" t="s">
        <v>34</v>
      </c>
      <c r="B5" s="12"/>
      <c r="C5" s="261" t="s">
        <v>35</v>
      </c>
      <c r="D5" s="261"/>
      <c r="E5" s="261"/>
      <c r="F5" s="261"/>
    </row>
    <row r="6" spans="1:6" x14ac:dyDescent="0.25">
      <c r="A6" s="13" t="s">
        <v>915</v>
      </c>
      <c r="B6" s="12"/>
      <c r="C6" s="12"/>
      <c r="D6" s="12"/>
      <c r="E6" s="12"/>
      <c r="F6" s="12"/>
    </row>
    <row r="7" spans="1:6" x14ac:dyDescent="0.25">
      <c r="A7" s="13" t="s">
        <v>40</v>
      </c>
      <c r="B7" s="12"/>
      <c r="C7" s="12"/>
      <c r="D7" s="12"/>
      <c r="E7" s="12"/>
      <c r="F7" s="12"/>
    </row>
    <row r="8" spans="1:6" x14ac:dyDescent="0.25">
      <c r="A8" s="1" t="s">
        <v>0</v>
      </c>
      <c r="B8" s="2" t="s">
        <v>1</v>
      </c>
      <c r="C8" s="3" t="s">
        <v>2</v>
      </c>
      <c r="E8" s="12"/>
      <c r="F8" s="12"/>
    </row>
    <row r="9" spans="1:6" x14ac:dyDescent="0.25">
      <c r="A9" s="37"/>
      <c r="B9" s="38" t="s">
        <v>3</v>
      </c>
      <c r="C9" s="39"/>
      <c r="E9" s="12"/>
      <c r="F9" s="12"/>
    </row>
    <row r="10" spans="1:6" x14ac:dyDescent="0.25">
      <c r="A10" s="4"/>
      <c r="B10" s="5" t="s">
        <v>4</v>
      </c>
      <c r="C10" s="6" t="s">
        <v>291</v>
      </c>
      <c r="E10" s="12"/>
      <c r="F10" s="12"/>
    </row>
    <row r="11" spans="1:6" x14ac:dyDescent="0.25">
      <c r="A11" s="4"/>
      <c r="B11" s="5" t="s">
        <v>5</v>
      </c>
      <c r="C11" s="6"/>
      <c r="E11" s="12"/>
      <c r="F11" s="12"/>
    </row>
    <row r="12" spans="1:6" x14ac:dyDescent="0.25">
      <c r="A12" s="4"/>
      <c r="B12" s="5" t="s">
        <v>6</v>
      </c>
      <c r="C12" s="7"/>
      <c r="E12" s="12"/>
      <c r="F12" s="12"/>
    </row>
    <row r="13" spans="1:6" x14ac:dyDescent="0.25">
      <c r="A13" s="4"/>
      <c r="B13" s="5" t="s">
        <v>7</v>
      </c>
      <c r="C13" s="7"/>
      <c r="E13" s="12"/>
      <c r="F13" s="12"/>
    </row>
    <row r="14" spans="1:6" x14ac:dyDescent="0.25">
      <c r="A14" s="4"/>
      <c r="B14" s="5" t="s">
        <v>8</v>
      </c>
      <c r="C14" s="6"/>
      <c r="E14" s="12"/>
      <c r="F14" s="12"/>
    </row>
    <row r="15" spans="1:6" x14ac:dyDescent="0.25">
      <c r="A15" s="37"/>
      <c r="B15" s="38" t="s">
        <v>9</v>
      </c>
      <c r="C15" s="39"/>
      <c r="E15" s="12"/>
      <c r="F15" s="12"/>
    </row>
    <row r="16" spans="1:6" x14ac:dyDescent="0.25">
      <c r="A16" s="4"/>
      <c r="B16" s="5" t="s">
        <v>10</v>
      </c>
      <c r="C16" s="6"/>
      <c r="E16" s="12"/>
      <c r="F16" s="12"/>
    </row>
    <row r="17" spans="1:6" x14ac:dyDescent="0.25">
      <c r="A17" s="4"/>
      <c r="B17" s="5" t="s">
        <v>11</v>
      </c>
      <c r="C17" s="8"/>
    </row>
    <row r="18" spans="1:6" x14ac:dyDescent="0.25">
      <c r="A18" s="4"/>
      <c r="B18" s="5" t="s">
        <v>12</v>
      </c>
      <c r="C18" s="9"/>
    </row>
    <row r="19" spans="1:6" x14ac:dyDescent="0.25">
      <c r="A19" s="37"/>
      <c r="B19" s="38" t="s">
        <v>13</v>
      </c>
      <c r="C19" s="39"/>
    </row>
    <row r="20" spans="1:6" x14ac:dyDescent="0.25">
      <c r="A20" s="4"/>
      <c r="B20" s="5" t="s">
        <v>14</v>
      </c>
      <c r="C20" s="6"/>
      <c r="E20" s="12"/>
      <c r="F20" s="12"/>
    </row>
    <row r="21" spans="1:6" x14ac:dyDescent="0.25">
      <c r="A21" s="4"/>
      <c r="B21" s="5" t="s">
        <v>15</v>
      </c>
      <c r="C21" s="9"/>
      <c r="E21" s="12"/>
      <c r="F21" s="12"/>
    </row>
    <row r="22" spans="1:6" x14ac:dyDescent="0.25">
      <c r="A22" s="4"/>
      <c r="B22" s="5" t="s">
        <v>16</v>
      </c>
      <c r="C22" s="9"/>
      <c r="E22" s="12"/>
      <c r="F22" s="12"/>
    </row>
    <row r="23" spans="1:6" x14ac:dyDescent="0.25">
      <c r="A23" s="4"/>
      <c r="B23" s="5" t="s">
        <v>17</v>
      </c>
      <c r="C23" s="9"/>
      <c r="E23" s="12"/>
      <c r="F23" s="12"/>
    </row>
    <row r="24" spans="1:6" x14ac:dyDescent="0.25">
      <c r="A24" s="4"/>
      <c r="B24" s="5" t="s">
        <v>18</v>
      </c>
      <c r="C24" s="9"/>
      <c r="E24" s="12"/>
      <c r="F24" s="12"/>
    </row>
    <row r="25" spans="1:6" x14ac:dyDescent="0.25">
      <c r="A25" s="4"/>
      <c r="B25" s="5" t="s">
        <v>19</v>
      </c>
      <c r="C25" s="6"/>
      <c r="E25" s="12"/>
      <c r="F25" s="12"/>
    </row>
    <row r="26" spans="1:6" x14ac:dyDescent="0.25">
      <c r="A26" s="4"/>
      <c r="B26" s="5" t="s">
        <v>20</v>
      </c>
      <c r="C26" s="6"/>
      <c r="E26" s="12"/>
      <c r="F26" s="12"/>
    </row>
    <row r="27" spans="1:6" x14ac:dyDescent="0.25">
      <c r="A27" s="4"/>
      <c r="B27" s="5" t="s">
        <v>21</v>
      </c>
      <c r="C27" s="15"/>
      <c r="E27" s="12"/>
      <c r="F27" s="12"/>
    </row>
    <row r="28" spans="1:6" x14ac:dyDescent="0.25">
      <c r="A28" s="4"/>
      <c r="B28" s="5" t="s">
        <v>22</v>
      </c>
      <c r="C28" s="6"/>
    </row>
    <row r="29" spans="1:6" x14ac:dyDescent="0.25">
      <c r="A29" s="4"/>
      <c r="B29" s="5" t="s">
        <v>23</v>
      </c>
      <c r="C29" s="6"/>
    </row>
    <row r="30" spans="1:6" x14ac:dyDescent="0.25">
      <c r="A30" s="37"/>
      <c r="B30" s="38" t="s">
        <v>24</v>
      </c>
      <c r="C30" s="39" t="s">
        <v>25</v>
      </c>
    </row>
    <row r="31" spans="1:6" x14ac:dyDescent="0.25">
      <c r="A31" s="4"/>
      <c r="B31" s="5" t="s">
        <v>26</v>
      </c>
      <c r="C31" s="11"/>
    </row>
    <row r="32" spans="1:6" x14ac:dyDescent="0.25">
      <c r="A32" s="4"/>
      <c r="B32" s="5" t="s">
        <v>27</v>
      </c>
      <c r="C32" s="11"/>
      <c r="E32" s="12"/>
      <c r="F32" s="12"/>
    </row>
    <row r="33" spans="1:25" x14ac:dyDescent="0.25">
      <c r="A33" s="4"/>
      <c r="B33" s="5" t="s">
        <v>28</v>
      </c>
      <c r="C33" s="11"/>
    </row>
    <row r="34" spans="1:25" x14ac:dyDescent="0.25">
      <c r="A34" s="4"/>
      <c r="B34" s="5" t="s">
        <v>29</v>
      </c>
      <c r="C34" s="11"/>
    </row>
    <row r="35" spans="1:25" x14ac:dyDescent="0.25">
      <c r="A35" s="4"/>
      <c r="B35" s="5" t="s">
        <v>30</v>
      </c>
      <c r="C35" s="11"/>
    </row>
    <row r="36" spans="1:25" x14ac:dyDescent="0.25">
      <c r="A36" s="4"/>
      <c r="B36" s="5" t="s">
        <v>31</v>
      </c>
      <c r="C36" s="11"/>
    </row>
    <row r="37" spans="1:25" x14ac:dyDescent="0.25">
      <c r="A37" s="4"/>
      <c r="B37" s="5" t="s">
        <v>32</v>
      </c>
      <c r="C37" s="11"/>
      <c r="E37" s="12"/>
      <c r="F37" s="12"/>
    </row>
    <row r="38" spans="1:25" x14ac:dyDescent="0.25">
      <c r="A38" s="4"/>
      <c r="B38" s="5" t="s">
        <v>33</v>
      </c>
      <c r="C38" s="11"/>
      <c r="E38" s="12"/>
      <c r="F38" s="12"/>
    </row>
    <row r="39" spans="1:25" x14ac:dyDescent="0.25">
      <c r="A39" s="37"/>
      <c r="B39" s="38" t="s">
        <v>41</v>
      </c>
      <c r="C39" s="39"/>
      <c r="E39" s="12"/>
      <c r="F39" s="12"/>
    </row>
    <row r="40" spans="1:25" ht="15" customHeight="1" x14ac:dyDescent="0.25">
      <c r="B40" s="5" t="s">
        <v>42</v>
      </c>
      <c r="C40" s="16">
        <v>1</v>
      </c>
    </row>
    <row r="41" spans="1:25" x14ac:dyDescent="0.25">
      <c r="A41" s="37"/>
      <c r="B41" s="38"/>
      <c r="C41" s="39"/>
    </row>
    <row r="42" spans="1:25" ht="15" customHeight="1" thickBot="1" x14ac:dyDescent="0.3">
      <c r="B42" s="225" t="s">
        <v>906</v>
      </c>
      <c r="C42" s="225" t="s">
        <v>905</v>
      </c>
      <c r="D42" s="264" t="s">
        <v>43</v>
      </c>
      <c r="E42" s="255" t="s">
        <v>43</v>
      </c>
      <c r="F42" s="258" t="s">
        <v>44</v>
      </c>
      <c r="G42" s="259"/>
      <c r="H42" s="260"/>
      <c r="I42" s="233" t="s">
        <v>45</v>
      </c>
      <c r="J42" s="234"/>
      <c r="K42" s="234"/>
      <c r="L42" s="234"/>
      <c r="M42" s="235"/>
    </row>
    <row r="43" spans="1:25" ht="15" customHeight="1" thickTop="1" x14ac:dyDescent="0.25">
      <c r="B43" s="225"/>
      <c r="C43" s="225"/>
      <c r="D43" s="265"/>
      <c r="E43" s="256"/>
      <c r="F43" s="236" t="s">
        <v>46</v>
      </c>
      <c r="G43" s="240" t="s">
        <v>47</v>
      </c>
      <c r="H43" s="240" t="s">
        <v>48</v>
      </c>
      <c r="I43" s="251" t="s">
        <v>49</v>
      </c>
      <c r="J43" s="251" t="s">
        <v>50</v>
      </c>
      <c r="K43" s="251" t="s">
        <v>51</v>
      </c>
      <c r="L43" s="262" t="s">
        <v>52</v>
      </c>
      <c r="M43" s="263" t="s">
        <v>76</v>
      </c>
    </row>
    <row r="44" spans="1:25" ht="15.75" thickBot="1" x14ac:dyDescent="0.3">
      <c r="B44" s="226"/>
      <c r="C44" s="226"/>
      <c r="D44" s="265"/>
      <c r="E44" s="257"/>
      <c r="F44" s="237"/>
      <c r="G44" s="241"/>
      <c r="H44" s="241"/>
      <c r="I44" s="241"/>
      <c r="J44" s="241"/>
      <c r="K44" s="241"/>
      <c r="L44" s="262"/>
      <c r="M44" s="239"/>
    </row>
    <row r="45" spans="1:25" x14ac:dyDescent="0.25">
      <c r="D45" s="266"/>
      <c r="E45" s="6">
        <v>1</v>
      </c>
      <c r="F45" s="16" t="s">
        <v>119</v>
      </c>
      <c r="G45" s="17" t="s">
        <v>121</v>
      </c>
      <c r="H45" s="10" t="s">
        <v>122</v>
      </c>
      <c r="I45" s="10" t="s">
        <v>123</v>
      </c>
      <c r="J45" s="10" t="s">
        <v>124</v>
      </c>
      <c r="K45" s="10" t="s">
        <v>51</v>
      </c>
      <c r="L45" s="16" t="s">
        <v>120</v>
      </c>
      <c r="M45" s="10" t="s">
        <v>290</v>
      </c>
    </row>
    <row r="47" spans="1:25" ht="15.75" thickBot="1" x14ac:dyDescent="0.3"/>
    <row r="48" spans="1:25" ht="15" customHeight="1" thickBot="1" x14ac:dyDescent="0.3">
      <c r="B48" s="224" t="s">
        <v>908</v>
      </c>
      <c r="C48" s="224" t="s">
        <v>907</v>
      </c>
      <c r="D48" s="227" t="s">
        <v>110</v>
      </c>
      <c r="E48" s="244" t="s">
        <v>110</v>
      </c>
      <c r="F48" s="233" t="s">
        <v>53</v>
      </c>
      <c r="G48" s="234"/>
      <c r="H48" s="234"/>
      <c r="I48" s="234"/>
      <c r="J48" s="234"/>
      <c r="K48" s="235"/>
      <c r="L48" s="233" t="s">
        <v>54</v>
      </c>
      <c r="M48" s="235"/>
      <c r="N48" s="233" t="s">
        <v>55</v>
      </c>
      <c r="O48" s="234"/>
      <c r="P48" s="234"/>
      <c r="Q48" s="234"/>
      <c r="R48" s="234"/>
      <c r="S48" s="234"/>
      <c r="T48" s="234"/>
      <c r="U48" s="234"/>
      <c r="V48" s="234"/>
      <c r="W48" s="234"/>
      <c r="X48" s="234"/>
      <c r="Y48" s="235"/>
    </row>
    <row r="49" spans="2:30" ht="15" customHeight="1" thickTop="1" x14ac:dyDescent="0.25">
      <c r="B49" s="225"/>
      <c r="C49" s="225"/>
      <c r="D49" s="228"/>
      <c r="E49" s="245"/>
      <c r="F49" s="249" t="s">
        <v>46</v>
      </c>
      <c r="G49" s="251" t="s">
        <v>56</v>
      </c>
      <c r="H49" s="251" t="s">
        <v>57</v>
      </c>
      <c r="I49" s="251" t="s">
        <v>58</v>
      </c>
      <c r="J49" s="251" t="s">
        <v>59</v>
      </c>
      <c r="K49" s="251" t="s">
        <v>60</v>
      </c>
      <c r="L49" s="240" t="s">
        <v>61</v>
      </c>
      <c r="M49" s="240" t="s">
        <v>62</v>
      </c>
      <c r="N49" s="238" t="s">
        <v>63</v>
      </c>
      <c r="O49" s="247" t="s">
        <v>74</v>
      </c>
      <c r="P49" s="240" t="s">
        <v>64</v>
      </c>
      <c r="Q49" s="240" t="s">
        <v>65</v>
      </c>
      <c r="R49" s="240" t="s">
        <v>66</v>
      </c>
      <c r="S49" s="240" t="s">
        <v>67</v>
      </c>
      <c r="T49" s="240" t="s">
        <v>68</v>
      </c>
      <c r="U49" s="238" t="s">
        <v>69</v>
      </c>
      <c r="V49" s="238" t="s">
        <v>70</v>
      </c>
      <c r="W49" s="238" t="s">
        <v>71</v>
      </c>
      <c r="X49" s="238" t="s">
        <v>73</v>
      </c>
      <c r="Y49" s="272" t="s">
        <v>72</v>
      </c>
    </row>
    <row r="50" spans="2:30" ht="15.75" thickBot="1" x14ac:dyDescent="0.3">
      <c r="B50" s="226"/>
      <c r="C50" s="226"/>
      <c r="D50" s="228"/>
      <c r="E50" s="246"/>
      <c r="F50" s="250"/>
      <c r="G50" s="241"/>
      <c r="H50" s="241"/>
      <c r="I50" s="241"/>
      <c r="J50" s="241"/>
      <c r="K50" s="241"/>
      <c r="L50" s="241"/>
      <c r="M50" s="241"/>
      <c r="N50" s="239"/>
      <c r="O50" s="248"/>
      <c r="P50" s="241"/>
      <c r="Q50" s="241"/>
      <c r="R50" s="241"/>
      <c r="S50" s="241"/>
      <c r="T50" s="241"/>
      <c r="U50" s="239"/>
      <c r="V50" s="239"/>
      <c r="W50" s="239"/>
      <c r="X50" s="239"/>
      <c r="Y50" s="273"/>
    </row>
    <row r="51" spans="2:30" x14ac:dyDescent="0.25">
      <c r="D51" s="228"/>
      <c r="E51" s="36">
        <v>1</v>
      </c>
      <c r="F51" s="6" t="s">
        <v>119</v>
      </c>
      <c r="G51" s="10">
        <v>99</v>
      </c>
      <c r="H51" s="18">
        <v>1</v>
      </c>
      <c r="I51" s="18">
        <v>2</v>
      </c>
      <c r="J51" s="19">
        <v>3</v>
      </c>
      <c r="K51" s="19">
        <v>4</v>
      </c>
      <c r="L51" s="10">
        <v>5</v>
      </c>
      <c r="M51" s="10">
        <v>6</v>
      </c>
      <c r="N51" s="6" t="s">
        <v>125</v>
      </c>
      <c r="O51" s="6" t="s">
        <v>126</v>
      </c>
      <c r="P51" s="20"/>
      <c r="Q51" s="20"/>
      <c r="R51" s="20"/>
      <c r="S51" s="20"/>
      <c r="T51" s="20"/>
      <c r="U51" s="20"/>
      <c r="V51" s="21" t="s">
        <v>127</v>
      </c>
      <c r="W51" s="21">
        <v>57</v>
      </c>
      <c r="X51" s="21"/>
      <c r="Y51" s="21">
        <v>45</v>
      </c>
    </row>
    <row r="52" spans="2:30" x14ac:dyDescent="0.25">
      <c r="D52" s="228"/>
      <c r="E52" s="29"/>
    </row>
    <row r="53" spans="2:30" ht="15.75" thickBot="1" x14ac:dyDescent="0.3">
      <c r="D53" s="228"/>
      <c r="E53" s="29"/>
    </row>
    <row r="54" spans="2:30" ht="15" customHeight="1" thickBot="1" x14ac:dyDescent="0.3">
      <c r="B54" s="224" t="s">
        <v>910</v>
      </c>
      <c r="C54" s="224" t="s">
        <v>909</v>
      </c>
      <c r="D54" s="228"/>
      <c r="E54" s="244" t="s">
        <v>109</v>
      </c>
      <c r="F54" s="233" t="s">
        <v>44</v>
      </c>
      <c r="G54" s="234"/>
      <c r="H54" s="234"/>
      <c r="I54" s="234"/>
      <c r="J54" s="235"/>
      <c r="K54" s="233" t="s">
        <v>45</v>
      </c>
      <c r="L54" s="234"/>
      <c r="M54" s="234"/>
      <c r="N54" s="234"/>
      <c r="O54" s="235"/>
      <c r="P54" s="233" t="s">
        <v>90</v>
      </c>
      <c r="Q54" s="234"/>
      <c r="R54" s="234"/>
      <c r="S54" s="235"/>
      <c r="T54" s="271" t="s">
        <v>91</v>
      </c>
      <c r="U54" s="271"/>
      <c r="V54" s="271"/>
      <c r="W54" s="271"/>
      <c r="X54" s="274" t="s">
        <v>92</v>
      </c>
      <c r="Y54" s="275"/>
      <c r="Z54" s="275"/>
      <c r="AA54" s="276"/>
      <c r="AB54" s="268" t="s">
        <v>93</v>
      </c>
      <c r="AC54" s="269"/>
      <c r="AD54" s="270"/>
    </row>
    <row r="55" spans="2:30" ht="15.75" thickTop="1" x14ac:dyDescent="0.25">
      <c r="B55" s="225"/>
      <c r="C55" s="225"/>
      <c r="D55" s="228"/>
      <c r="E55" s="245"/>
      <c r="F55" s="236" t="s">
        <v>46</v>
      </c>
      <c r="G55" s="238" t="s">
        <v>94</v>
      </c>
      <c r="H55" s="236" t="s">
        <v>85</v>
      </c>
      <c r="I55" s="240" t="s">
        <v>47</v>
      </c>
      <c r="J55" s="236" t="s">
        <v>48</v>
      </c>
      <c r="K55" s="238" t="s">
        <v>917</v>
      </c>
      <c r="L55" s="240" t="s">
        <v>918</v>
      </c>
      <c r="M55" s="240" t="s">
        <v>49</v>
      </c>
      <c r="N55" s="240" t="s">
        <v>50</v>
      </c>
      <c r="O55" s="240" t="s">
        <v>51</v>
      </c>
      <c r="P55" s="240" t="s">
        <v>97</v>
      </c>
      <c r="Q55" s="240" t="s">
        <v>98</v>
      </c>
      <c r="R55" s="240" t="s">
        <v>99</v>
      </c>
      <c r="S55" s="240" t="s">
        <v>100</v>
      </c>
      <c r="T55" s="251" t="s">
        <v>101</v>
      </c>
      <c r="U55" s="251" t="s">
        <v>102</v>
      </c>
      <c r="V55" s="251" t="s">
        <v>103</v>
      </c>
      <c r="W55" s="251" t="s">
        <v>104</v>
      </c>
      <c r="X55" s="240" t="s">
        <v>105</v>
      </c>
      <c r="Y55" s="240" t="s">
        <v>106</v>
      </c>
      <c r="Z55" s="238" t="s">
        <v>107</v>
      </c>
      <c r="AA55" s="240" t="s">
        <v>108</v>
      </c>
      <c r="AB55" s="241" t="s">
        <v>65</v>
      </c>
      <c r="AC55" s="241" t="s">
        <v>68</v>
      </c>
      <c r="AD55" s="241" t="s">
        <v>78</v>
      </c>
    </row>
    <row r="56" spans="2:30" ht="15.75" thickBot="1" x14ac:dyDescent="0.3">
      <c r="B56" s="226"/>
      <c r="C56" s="226"/>
      <c r="D56" s="228"/>
      <c r="E56" s="246"/>
      <c r="F56" s="237"/>
      <c r="G56" s="239"/>
      <c r="H56" s="237"/>
      <c r="I56" s="241"/>
      <c r="J56" s="237"/>
      <c r="K56" s="239"/>
      <c r="L56" s="241"/>
      <c r="M56" s="241"/>
      <c r="N56" s="241"/>
      <c r="O56" s="241"/>
      <c r="P56" s="241"/>
      <c r="Q56" s="241"/>
      <c r="R56" s="241"/>
      <c r="S56" s="241"/>
      <c r="T56" s="241"/>
      <c r="U56" s="241"/>
      <c r="V56" s="241"/>
      <c r="W56" s="241"/>
      <c r="X56" s="241"/>
      <c r="Y56" s="241"/>
      <c r="Z56" s="239"/>
      <c r="AA56" s="241"/>
      <c r="AB56" s="267"/>
      <c r="AC56" s="267"/>
      <c r="AD56" s="267"/>
    </row>
    <row r="57" spans="2:30" x14ac:dyDescent="0.25">
      <c r="D57" s="228"/>
      <c r="E57" s="22"/>
      <c r="F57" s="22"/>
      <c r="G57" s="23"/>
      <c r="H57" s="23"/>
      <c r="I57" s="24"/>
      <c r="J57" s="26"/>
      <c r="K57" s="26"/>
      <c r="L57" s="26"/>
      <c r="M57" s="26"/>
      <c r="N57" s="26"/>
      <c r="O57" s="26"/>
      <c r="P57" s="23"/>
      <c r="Q57" s="26"/>
      <c r="R57" s="26"/>
      <c r="S57" s="34"/>
      <c r="T57" s="26"/>
      <c r="U57" s="35"/>
      <c r="V57" s="26"/>
      <c r="W57" s="26"/>
      <c r="X57" s="26"/>
      <c r="Y57" s="26"/>
      <c r="Z57" s="26"/>
      <c r="AA57" s="34"/>
      <c r="AB57" s="23"/>
      <c r="AC57" s="23"/>
      <c r="AD57" s="25"/>
    </row>
    <row r="58" spans="2:30" x14ac:dyDescent="0.25">
      <c r="D58" s="228"/>
    </row>
    <row r="59" spans="2:30" ht="15" customHeight="1" x14ac:dyDescent="0.25">
      <c r="D59" s="228"/>
      <c r="F59" s="40"/>
    </row>
    <row r="60" spans="2:30" ht="15" customHeight="1" thickBot="1" x14ac:dyDescent="0.3">
      <c r="D60" s="228"/>
      <c r="E60" s="244" t="s">
        <v>113</v>
      </c>
      <c r="F60" s="233" t="s">
        <v>79</v>
      </c>
      <c r="G60" s="234"/>
      <c r="H60" s="234"/>
      <c r="I60" s="234"/>
      <c r="J60" s="234"/>
      <c r="K60" s="235"/>
    </row>
    <row r="61" spans="2:30" ht="14.45" customHeight="1" thickTop="1" x14ac:dyDescent="0.25">
      <c r="D61" s="228"/>
      <c r="E61" s="245"/>
      <c r="F61" s="236" t="s">
        <v>46</v>
      </c>
      <c r="G61" s="238" t="s">
        <v>80</v>
      </c>
      <c r="H61" s="240" t="s">
        <v>81</v>
      </c>
      <c r="I61" s="240" t="s">
        <v>82</v>
      </c>
      <c r="J61" s="242" t="s">
        <v>83</v>
      </c>
      <c r="K61" s="240" t="s">
        <v>84</v>
      </c>
    </row>
    <row r="62" spans="2:30" x14ac:dyDescent="0.25">
      <c r="D62" s="228"/>
      <c r="E62" s="246"/>
      <c r="F62" s="237"/>
      <c r="G62" s="239"/>
      <c r="H62" s="241"/>
      <c r="I62" s="241"/>
      <c r="J62" s="243"/>
      <c r="K62" s="241"/>
    </row>
    <row r="63" spans="2:30" x14ac:dyDescent="0.25">
      <c r="D63" s="228"/>
      <c r="E63" s="22">
        <v>1</v>
      </c>
      <c r="F63" s="23" t="s">
        <v>119</v>
      </c>
      <c r="G63" s="24" t="s">
        <v>461</v>
      </c>
      <c r="H63" s="25" t="s">
        <v>149</v>
      </c>
      <c r="I63" s="26" t="s">
        <v>567</v>
      </c>
      <c r="J63" s="25">
        <v>1</v>
      </c>
      <c r="K63" s="27">
        <v>57</v>
      </c>
    </row>
    <row r="64" spans="2:30" x14ac:dyDescent="0.25">
      <c r="D64" s="228"/>
      <c r="E64" s="22">
        <v>2</v>
      </c>
      <c r="F64" s="23" t="s">
        <v>119</v>
      </c>
      <c r="G64" s="24" t="s">
        <v>462</v>
      </c>
      <c r="H64" s="25" t="s">
        <v>150</v>
      </c>
      <c r="I64" s="26" t="s">
        <v>568</v>
      </c>
      <c r="J64" s="25">
        <v>2</v>
      </c>
      <c r="K64" s="27">
        <v>56</v>
      </c>
    </row>
    <row r="65" spans="4:11" x14ac:dyDescent="0.25">
      <c r="D65" s="228"/>
      <c r="E65" s="22">
        <v>3</v>
      </c>
      <c r="F65" s="23" t="s">
        <v>119</v>
      </c>
      <c r="G65" s="24" t="s">
        <v>463</v>
      </c>
      <c r="H65" s="25" t="s">
        <v>151</v>
      </c>
      <c r="I65" s="26" t="s">
        <v>569</v>
      </c>
      <c r="J65" s="25">
        <v>3</v>
      </c>
      <c r="K65" s="27">
        <v>55</v>
      </c>
    </row>
    <row r="66" spans="4:11" x14ac:dyDescent="0.25">
      <c r="D66" s="228"/>
      <c r="E66" s="22">
        <v>4</v>
      </c>
      <c r="F66" s="23" t="s">
        <v>119</v>
      </c>
      <c r="G66" s="24" t="s">
        <v>464</v>
      </c>
      <c r="H66" s="25" t="s">
        <v>152</v>
      </c>
      <c r="I66" s="26" t="s">
        <v>570</v>
      </c>
      <c r="J66" s="25">
        <v>4</v>
      </c>
      <c r="K66" s="27">
        <v>54</v>
      </c>
    </row>
    <row r="67" spans="4:11" x14ac:dyDescent="0.25">
      <c r="D67" s="228"/>
      <c r="E67" s="22">
        <v>5</v>
      </c>
      <c r="F67" s="23" t="s">
        <v>119</v>
      </c>
      <c r="G67" s="24" t="s">
        <v>465</v>
      </c>
      <c r="H67" s="25" t="s">
        <v>153</v>
      </c>
      <c r="I67" s="26" t="s">
        <v>571</v>
      </c>
      <c r="J67" s="25">
        <v>5</v>
      </c>
      <c r="K67" s="27">
        <v>53</v>
      </c>
    </row>
    <row r="68" spans="4:11" x14ac:dyDescent="0.25">
      <c r="D68" s="228"/>
      <c r="E68" s="22">
        <v>6</v>
      </c>
      <c r="F68" s="23" t="s">
        <v>119</v>
      </c>
      <c r="G68" s="24" t="s">
        <v>466</v>
      </c>
      <c r="H68" s="25" t="s">
        <v>154</v>
      </c>
      <c r="I68" s="26" t="s">
        <v>572</v>
      </c>
      <c r="J68" s="25">
        <v>6</v>
      </c>
      <c r="K68" s="27">
        <v>52</v>
      </c>
    </row>
    <row r="69" spans="4:11" x14ac:dyDescent="0.25">
      <c r="D69" s="228"/>
      <c r="E69" s="22">
        <v>7</v>
      </c>
      <c r="F69" s="23" t="s">
        <v>119</v>
      </c>
      <c r="G69" s="24" t="s">
        <v>467</v>
      </c>
      <c r="H69" s="25" t="s">
        <v>155</v>
      </c>
      <c r="I69" s="26" t="s">
        <v>573</v>
      </c>
      <c r="J69" s="25">
        <v>7</v>
      </c>
      <c r="K69" s="27">
        <v>51</v>
      </c>
    </row>
    <row r="70" spans="4:11" x14ac:dyDescent="0.25">
      <c r="D70" s="228"/>
      <c r="E70" s="22">
        <v>8</v>
      </c>
      <c r="F70" s="23" t="s">
        <v>119</v>
      </c>
      <c r="G70" s="24" t="s">
        <v>468</v>
      </c>
      <c r="H70" s="25" t="s">
        <v>156</v>
      </c>
      <c r="I70" s="26" t="s">
        <v>574</v>
      </c>
      <c r="J70" s="25">
        <v>8</v>
      </c>
      <c r="K70" s="27">
        <v>50</v>
      </c>
    </row>
    <row r="71" spans="4:11" x14ac:dyDescent="0.25">
      <c r="D71" s="228"/>
      <c r="E71" s="22">
        <v>9</v>
      </c>
      <c r="F71" s="23" t="s">
        <v>119</v>
      </c>
      <c r="G71" s="24" t="s">
        <v>469</v>
      </c>
      <c r="H71" s="25" t="s">
        <v>518</v>
      </c>
      <c r="I71" s="26" t="s">
        <v>575</v>
      </c>
      <c r="J71" s="25">
        <v>9</v>
      </c>
      <c r="K71" s="27">
        <v>49</v>
      </c>
    </row>
    <row r="72" spans="4:11" x14ac:dyDescent="0.25">
      <c r="D72" s="228"/>
      <c r="E72" s="22">
        <v>10</v>
      </c>
      <c r="F72" s="23" t="s">
        <v>119</v>
      </c>
      <c r="G72" s="24" t="s">
        <v>470</v>
      </c>
      <c r="H72" s="25" t="s">
        <v>519</v>
      </c>
      <c r="I72" s="26" t="s">
        <v>576</v>
      </c>
      <c r="J72" s="25">
        <v>10</v>
      </c>
      <c r="K72" s="27">
        <v>48</v>
      </c>
    </row>
    <row r="73" spans="4:11" x14ac:dyDescent="0.25">
      <c r="D73" s="228"/>
      <c r="E73" s="22">
        <v>11</v>
      </c>
      <c r="F73" s="23" t="s">
        <v>119</v>
      </c>
      <c r="G73" s="24" t="s">
        <v>471</v>
      </c>
      <c r="H73" s="25" t="s">
        <v>520</v>
      </c>
      <c r="I73" s="26" t="s">
        <v>577</v>
      </c>
      <c r="J73" s="25">
        <v>11</v>
      </c>
      <c r="K73" s="27">
        <v>47</v>
      </c>
    </row>
    <row r="74" spans="4:11" x14ac:dyDescent="0.25">
      <c r="D74" s="228"/>
      <c r="E74" s="22">
        <v>12</v>
      </c>
      <c r="F74" s="23" t="s">
        <v>119</v>
      </c>
      <c r="G74" s="24" t="s">
        <v>472</v>
      </c>
      <c r="H74" s="25" t="s">
        <v>521</v>
      </c>
      <c r="I74" s="26" t="s">
        <v>578</v>
      </c>
      <c r="J74" s="25">
        <v>12</v>
      </c>
      <c r="K74" s="27">
        <v>46</v>
      </c>
    </row>
    <row r="75" spans="4:11" x14ac:dyDescent="0.25">
      <c r="D75" s="228"/>
      <c r="E75" s="22">
        <v>13</v>
      </c>
      <c r="F75" s="23" t="s">
        <v>119</v>
      </c>
      <c r="G75" s="24" t="s">
        <v>473</v>
      </c>
      <c r="H75" s="25" t="s">
        <v>522</v>
      </c>
      <c r="I75" s="26" t="s">
        <v>579</v>
      </c>
      <c r="J75" s="25">
        <v>13</v>
      </c>
      <c r="K75" s="27">
        <v>45</v>
      </c>
    </row>
    <row r="76" spans="4:11" x14ac:dyDescent="0.25">
      <c r="D76" s="228"/>
      <c r="E76" s="22">
        <v>14</v>
      </c>
      <c r="F76" s="23" t="s">
        <v>119</v>
      </c>
      <c r="G76" s="24" t="s">
        <v>474</v>
      </c>
      <c r="H76" s="25" t="s">
        <v>523</v>
      </c>
      <c r="I76" s="26" t="s">
        <v>580</v>
      </c>
      <c r="J76" s="25">
        <v>14</v>
      </c>
      <c r="K76" s="27">
        <v>44</v>
      </c>
    </row>
    <row r="77" spans="4:11" x14ac:dyDescent="0.25">
      <c r="D77" s="228"/>
      <c r="E77" s="22">
        <v>15</v>
      </c>
      <c r="F77" s="23" t="s">
        <v>119</v>
      </c>
      <c r="G77" s="24" t="s">
        <v>475</v>
      </c>
      <c r="H77" s="25" t="s">
        <v>524</v>
      </c>
      <c r="I77" s="26" t="s">
        <v>581</v>
      </c>
      <c r="J77" s="25">
        <v>15</v>
      </c>
      <c r="K77" s="27">
        <v>43</v>
      </c>
    </row>
    <row r="78" spans="4:11" x14ac:dyDescent="0.25">
      <c r="D78" s="228"/>
      <c r="E78" s="22">
        <v>16</v>
      </c>
      <c r="F78" s="23" t="s">
        <v>119</v>
      </c>
      <c r="G78" s="24" t="s">
        <v>476</v>
      </c>
      <c r="H78" s="25" t="s">
        <v>525</v>
      </c>
      <c r="I78" s="26" t="s">
        <v>582</v>
      </c>
      <c r="J78" s="25">
        <v>16</v>
      </c>
      <c r="K78" s="27">
        <v>42</v>
      </c>
    </row>
    <row r="79" spans="4:11" x14ac:dyDescent="0.25">
      <c r="D79" s="228"/>
      <c r="E79" s="22">
        <v>17</v>
      </c>
      <c r="F79" s="23" t="s">
        <v>119</v>
      </c>
      <c r="G79" s="24" t="s">
        <v>477</v>
      </c>
      <c r="H79" s="25" t="s">
        <v>526</v>
      </c>
      <c r="I79" s="26" t="s">
        <v>583</v>
      </c>
      <c r="J79" s="25">
        <v>17</v>
      </c>
      <c r="K79" s="27">
        <v>41</v>
      </c>
    </row>
    <row r="80" spans="4:11" x14ac:dyDescent="0.25">
      <c r="D80" s="228"/>
      <c r="E80" s="22">
        <v>18</v>
      </c>
      <c r="F80" s="23" t="s">
        <v>119</v>
      </c>
      <c r="G80" s="24" t="s">
        <v>478</v>
      </c>
      <c r="H80" s="25" t="s">
        <v>527</v>
      </c>
      <c r="I80" s="26" t="s">
        <v>584</v>
      </c>
      <c r="J80" s="25">
        <v>18</v>
      </c>
      <c r="K80" s="27">
        <v>40</v>
      </c>
    </row>
    <row r="81" spans="4:11" x14ac:dyDescent="0.25">
      <c r="D81" s="228"/>
      <c r="E81" s="22">
        <v>19</v>
      </c>
      <c r="F81" s="23" t="s">
        <v>119</v>
      </c>
      <c r="G81" s="24" t="s">
        <v>479</v>
      </c>
      <c r="H81" s="25" t="s">
        <v>528</v>
      </c>
      <c r="I81" s="26" t="s">
        <v>585</v>
      </c>
      <c r="J81" s="25">
        <v>19</v>
      </c>
      <c r="K81" s="27">
        <v>39</v>
      </c>
    </row>
    <row r="82" spans="4:11" x14ac:dyDescent="0.25">
      <c r="D82" s="228"/>
      <c r="E82" s="22">
        <v>20</v>
      </c>
      <c r="F82" s="23" t="s">
        <v>119</v>
      </c>
      <c r="G82" s="24" t="s">
        <v>480</v>
      </c>
      <c r="H82" s="25" t="s">
        <v>529</v>
      </c>
      <c r="I82" s="26" t="s">
        <v>586</v>
      </c>
      <c r="J82" s="25">
        <v>20</v>
      </c>
      <c r="K82" s="27">
        <v>38</v>
      </c>
    </row>
    <row r="83" spans="4:11" x14ac:dyDescent="0.25">
      <c r="D83" s="228"/>
      <c r="E83" s="22">
        <v>21</v>
      </c>
      <c r="F83" s="23" t="s">
        <v>119</v>
      </c>
      <c r="G83" s="24" t="s">
        <v>481</v>
      </c>
      <c r="H83" s="25" t="s">
        <v>530</v>
      </c>
      <c r="I83" s="26" t="s">
        <v>587</v>
      </c>
      <c r="J83" s="25">
        <v>21</v>
      </c>
      <c r="K83" s="27">
        <v>37</v>
      </c>
    </row>
    <row r="84" spans="4:11" x14ac:dyDescent="0.25">
      <c r="D84" s="228"/>
      <c r="E84" s="22">
        <v>22</v>
      </c>
      <c r="F84" s="23" t="s">
        <v>119</v>
      </c>
      <c r="G84" s="24" t="s">
        <v>482</v>
      </c>
      <c r="H84" s="25" t="s">
        <v>531</v>
      </c>
      <c r="I84" s="26" t="s">
        <v>588</v>
      </c>
      <c r="J84" s="25">
        <v>22</v>
      </c>
      <c r="K84" s="27">
        <v>36</v>
      </c>
    </row>
    <row r="85" spans="4:11" x14ac:dyDescent="0.25">
      <c r="D85" s="228"/>
      <c r="E85" s="22">
        <v>23</v>
      </c>
      <c r="F85" s="23" t="s">
        <v>119</v>
      </c>
      <c r="G85" s="24" t="s">
        <v>483</v>
      </c>
      <c r="H85" s="25" t="s">
        <v>532</v>
      </c>
      <c r="I85" s="26" t="s">
        <v>589</v>
      </c>
      <c r="J85" s="25">
        <v>23</v>
      </c>
      <c r="K85" s="27">
        <v>35</v>
      </c>
    </row>
    <row r="86" spans="4:11" x14ac:dyDescent="0.25">
      <c r="D86" s="228"/>
      <c r="E86" s="22">
        <v>24</v>
      </c>
      <c r="F86" s="23" t="s">
        <v>119</v>
      </c>
      <c r="G86" s="24" t="s">
        <v>484</v>
      </c>
      <c r="H86" s="25" t="s">
        <v>533</v>
      </c>
      <c r="I86" s="26" t="s">
        <v>590</v>
      </c>
      <c r="J86" s="25">
        <v>24</v>
      </c>
      <c r="K86" s="27">
        <v>34</v>
      </c>
    </row>
    <row r="87" spans="4:11" x14ac:dyDescent="0.25">
      <c r="D87" s="228"/>
      <c r="E87" s="22">
        <v>25</v>
      </c>
      <c r="F87" s="23" t="s">
        <v>119</v>
      </c>
      <c r="G87" s="24" t="s">
        <v>485</v>
      </c>
      <c r="H87" s="25" t="s">
        <v>534</v>
      </c>
      <c r="I87" s="26" t="s">
        <v>591</v>
      </c>
      <c r="J87" s="25">
        <v>25</v>
      </c>
      <c r="K87" s="27">
        <v>33</v>
      </c>
    </row>
    <row r="88" spans="4:11" x14ac:dyDescent="0.25">
      <c r="D88" s="228"/>
      <c r="E88" s="22">
        <v>26</v>
      </c>
      <c r="F88" s="23" t="s">
        <v>119</v>
      </c>
      <c r="G88" s="24" t="s">
        <v>486</v>
      </c>
      <c r="H88" s="25" t="s">
        <v>535</v>
      </c>
      <c r="I88" s="26" t="s">
        <v>592</v>
      </c>
      <c r="J88" s="25">
        <v>26</v>
      </c>
      <c r="K88" s="27">
        <v>32</v>
      </c>
    </row>
    <row r="89" spans="4:11" x14ac:dyDescent="0.25">
      <c r="D89" s="228"/>
      <c r="E89" s="22">
        <v>27</v>
      </c>
      <c r="F89" s="23" t="s">
        <v>119</v>
      </c>
      <c r="G89" s="24" t="s">
        <v>487</v>
      </c>
      <c r="H89" s="25" t="s">
        <v>536</v>
      </c>
      <c r="I89" s="26" t="s">
        <v>593</v>
      </c>
      <c r="J89" s="25">
        <v>27</v>
      </c>
      <c r="K89" s="27">
        <v>31</v>
      </c>
    </row>
    <row r="90" spans="4:11" x14ac:dyDescent="0.25">
      <c r="D90" s="228"/>
      <c r="E90" s="22">
        <v>28</v>
      </c>
      <c r="F90" s="23" t="s">
        <v>119</v>
      </c>
      <c r="G90" s="24" t="s">
        <v>488</v>
      </c>
      <c r="H90" s="25" t="s">
        <v>537</v>
      </c>
      <c r="I90" s="26" t="s">
        <v>594</v>
      </c>
      <c r="J90" s="25">
        <v>28</v>
      </c>
      <c r="K90" s="27">
        <v>30</v>
      </c>
    </row>
    <row r="91" spans="4:11" x14ac:dyDescent="0.25">
      <c r="D91" s="228"/>
      <c r="E91" s="22">
        <v>29</v>
      </c>
      <c r="F91" s="23" t="s">
        <v>119</v>
      </c>
      <c r="G91" s="24" t="s">
        <v>489</v>
      </c>
      <c r="H91" s="25" t="s">
        <v>538</v>
      </c>
      <c r="I91" s="26" t="s">
        <v>595</v>
      </c>
      <c r="J91" s="25">
        <v>29</v>
      </c>
      <c r="K91" s="27">
        <v>29</v>
      </c>
    </row>
    <row r="92" spans="4:11" x14ac:dyDescent="0.25">
      <c r="D92" s="228"/>
      <c r="E92" s="22">
        <v>30</v>
      </c>
      <c r="F92" s="23" t="s">
        <v>119</v>
      </c>
      <c r="G92" s="24" t="s">
        <v>490</v>
      </c>
      <c r="H92" s="25" t="s">
        <v>539</v>
      </c>
      <c r="I92" s="26" t="s">
        <v>596</v>
      </c>
      <c r="J92" s="25">
        <v>30</v>
      </c>
      <c r="K92" s="27">
        <v>28</v>
      </c>
    </row>
    <row r="93" spans="4:11" x14ac:dyDescent="0.25">
      <c r="D93" s="228"/>
      <c r="E93" s="22">
        <v>31</v>
      </c>
      <c r="F93" s="23" t="s">
        <v>119</v>
      </c>
      <c r="G93" s="24" t="s">
        <v>491</v>
      </c>
      <c r="H93" s="25" t="s">
        <v>540</v>
      </c>
      <c r="I93" s="26" t="s">
        <v>597</v>
      </c>
      <c r="J93" s="25">
        <v>31</v>
      </c>
      <c r="K93" s="27">
        <v>27</v>
      </c>
    </row>
    <row r="94" spans="4:11" x14ac:dyDescent="0.25">
      <c r="D94" s="228"/>
      <c r="E94" s="22">
        <v>32</v>
      </c>
      <c r="F94" s="23" t="s">
        <v>119</v>
      </c>
      <c r="G94" s="24" t="s">
        <v>492</v>
      </c>
      <c r="H94" s="25" t="s">
        <v>541</v>
      </c>
      <c r="I94" s="26" t="s">
        <v>598</v>
      </c>
      <c r="J94" s="25">
        <v>32</v>
      </c>
      <c r="K94" s="27">
        <v>26</v>
      </c>
    </row>
    <row r="95" spans="4:11" x14ac:dyDescent="0.25">
      <c r="D95" s="228"/>
      <c r="E95" s="22">
        <v>33</v>
      </c>
      <c r="F95" s="23" t="s">
        <v>119</v>
      </c>
      <c r="G95" s="24" t="s">
        <v>493</v>
      </c>
      <c r="H95" s="25" t="s">
        <v>542</v>
      </c>
      <c r="I95" s="26" t="s">
        <v>599</v>
      </c>
      <c r="J95" s="25">
        <v>33</v>
      </c>
      <c r="K95" s="27">
        <v>25</v>
      </c>
    </row>
    <row r="96" spans="4:11" x14ac:dyDescent="0.25">
      <c r="D96" s="228"/>
      <c r="E96" s="22">
        <v>34</v>
      </c>
      <c r="F96" s="23" t="s">
        <v>119</v>
      </c>
      <c r="G96" s="24" t="s">
        <v>494</v>
      </c>
      <c r="H96" s="25" t="s">
        <v>543</v>
      </c>
      <c r="I96" s="26" t="s">
        <v>600</v>
      </c>
      <c r="J96" s="25">
        <v>34</v>
      </c>
      <c r="K96" s="27">
        <v>24</v>
      </c>
    </row>
    <row r="97" spans="4:11" x14ac:dyDescent="0.25">
      <c r="D97" s="228"/>
      <c r="E97" s="22">
        <v>35</v>
      </c>
      <c r="F97" s="23" t="s">
        <v>119</v>
      </c>
      <c r="G97" s="24" t="s">
        <v>495</v>
      </c>
      <c r="H97" s="25" t="s">
        <v>544</v>
      </c>
      <c r="I97" s="26" t="s">
        <v>601</v>
      </c>
      <c r="J97" s="25">
        <v>35</v>
      </c>
      <c r="K97" s="27">
        <v>23</v>
      </c>
    </row>
    <row r="98" spans="4:11" x14ac:dyDescent="0.25">
      <c r="D98" s="228"/>
      <c r="E98" s="22">
        <v>36</v>
      </c>
      <c r="F98" s="23" t="s">
        <v>119</v>
      </c>
      <c r="G98" s="24" t="s">
        <v>496</v>
      </c>
      <c r="H98" s="25" t="s">
        <v>545</v>
      </c>
      <c r="I98" s="26" t="s">
        <v>602</v>
      </c>
      <c r="J98" s="25">
        <v>36</v>
      </c>
      <c r="K98" s="27">
        <v>22</v>
      </c>
    </row>
    <row r="99" spans="4:11" x14ac:dyDescent="0.25">
      <c r="D99" s="228"/>
      <c r="E99" s="22">
        <v>37</v>
      </c>
      <c r="F99" s="23" t="s">
        <v>119</v>
      </c>
      <c r="G99" s="24" t="s">
        <v>497</v>
      </c>
      <c r="H99" s="25" t="s">
        <v>546</v>
      </c>
      <c r="I99" s="26" t="s">
        <v>603</v>
      </c>
      <c r="J99" s="25">
        <v>37</v>
      </c>
      <c r="K99" s="27">
        <v>21</v>
      </c>
    </row>
    <row r="100" spans="4:11" x14ac:dyDescent="0.25">
      <c r="D100" s="228"/>
      <c r="E100" s="22">
        <v>38</v>
      </c>
      <c r="F100" s="23" t="s">
        <v>119</v>
      </c>
      <c r="G100" s="24" t="s">
        <v>498</v>
      </c>
      <c r="H100" s="25" t="s">
        <v>547</v>
      </c>
      <c r="I100" s="26" t="s">
        <v>604</v>
      </c>
      <c r="J100" s="25">
        <v>38</v>
      </c>
      <c r="K100" s="27">
        <v>20</v>
      </c>
    </row>
    <row r="101" spans="4:11" x14ac:dyDescent="0.25">
      <c r="D101" s="228"/>
      <c r="E101" s="22">
        <v>39</v>
      </c>
      <c r="F101" s="23" t="s">
        <v>119</v>
      </c>
      <c r="G101" s="24" t="s">
        <v>499</v>
      </c>
      <c r="H101" s="25" t="s">
        <v>548</v>
      </c>
      <c r="I101" s="26" t="s">
        <v>605</v>
      </c>
      <c r="J101" s="25">
        <v>39</v>
      </c>
      <c r="K101" s="27">
        <v>19</v>
      </c>
    </row>
    <row r="102" spans="4:11" x14ac:dyDescent="0.25">
      <c r="D102" s="228"/>
      <c r="E102" s="22">
        <v>40</v>
      </c>
      <c r="F102" s="23" t="s">
        <v>119</v>
      </c>
      <c r="G102" s="24" t="s">
        <v>500</v>
      </c>
      <c r="H102" s="25" t="s">
        <v>549</v>
      </c>
      <c r="I102" s="26" t="s">
        <v>606</v>
      </c>
      <c r="J102" s="25">
        <v>40</v>
      </c>
      <c r="K102" s="27">
        <v>18</v>
      </c>
    </row>
    <row r="103" spans="4:11" x14ac:dyDescent="0.25">
      <c r="D103" s="228"/>
      <c r="E103" s="22">
        <v>41</v>
      </c>
      <c r="F103" s="23" t="s">
        <v>119</v>
      </c>
      <c r="G103" s="24" t="s">
        <v>501</v>
      </c>
      <c r="H103" s="25" t="s">
        <v>550</v>
      </c>
      <c r="I103" s="26" t="s">
        <v>607</v>
      </c>
      <c r="J103" s="25">
        <v>41</v>
      </c>
      <c r="K103" s="27">
        <v>17</v>
      </c>
    </row>
    <row r="104" spans="4:11" x14ac:dyDescent="0.25">
      <c r="D104" s="228"/>
      <c r="E104" s="22">
        <v>42</v>
      </c>
      <c r="F104" s="23" t="s">
        <v>119</v>
      </c>
      <c r="G104" s="24" t="s">
        <v>502</v>
      </c>
      <c r="H104" s="25" t="s">
        <v>551</v>
      </c>
      <c r="I104" s="26" t="s">
        <v>608</v>
      </c>
      <c r="J104" s="25">
        <v>42</v>
      </c>
      <c r="K104" s="27">
        <v>16</v>
      </c>
    </row>
    <row r="105" spans="4:11" x14ac:dyDescent="0.25">
      <c r="D105" s="228"/>
      <c r="E105" s="22">
        <v>43</v>
      </c>
      <c r="F105" s="23" t="s">
        <v>119</v>
      </c>
      <c r="G105" s="24" t="s">
        <v>503</v>
      </c>
      <c r="H105" s="25" t="s">
        <v>552</v>
      </c>
      <c r="I105" s="26" t="s">
        <v>609</v>
      </c>
      <c r="J105" s="25">
        <v>43</v>
      </c>
      <c r="K105" s="27">
        <v>15</v>
      </c>
    </row>
    <row r="106" spans="4:11" x14ac:dyDescent="0.25">
      <c r="D106" s="228"/>
      <c r="E106" s="22">
        <v>44</v>
      </c>
      <c r="F106" s="23" t="s">
        <v>119</v>
      </c>
      <c r="G106" s="24" t="s">
        <v>504</v>
      </c>
      <c r="H106" s="25" t="s">
        <v>553</v>
      </c>
      <c r="I106" s="26" t="s">
        <v>610</v>
      </c>
      <c r="J106" s="25">
        <v>44</v>
      </c>
      <c r="K106" s="27">
        <v>14</v>
      </c>
    </row>
    <row r="107" spans="4:11" x14ac:dyDescent="0.25">
      <c r="D107" s="228"/>
      <c r="E107" s="22">
        <v>45</v>
      </c>
      <c r="F107" s="23" t="s">
        <v>119</v>
      </c>
      <c r="G107" s="24" t="s">
        <v>505</v>
      </c>
      <c r="H107" s="25" t="s">
        <v>554</v>
      </c>
      <c r="I107" s="26" t="s">
        <v>611</v>
      </c>
      <c r="J107" s="25">
        <v>45</v>
      </c>
      <c r="K107" s="27">
        <v>13</v>
      </c>
    </row>
    <row r="108" spans="4:11" x14ac:dyDescent="0.25">
      <c r="D108" s="228"/>
      <c r="E108" s="22">
        <v>46</v>
      </c>
      <c r="F108" s="23" t="s">
        <v>119</v>
      </c>
      <c r="G108" s="24" t="s">
        <v>506</v>
      </c>
      <c r="H108" s="25" t="s">
        <v>555</v>
      </c>
      <c r="I108" s="26" t="s">
        <v>612</v>
      </c>
      <c r="J108" s="25">
        <v>46</v>
      </c>
      <c r="K108" s="27">
        <v>12</v>
      </c>
    </row>
    <row r="109" spans="4:11" x14ac:dyDescent="0.25">
      <c r="D109" s="228"/>
      <c r="E109" s="22">
        <v>47</v>
      </c>
      <c r="F109" s="23" t="s">
        <v>119</v>
      </c>
      <c r="G109" s="24" t="s">
        <v>507</v>
      </c>
      <c r="H109" s="25" t="s">
        <v>556</v>
      </c>
      <c r="I109" s="26" t="s">
        <v>613</v>
      </c>
      <c r="J109" s="25">
        <v>47</v>
      </c>
      <c r="K109" s="27">
        <v>11</v>
      </c>
    </row>
    <row r="110" spans="4:11" x14ac:dyDescent="0.25">
      <c r="D110" s="228"/>
      <c r="E110" s="22">
        <v>48</v>
      </c>
      <c r="F110" s="23" t="s">
        <v>119</v>
      </c>
      <c r="G110" s="24" t="s">
        <v>508</v>
      </c>
      <c r="H110" s="25" t="s">
        <v>557</v>
      </c>
      <c r="I110" s="26" t="s">
        <v>614</v>
      </c>
      <c r="J110" s="25">
        <v>48</v>
      </c>
      <c r="K110" s="27">
        <v>10</v>
      </c>
    </row>
    <row r="111" spans="4:11" x14ac:dyDescent="0.25">
      <c r="D111" s="228"/>
      <c r="E111" s="22">
        <v>49</v>
      </c>
      <c r="F111" s="23" t="s">
        <v>119</v>
      </c>
      <c r="G111" s="24" t="s">
        <v>509</v>
      </c>
      <c r="H111" s="25" t="s">
        <v>558</v>
      </c>
      <c r="I111" s="26" t="s">
        <v>615</v>
      </c>
      <c r="J111" s="25">
        <v>49</v>
      </c>
      <c r="K111" s="27">
        <v>9</v>
      </c>
    </row>
    <row r="112" spans="4:11" x14ac:dyDescent="0.25">
      <c r="D112" s="228"/>
      <c r="E112" s="22">
        <v>50</v>
      </c>
      <c r="F112" s="23" t="s">
        <v>119</v>
      </c>
      <c r="G112" s="24" t="s">
        <v>510</v>
      </c>
      <c r="H112" s="25" t="s">
        <v>559</v>
      </c>
      <c r="I112" s="26" t="s">
        <v>616</v>
      </c>
      <c r="J112" s="25">
        <v>50</v>
      </c>
      <c r="K112" s="27">
        <v>8</v>
      </c>
    </row>
    <row r="113" spans="4:11" x14ac:dyDescent="0.25">
      <c r="D113" s="228"/>
      <c r="E113" s="22">
        <v>51</v>
      </c>
      <c r="F113" s="23" t="s">
        <v>119</v>
      </c>
      <c r="G113" s="24" t="s">
        <v>511</v>
      </c>
      <c r="H113" s="25" t="s">
        <v>560</v>
      </c>
      <c r="I113" s="26" t="s">
        <v>617</v>
      </c>
      <c r="J113" s="25">
        <v>51</v>
      </c>
      <c r="K113" s="27">
        <v>7</v>
      </c>
    </row>
    <row r="114" spans="4:11" x14ac:dyDescent="0.25">
      <c r="D114" s="228"/>
      <c r="E114" s="22">
        <v>52</v>
      </c>
      <c r="F114" s="23" t="s">
        <v>119</v>
      </c>
      <c r="G114" s="24" t="s">
        <v>512</v>
      </c>
      <c r="H114" s="25" t="s">
        <v>561</v>
      </c>
      <c r="I114" s="26" t="s">
        <v>618</v>
      </c>
      <c r="J114" s="25">
        <v>52</v>
      </c>
      <c r="K114" s="27">
        <v>6</v>
      </c>
    </row>
    <row r="115" spans="4:11" x14ac:dyDescent="0.25">
      <c r="D115" s="228"/>
      <c r="E115" s="22">
        <v>53</v>
      </c>
      <c r="F115" s="23" t="s">
        <v>119</v>
      </c>
      <c r="G115" s="24" t="s">
        <v>513</v>
      </c>
      <c r="H115" s="25" t="s">
        <v>562</v>
      </c>
      <c r="I115" s="26" t="s">
        <v>619</v>
      </c>
      <c r="J115" s="25">
        <v>53</v>
      </c>
      <c r="K115" s="27">
        <v>5</v>
      </c>
    </row>
    <row r="116" spans="4:11" x14ac:dyDescent="0.25">
      <c r="D116" s="228"/>
      <c r="E116" s="22">
        <v>54</v>
      </c>
      <c r="F116" s="23" t="s">
        <v>119</v>
      </c>
      <c r="G116" s="24" t="s">
        <v>514</v>
      </c>
      <c r="H116" s="25" t="s">
        <v>563</v>
      </c>
      <c r="I116" s="26" t="s">
        <v>620</v>
      </c>
      <c r="J116" s="25">
        <v>54</v>
      </c>
      <c r="K116" s="27">
        <v>4</v>
      </c>
    </row>
    <row r="117" spans="4:11" x14ac:dyDescent="0.25">
      <c r="D117" s="228"/>
      <c r="E117" s="22">
        <v>55</v>
      </c>
      <c r="F117" s="23" t="s">
        <v>119</v>
      </c>
      <c r="G117" s="24" t="s">
        <v>515</v>
      </c>
      <c r="H117" s="25" t="s">
        <v>564</v>
      </c>
      <c r="I117" s="26" t="s">
        <v>621</v>
      </c>
      <c r="J117" s="25">
        <v>55</v>
      </c>
      <c r="K117" s="27">
        <v>3</v>
      </c>
    </row>
    <row r="118" spans="4:11" x14ac:dyDescent="0.25">
      <c r="D118" s="228"/>
      <c r="E118" s="22">
        <v>56</v>
      </c>
      <c r="F118" s="23" t="s">
        <v>119</v>
      </c>
      <c r="G118" s="24" t="s">
        <v>516</v>
      </c>
      <c r="H118" s="25" t="s">
        <v>565</v>
      </c>
      <c r="I118" s="26" t="s">
        <v>622</v>
      </c>
      <c r="J118" s="25">
        <v>56</v>
      </c>
      <c r="K118" s="27">
        <v>2</v>
      </c>
    </row>
    <row r="119" spans="4:11" x14ac:dyDescent="0.25">
      <c r="D119" s="228"/>
      <c r="E119" s="22">
        <v>57</v>
      </c>
      <c r="F119" s="23" t="s">
        <v>119</v>
      </c>
      <c r="G119" s="24" t="s">
        <v>517</v>
      </c>
      <c r="H119" s="25" t="s">
        <v>566</v>
      </c>
      <c r="I119" s="26" t="s">
        <v>623</v>
      </c>
      <c r="J119" s="25">
        <v>57</v>
      </c>
      <c r="K119" s="27">
        <v>1</v>
      </c>
    </row>
    <row r="120" spans="4:11" x14ac:dyDescent="0.25">
      <c r="D120" s="228"/>
      <c r="E120" s="28"/>
      <c r="F120" s="29"/>
      <c r="G120" s="29"/>
      <c r="H120" s="29"/>
      <c r="I120" s="30"/>
      <c r="J120" s="29"/>
      <c r="K120" s="29"/>
    </row>
    <row r="121" spans="4:11" x14ac:dyDescent="0.25">
      <c r="D121" s="228"/>
      <c r="E121" s="28"/>
      <c r="F121" s="29"/>
      <c r="G121" s="29"/>
      <c r="H121" s="29"/>
      <c r="I121" s="30"/>
      <c r="J121" s="29"/>
      <c r="K121" s="29"/>
    </row>
    <row r="122" spans="4:11" ht="15.75" thickBot="1" x14ac:dyDescent="0.3">
      <c r="D122" s="228"/>
      <c r="E122" s="244" t="s">
        <v>114</v>
      </c>
      <c r="F122" s="233" t="s">
        <v>79</v>
      </c>
      <c r="G122" s="234"/>
      <c r="H122" s="234"/>
      <c r="I122" s="234"/>
      <c r="J122" s="234"/>
      <c r="K122" s="235"/>
    </row>
    <row r="123" spans="4:11" ht="15.75" thickTop="1" x14ac:dyDescent="0.25">
      <c r="D123" s="228"/>
      <c r="E123" s="245"/>
      <c r="F123" s="236" t="s">
        <v>85</v>
      </c>
      <c r="G123" s="240" t="s">
        <v>80</v>
      </c>
      <c r="H123" s="240" t="s">
        <v>81</v>
      </c>
      <c r="I123" s="240" t="s">
        <v>82</v>
      </c>
      <c r="J123" s="242" t="s">
        <v>83</v>
      </c>
      <c r="K123" s="240" t="s">
        <v>84</v>
      </c>
    </row>
    <row r="124" spans="4:11" x14ac:dyDescent="0.25">
      <c r="D124" s="228"/>
      <c r="E124" s="246"/>
      <c r="F124" s="237"/>
      <c r="G124" s="241"/>
      <c r="H124" s="241"/>
      <c r="I124" s="241"/>
      <c r="J124" s="239"/>
      <c r="K124" s="241"/>
    </row>
    <row r="125" spans="4:11" x14ac:dyDescent="0.25">
      <c r="D125" s="228"/>
      <c r="E125" s="31"/>
      <c r="F125" s="23"/>
      <c r="G125" s="25"/>
      <c r="H125" s="24"/>
      <c r="I125" s="25"/>
      <c r="J125" s="25"/>
      <c r="K125" s="25"/>
    </row>
    <row r="126" spans="4:11" x14ac:dyDescent="0.25">
      <c r="D126" s="228"/>
      <c r="E126" s="32"/>
      <c r="F126" s="33"/>
      <c r="G126" s="28"/>
      <c r="H126" s="28"/>
      <c r="I126" s="28"/>
      <c r="J126" s="28"/>
      <c r="K126" s="28"/>
    </row>
    <row r="127" spans="4:11" x14ac:dyDescent="0.25">
      <c r="D127" s="228"/>
      <c r="E127" s="32"/>
      <c r="F127" s="33"/>
      <c r="G127" s="28"/>
      <c r="H127" s="28"/>
      <c r="I127" s="28"/>
      <c r="J127" s="28"/>
      <c r="K127" s="28"/>
    </row>
    <row r="128" spans="4:11" ht="15.75" thickBot="1" x14ac:dyDescent="0.3">
      <c r="D128" s="228"/>
      <c r="E128" s="252" t="s">
        <v>115</v>
      </c>
      <c r="F128" s="233" t="s">
        <v>86</v>
      </c>
      <c r="G128" s="234"/>
      <c r="H128" s="234"/>
      <c r="I128" s="234"/>
      <c r="J128" s="234"/>
      <c r="K128" s="235"/>
    </row>
    <row r="129" spans="4:11" ht="15.75" thickTop="1" x14ac:dyDescent="0.25">
      <c r="D129" s="228"/>
      <c r="E129" s="253"/>
      <c r="F129" s="236" t="s">
        <v>46</v>
      </c>
      <c r="G129" s="238" t="s">
        <v>80</v>
      </c>
      <c r="H129" s="240" t="s">
        <v>87</v>
      </c>
      <c r="I129" s="240" t="s">
        <v>88</v>
      </c>
      <c r="J129" s="242" t="s">
        <v>89</v>
      </c>
      <c r="K129" s="240" t="s">
        <v>84</v>
      </c>
    </row>
    <row r="130" spans="4:11" x14ac:dyDescent="0.25">
      <c r="D130" s="228"/>
      <c r="E130" s="254"/>
      <c r="F130" s="237"/>
      <c r="G130" s="239"/>
      <c r="H130" s="241"/>
      <c r="I130" s="241"/>
      <c r="J130" s="239"/>
      <c r="K130" s="241"/>
    </row>
    <row r="131" spans="4:11" x14ac:dyDescent="0.25">
      <c r="D131" s="228"/>
      <c r="E131" s="22">
        <v>1</v>
      </c>
      <c r="F131" s="22" t="s">
        <v>119</v>
      </c>
      <c r="G131" s="24" t="s">
        <v>624</v>
      </c>
      <c r="H131" s="25" t="s">
        <v>669</v>
      </c>
      <c r="I131" s="25" t="s">
        <v>714</v>
      </c>
      <c r="J131" s="25">
        <v>45</v>
      </c>
      <c r="K131" s="25">
        <v>1</v>
      </c>
    </row>
    <row r="132" spans="4:11" x14ac:dyDescent="0.25">
      <c r="D132" s="228"/>
      <c r="E132" s="22">
        <v>2</v>
      </c>
      <c r="F132" s="22" t="s">
        <v>119</v>
      </c>
      <c r="G132" s="24" t="s">
        <v>625</v>
      </c>
      <c r="H132" s="25" t="s">
        <v>670</v>
      </c>
      <c r="I132" s="25" t="s">
        <v>715</v>
      </c>
      <c r="J132" s="25">
        <v>44</v>
      </c>
      <c r="K132" s="25">
        <v>2</v>
      </c>
    </row>
    <row r="133" spans="4:11" x14ac:dyDescent="0.25">
      <c r="D133" s="228"/>
      <c r="E133" s="22">
        <v>3</v>
      </c>
      <c r="F133" s="22" t="s">
        <v>119</v>
      </c>
      <c r="G133" s="24" t="s">
        <v>626</v>
      </c>
      <c r="H133" s="25" t="s">
        <v>671</v>
      </c>
      <c r="I133" s="25" t="s">
        <v>716</v>
      </c>
      <c r="J133" s="25">
        <v>43</v>
      </c>
      <c r="K133" s="25">
        <v>3</v>
      </c>
    </row>
    <row r="134" spans="4:11" x14ac:dyDescent="0.25">
      <c r="D134" s="228"/>
      <c r="E134" s="22">
        <v>4</v>
      </c>
      <c r="F134" s="22" t="s">
        <v>119</v>
      </c>
      <c r="G134" s="24" t="s">
        <v>627</v>
      </c>
      <c r="H134" s="25" t="s">
        <v>672</v>
      </c>
      <c r="I134" s="25" t="s">
        <v>717</v>
      </c>
      <c r="J134" s="25">
        <v>42</v>
      </c>
      <c r="K134" s="25">
        <v>4</v>
      </c>
    </row>
    <row r="135" spans="4:11" x14ac:dyDescent="0.25">
      <c r="D135" s="228"/>
      <c r="E135" s="22">
        <v>5</v>
      </c>
      <c r="F135" s="22" t="s">
        <v>119</v>
      </c>
      <c r="G135" s="24" t="s">
        <v>628</v>
      </c>
      <c r="H135" s="25" t="s">
        <v>673</v>
      </c>
      <c r="I135" s="25" t="s">
        <v>718</v>
      </c>
      <c r="J135" s="25">
        <v>41</v>
      </c>
      <c r="K135" s="25">
        <v>5</v>
      </c>
    </row>
    <row r="136" spans="4:11" x14ac:dyDescent="0.25">
      <c r="D136" s="228"/>
      <c r="E136" s="22">
        <v>6</v>
      </c>
      <c r="F136" s="22" t="s">
        <v>119</v>
      </c>
      <c r="G136" s="24" t="s">
        <v>629</v>
      </c>
      <c r="H136" s="25" t="s">
        <v>674</v>
      </c>
      <c r="I136" s="25" t="s">
        <v>719</v>
      </c>
      <c r="J136" s="25">
        <v>40</v>
      </c>
      <c r="K136" s="25">
        <v>6</v>
      </c>
    </row>
    <row r="137" spans="4:11" x14ac:dyDescent="0.25">
      <c r="D137" s="228"/>
      <c r="E137" s="22">
        <v>7</v>
      </c>
      <c r="F137" s="22" t="s">
        <v>119</v>
      </c>
      <c r="G137" s="24" t="s">
        <v>630</v>
      </c>
      <c r="H137" s="25" t="s">
        <v>675</v>
      </c>
      <c r="I137" s="25" t="s">
        <v>720</v>
      </c>
      <c r="J137" s="25">
        <v>39</v>
      </c>
      <c r="K137" s="25">
        <v>7</v>
      </c>
    </row>
    <row r="138" spans="4:11" x14ac:dyDescent="0.25">
      <c r="D138" s="228"/>
      <c r="E138" s="22">
        <v>8</v>
      </c>
      <c r="F138" s="22" t="s">
        <v>119</v>
      </c>
      <c r="G138" s="24" t="s">
        <v>631</v>
      </c>
      <c r="H138" s="25" t="s">
        <v>676</v>
      </c>
      <c r="I138" s="25" t="s">
        <v>721</v>
      </c>
      <c r="J138" s="25">
        <v>38</v>
      </c>
      <c r="K138" s="25">
        <v>8</v>
      </c>
    </row>
    <row r="139" spans="4:11" x14ac:dyDescent="0.25">
      <c r="D139" s="228"/>
      <c r="E139" s="22">
        <v>9</v>
      </c>
      <c r="F139" s="22" t="s">
        <v>119</v>
      </c>
      <c r="G139" s="24" t="s">
        <v>632</v>
      </c>
      <c r="H139" s="25" t="s">
        <v>677</v>
      </c>
      <c r="I139" s="25" t="s">
        <v>722</v>
      </c>
      <c r="J139" s="25">
        <v>37</v>
      </c>
      <c r="K139" s="25">
        <v>9</v>
      </c>
    </row>
    <row r="140" spans="4:11" x14ac:dyDescent="0.25">
      <c r="D140" s="228"/>
      <c r="E140" s="22">
        <v>10</v>
      </c>
      <c r="F140" s="22" t="s">
        <v>119</v>
      </c>
      <c r="G140" s="24" t="s">
        <v>633</v>
      </c>
      <c r="H140" s="25" t="s">
        <v>678</v>
      </c>
      <c r="I140" s="25" t="s">
        <v>723</v>
      </c>
      <c r="J140" s="25">
        <v>36</v>
      </c>
      <c r="K140" s="25">
        <v>10</v>
      </c>
    </row>
    <row r="141" spans="4:11" x14ac:dyDescent="0.25">
      <c r="D141" s="228"/>
      <c r="E141" s="22">
        <v>11</v>
      </c>
      <c r="F141" s="22" t="s">
        <v>119</v>
      </c>
      <c r="G141" s="24" t="s">
        <v>634</v>
      </c>
      <c r="H141" s="25" t="s">
        <v>679</v>
      </c>
      <c r="I141" s="25" t="s">
        <v>724</v>
      </c>
      <c r="J141" s="25">
        <v>35</v>
      </c>
      <c r="K141" s="25">
        <v>11</v>
      </c>
    </row>
    <row r="142" spans="4:11" x14ac:dyDescent="0.25">
      <c r="D142" s="228"/>
      <c r="E142" s="22">
        <v>12</v>
      </c>
      <c r="F142" s="22" t="s">
        <v>119</v>
      </c>
      <c r="G142" s="24" t="s">
        <v>635</v>
      </c>
      <c r="H142" s="25" t="s">
        <v>680</v>
      </c>
      <c r="I142" s="25" t="s">
        <v>725</v>
      </c>
      <c r="J142" s="25">
        <v>34</v>
      </c>
      <c r="K142" s="25">
        <v>12</v>
      </c>
    </row>
    <row r="143" spans="4:11" x14ac:dyDescent="0.25">
      <c r="D143" s="228"/>
      <c r="E143" s="22">
        <v>13</v>
      </c>
      <c r="F143" s="22" t="s">
        <v>119</v>
      </c>
      <c r="G143" s="24" t="s">
        <v>636</v>
      </c>
      <c r="H143" s="25" t="s">
        <v>681</v>
      </c>
      <c r="I143" s="25" t="s">
        <v>726</v>
      </c>
      <c r="J143" s="25">
        <v>33</v>
      </c>
      <c r="K143" s="25">
        <v>13</v>
      </c>
    </row>
    <row r="144" spans="4:11" x14ac:dyDescent="0.25">
      <c r="D144" s="228"/>
      <c r="E144" s="22">
        <v>14</v>
      </c>
      <c r="F144" s="22" t="s">
        <v>119</v>
      </c>
      <c r="G144" s="24" t="s">
        <v>637</v>
      </c>
      <c r="H144" s="25" t="s">
        <v>682</v>
      </c>
      <c r="I144" s="25" t="s">
        <v>727</v>
      </c>
      <c r="J144" s="25">
        <v>32</v>
      </c>
      <c r="K144" s="25">
        <v>14</v>
      </c>
    </row>
    <row r="145" spans="4:11" x14ac:dyDescent="0.25">
      <c r="D145" s="228"/>
      <c r="E145" s="22">
        <v>15</v>
      </c>
      <c r="F145" s="22" t="s">
        <v>119</v>
      </c>
      <c r="G145" s="24" t="s">
        <v>638</v>
      </c>
      <c r="H145" s="25" t="s">
        <v>683</v>
      </c>
      <c r="I145" s="25" t="s">
        <v>728</v>
      </c>
      <c r="J145" s="25">
        <v>31</v>
      </c>
      <c r="K145" s="25">
        <v>15</v>
      </c>
    </row>
    <row r="146" spans="4:11" x14ac:dyDescent="0.25">
      <c r="D146" s="228"/>
      <c r="E146" s="22">
        <v>16</v>
      </c>
      <c r="F146" s="22" t="s">
        <v>119</v>
      </c>
      <c r="G146" s="24" t="s">
        <v>639</v>
      </c>
      <c r="H146" s="25" t="s">
        <v>684</v>
      </c>
      <c r="I146" s="25" t="s">
        <v>729</v>
      </c>
      <c r="J146" s="25">
        <v>30</v>
      </c>
      <c r="K146" s="25">
        <v>16</v>
      </c>
    </row>
    <row r="147" spans="4:11" x14ac:dyDescent="0.25">
      <c r="D147" s="228"/>
      <c r="E147" s="22">
        <v>17</v>
      </c>
      <c r="F147" s="22" t="s">
        <v>119</v>
      </c>
      <c r="G147" s="24" t="s">
        <v>640</v>
      </c>
      <c r="H147" s="25" t="s">
        <v>685</v>
      </c>
      <c r="I147" s="25" t="s">
        <v>730</v>
      </c>
      <c r="J147" s="25">
        <v>29</v>
      </c>
      <c r="K147" s="25">
        <v>17</v>
      </c>
    </row>
    <row r="148" spans="4:11" x14ac:dyDescent="0.25">
      <c r="D148" s="228"/>
      <c r="E148" s="22">
        <v>18</v>
      </c>
      <c r="F148" s="22" t="s">
        <v>119</v>
      </c>
      <c r="G148" s="24" t="s">
        <v>641</v>
      </c>
      <c r="H148" s="25" t="s">
        <v>686</v>
      </c>
      <c r="I148" s="25" t="s">
        <v>731</v>
      </c>
      <c r="J148" s="25">
        <v>28</v>
      </c>
      <c r="K148" s="25">
        <v>18</v>
      </c>
    </row>
    <row r="149" spans="4:11" x14ac:dyDescent="0.25">
      <c r="D149" s="228"/>
      <c r="E149" s="22">
        <v>19</v>
      </c>
      <c r="F149" s="22" t="s">
        <v>119</v>
      </c>
      <c r="G149" s="24" t="s">
        <v>642</v>
      </c>
      <c r="H149" s="25" t="s">
        <v>687</v>
      </c>
      <c r="I149" s="25" t="s">
        <v>732</v>
      </c>
      <c r="J149" s="25">
        <v>27</v>
      </c>
      <c r="K149" s="25">
        <v>19</v>
      </c>
    </row>
    <row r="150" spans="4:11" x14ac:dyDescent="0.25">
      <c r="D150" s="228"/>
      <c r="E150" s="22">
        <v>20</v>
      </c>
      <c r="F150" s="22" t="s">
        <v>119</v>
      </c>
      <c r="G150" s="24" t="s">
        <v>643</v>
      </c>
      <c r="H150" s="25" t="s">
        <v>688</v>
      </c>
      <c r="I150" s="25" t="s">
        <v>733</v>
      </c>
      <c r="J150" s="25">
        <v>26</v>
      </c>
      <c r="K150" s="25">
        <v>20</v>
      </c>
    </row>
    <row r="151" spans="4:11" x14ac:dyDescent="0.25">
      <c r="D151" s="228"/>
      <c r="E151" s="22">
        <v>21</v>
      </c>
      <c r="F151" s="22" t="s">
        <v>119</v>
      </c>
      <c r="G151" s="24" t="s">
        <v>644</v>
      </c>
      <c r="H151" s="25" t="s">
        <v>689</v>
      </c>
      <c r="I151" s="25" t="s">
        <v>734</v>
      </c>
      <c r="J151" s="25">
        <v>25</v>
      </c>
      <c r="K151" s="25">
        <v>21</v>
      </c>
    </row>
    <row r="152" spans="4:11" x14ac:dyDescent="0.25">
      <c r="D152" s="228"/>
      <c r="E152" s="22">
        <v>22</v>
      </c>
      <c r="F152" s="22" t="s">
        <v>119</v>
      </c>
      <c r="G152" s="24" t="s">
        <v>645</v>
      </c>
      <c r="H152" s="25" t="s">
        <v>690</v>
      </c>
      <c r="I152" s="25" t="s">
        <v>735</v>
      </c>
      <c r="J152" s="25">
        <v>24</v>
      </c>
      <c r="K152" s="25">
        <v>22</v>
      </c>
    </row>
    <row r="153" spans="4:11" x14ac:dyDescent="0.25">
      <c r="D153" s="228"/>
      <c r="E153" s="22">
        <v>23</v>
      </c>
      <c r="F153" s="22" t="s">
        <v>119</v>
      </c>
      <c r="G153" s="24" t="s">
        <v>646</v>
      </c>
      <c r="H153" s="25" t="s">
        <v>691</v>
      </c>
      <c r="I153" s="25" t="s">
        <v>736</v>
      </c>
      <c r="J153" s="25">
        <v>23</v>
      </c>
      <c r="K153" s="25">
        <v>23</v>
      </c>
    </row>
    <row r="154" spans="4:11" x14ac:dyDescent="0.25">
      <c r="D154" s="228"/>
      <c r="E154" s="22">
        <v>24</v>
      </c>
      <c r="F154" s="22" t="s">
        <v>119</v>
      </c>
      <c r="G154" s="24" t="s">
        <v>647</v>
      </c>
      <c r="H154" s="25" t="s">
        <v>692</v>
      </c>
      <c r="I154" s="25" t="s">
        <v>737</v>
      </c>
      <c r="J154" s="25">
        <v>22</v>
      </c>
      <c r="K154" s="25">
        <v>24</v>
      </c>
    </row>
    <row r="155" spans="4:11" x14ac:dyDescent="0.25">
      <c r="D155" s="228"/>
      <c r="E155" s="22">
        <v>25</v>
      </c>
      <c r="F155" s="22" t="s">
        <v>119</v>
      </c>
      <c r="G155" s="24" t="s">
        <v>648</v>
      </c>
      <c r="H155" s="25" t="s">
        <v>693</v>
      </c>
      <c r="I155" s="25" t="s">
        <v>738</v>
      </c>
      <c r="J155" s="25">
        <v>21</v>
      </c>
      <c r="K155" s="25">
        <v>25</v>
      </c>
    </row>
    <row r="156" spans="4:11" x14ac:dyDescent="0.25">
      <c r="D156" s="228"/>
      <c r="E156" s="22">
        <v>26</v>
      </c>
      <c r="F156" s="22" t="s">
        <v>119</v>
      </c>
      <c r="G156" s="24" t="s">
        <v>649</v>
      </c>
      <c r="H156" s="25" t="s">
        <v>694</v>
      </c>
      <c r="I156" s="25" t="s">
        <v>739</v>
      </c>
      <c r="J156" s="25">
        <v>20</v>
      </c>
      <c r="K156" s="25">
        <v>26</v>
      </c>
    </row>
    <row r="157" spans="4:11" x14ac:dyDescent="0.25">
      <c r="D157" s="228"/>
      <c r="E157" s="22">
        <v>27</v>
      </c>
      <c r="F157" s="22" t="s">
        <v>119</v>
      </c>
      <c r="G157" s="24" t="s">
        <v>650</v>
      </c>
      <c r="H157" s="25" t="s">
        <v>695</v>
      </c>
      <c r="I157" s="25" t="s">
        <v>740</v>
      </c>
      <c r="J157" s="25">
        <v>19</v>
      </c>
      <c r="K157" s="25">
        <v>27</v>
      </c>
    </row>
    <row r="158" spans="4:11" x14ac:dyDescent="0.25">
      <c r="D158" s="228"/>
      <c r="E158" s="22">
        <v>28</v>
      </c>
      <c r="F158" s="22" t="s">
        <v>119</v>
      </c>
      <c r="G158" s="24" t="s">
        <v>651</v>
      </c>
      <c r="H158" s="25" t="s">
        <v>696</v>
      </c>
      <c r="I158" s="25" t="s">
        <v>741</v>
      </c>
      <c r="J158" s="25">
        <v>18</v>
      </c>
      <c r="K158" s="25">
        <v>28</v>
      </c>
    </row>
    <row r="159" spans="4:11" x14ac:dyDescent="0.25">
      <c r="D159" s="228"/>
      <c r="E159" s="22">
        <v>29</v>
      </c>
      <c r="F159" s="22" t="s">
        <v>119</v>
      </c>
      <c r="G159" s="24" t="s">
        <v>652</v>
      </c>
      <c r="H159" s="25" t="s">
        <v>697</v>
      </c>
      <c r="I159" s="25" t="s">
        <v>742</v>
      </c>
      <c r="J159" s="25">
        <v>17</v>
      </c>
      <c r="K159" s="25">
        <v>29</v>
      </c>
    </row>
    <row r="160" spans="4:11" x14ac:dyDescent="0.25">
      <c r="D160" s="228"/>
      <c r="E160" s="22">
        <v>30</v>
      </c>
      <c r="F160" s="22" t="s">
        <v>119</v>
      </c>
      <c r="G160" s="24" t="s">
        <v>653</v>
      </c>
      <c r="H160" s="25" t="s">
        <v>698</v>
      </c>
      <c r="I160" s="25" t="s">
        <v>743</v>
      </c>
      <c r="J160" s="25">
        <v>16</v>
      </c>
      <c r="K160" s="25">
        <v>30</v>
      </c>
    </row>
    <row r="161" spans="4:11" x14ac:dyDescent="0.25">
      <c r="D161" s="228"/>
      <c r="E161" s="22">
        <v>31</v>
      </c>
      <c r="F161" s="22" t="s">
        <v>119</v>
      </c>
      <c r="G161" s="24" t="s">
        <v>654</v>
      </c>
      <c r="H161" s="25" t="s">
        <v>699</v>
      </c>
      <c r="I161" s="25" t="s">
        <v>744</v>
      </c>
      <c r="J161" s="25">
        <v>15</v>
      </c>
      <c r="K161" s="25">
        <v>31</v>
      </c>
    </row>
    <row r="162" spans="4:11" x14ac:dyDescent="0.25">
      <c r="D162" s="228"/>
      <c r="E162" s="22">
        <v>32</v>
      </c>
      <c r="F162" s="22" t="s">
        <v>119</v>
      </c>
      <c r="G162" s="24" t="s">
        <v>655</v>
      </c>
      <c r="H162" s="25" t="s">
        <v>700</v>
      </c>
      <c r="I162" s="25" t="s">
        <v>745</v>
      </c>
      <c r="J162" s="25">
        <v>14</v>
      </c>
      <c r="K162" s="25">
        <v>32</v>
      </c>
    </row>
    <row r="163" spans="4:11" x14ac:dyDescent="0.25">
      <c r="D163" s="228"/>
      <c r="E163" s="22">
        <v>33</v>
      </c>
      <c r="F163" s="22" t="s">
        <v>119</v>
      </c>
      <c r="G163" s="24" t="s">
        <v>656</v>
      </c>
      <c r="H163" s="25" t="s">
        <v>701</v>
      </c>
      <c r="I163" s="25" t="s">
        <v>746</v>
      </c>
      <c r="J163" s="25">
        <v>13</v>
      </c>
      <c r="K163" s="25">
        <v>33</v>
      </c>
    </row>
    <row r="164" spans="4:11" x14ac:dyDescent="0.25">
      <c r="D164" s="228"/>
      <c r="E164" s="22">
        <v>34</v>
      </c>
      <c r="F164" s="22" t="s">
        <v>119</v>
      </c>
      <c r="G164" s="24" t="s">
        <v>657</v>
      </c>
      <c r="H164" s="25" t="s">
        <v>702</v>
      </c>
      <c r="I164" s="25" t="s">
        <v>747</v>
      </c>
      <c r="J164" s="25">
        <v>12</v>
      </c>
      <c r="K164" s="25">
        <v>34</v>
      </c>
    </row>
    <row r="165" spans="4:11" x14ac:dyDescent="0.25">
      <c r="D165" s="228"/>
      <c r="E165" s="22">
        <v>35</v>
      </c>
      <c r="F165" s="22" t="s">
        <v>119</v>
      </c>
      <c r="G165" s="24" t="s">
        <v>658</v>
      </c>
      <c r="H165" s="25" t="s">
        <v>703</v>
      </c>
      <c r="I165" s="25" t="s">
        <v>748</v>
      </c>
      <c r="J165" s="25">
        <v>11</v>
      </c>
      <c r="K165" s="25">
        <v>35</v>
      </c>
    </row>
    <row r="166" spans="4:11" x14ac:dyDescent="0.25">
      <c r="D166" s="228"/>
      <c r="E166" s="22">
        <v>36</v>
      </c>
      <c r="F166" s="22" t="s">
        <v>119</v>
      </c>
      <c r="G166" s="24" t="s">
        <v>659</v>
      </c>
      <c r="H166" s="25" t="s">
        <v>704</v>
      </c>
      <c r="I166" s="25" t="s">
        <v>749</v>
      </c>
      <c r="J166" s="25">
        <v>10</v>
      </c>
      <c r="K166" s="25">
        <v>36</v>
      </c>
    </row>
    <row r="167" spans="4:11" x14ac:dyDescent="0.25">
      <c r="D167" s="228"/>
      <c r="E167" s="22">
        <v>37</v>
      </c>
      <c r="F167" s="22" t="s">
        <v>119</v>
      </c>
      <c r="G167" s="24" t="s">
        <v>660</v>
      </c>
      <c r="H167" s="25" t="s">
        <v>705</v>
      </c>
      <c r="I167" s="25" t="s">
        <v>750</v>
      </c>
      <c r="J167" s="25">
        <v>9</v>
      </c>
      <c r="K167" s="25">
        <v>37</v>
      </c>
    </row>
    <row r="168" spans="4:11" x14ac:dyDescent="0.25">
      <c r="D168" s="228"/>
      <c r="E168" s="22">
        <v>38</v>
      </c>
      <c r="F168" s="22" t="s">
        <v>119</v>
      </c>
      <c r="G168" s="24" t="s">
        <v>661</v>
      </c>
      <c r="H168" s="25" t="s">
        <v>706</v>
      </c>
      <c r="I168" s="25" t="s">
        <v>751</v>
      </c>
      <c r="J168" s="25">
        <v>8</v>
      </c>
      <c r="K168" s="25">
        <v>38</v>
      </c>
    </row>
    <row r="169" spans="4:11" x14ac:dyDescent="0.25">
      <c r="D169" s="228"/>
      <c r="E169" s="22">
        <v>39</v>
      </c>
      <c r="F169" s="22" t="s">
        <v>119</v>
      </c>
      <c r="G169" s="24" t="s">
        <v>662</v>
      </c>
      <c r="H169" s="25" t="s">
        <v>707</v>
      </c>
      <c r="I169" s="25" t="s">
        <v>752</v>
      </c>
      <c r="J169" s="25">
        <v>7</v>
      </c>
      <c r="K169" s="25">
        <v>39</v>
      </c>
    </row>
    <row r="170" spans="4:11" x14ac:dyDescent="0.25">
      <c r="D170" s="228"/>
      <c r="E170" s="22">
        <v>40</v>
      </c>
      <c r="F170" s="22" t="s">
        <v>119</v>
      </c>
      <c r="G170" s="24" t="s">
        <v>663</v>
      </c>
      <c r="H170" s="25" t="s">
        <v>708</v>
      </c>
      <c r="I170" s="25" t="s">
        <v>753</v>
      </c>
      <c r="J170" s="25">
        <v>6</v>
      </c>
      <c r="K170" s="25">
        <v>40</v>
      </c>
    </row>
    <row r="171" spans="4:11" x14ac:dyDescent="0.25">
      <c r="D171" s="228"/>
      <c r="E171" s="22">
        <v>41</v>
      </c>
      <c r="F171" s="22" t="s">
        <v>119</v>
      </c>
      <c r="G171" s="24" t="s">
        <v>664</v>
      </c>
      <c r="H171" s="25" t="s">
        <v>709</v>
      </c>
      <c r="I171" s="25" t="s">
        <v>754</v>
      </c>
      <c r="J171" s="25">
        <v>5</v>
      </c>
      <c r="K171" s="25">
        <v>41</v>
      </c>
    </row>
    <row r="172" spans="4:11" x14ac:dyDescent="0.25">
      <c r="D172" s="228"/>
      <c r="E172" s="22">
        <v>42</v>
      </c>
      <c r="F172" s="22" t="s">
        <v>119</v>
      </c>
      <c r="G172" s="24" t="s">
        <v>665</v>
      </c>
      <c r="H172" s="25" t="s">
        <v>710</v>
      </c>
      <c r="I172" s="25" t="s">
        <v>755</v>
      </c>
      <c r="J172" s="25">
        <v>4</v>
      </c>
      <c r="K172" s="25">
        <v>42</v>
      </c>
    </row>
    <row r="173" spans="4:11" x14ac:dyDescent="0.25">
      <c r="D173" s="228"/>
      <c r="E173" s="22">
        <v>43</v>
      </c>
      <c r="F173" s="22" t="s">
        <v>119</v>
      </c>
      <c r="G173" s="24" t="s">
        <v>666</v>
      </c>
      <c r="H173" s="25" t="s">
        <v>711</v>
      </c>
      <c r="I173" s="25" t="s">
        <v>756</v>
      </c>
      <c r="J173" s="25">
        <v>3</v>
      </c>
      <c r="K173" s="25">
        <v>43</v>
      </c>
    </row>
    <row r="174" spans="4:11" x14ac:dyDescent="0.25">
      <c r="D174" s="228"/>
      <c r="E174" s="22">
        <v>44</v>
      </c>
      <c r="F174" s="22" t="s">
        <v>119</v>
      </c>
      <c r="G174" s="24" t="s">
        <v>667</v>
      </c>
      <c r="H174" s="25" t="s">
        <v>712</v>
      </c>
      <c r="I174" s="25" t="s">
        <v>757</v>
      </c>
      <c r="J174" s="25">
        <v>2</v>
      </c>
      <c r="K174" s="25">
        <v>44</v>
      </c>
    </row>
    <row r="175" spans="4:11" x14ac:dyDescent="0.25">
      <c r="D175" s="229"/>
      <c r="E175" s="22">
        <v>45</v>
      </c>
      <c r="F175" s="22" t="s">
        <v>119</v>
      </c>
      <c r="G175" s="24" t="s">
        <v>668</v>
      </c>
      <c r="H175" s="25" t="s">
        <v>713</v>
      </c>
      <c r="I175" s="25" t="s">
        <v>758</v>
      </c>
      <c r="J175" s="25">
        <v>1</v>
      </c>
      <c r="K175" s="25">
        <v>45</v>
      </c>
    </row>
    <row r="177" spans="2:30" ht="15.75" thickBot="1" x14ac:dyDescent="0.3">
      <c r="N177">
        <v>10</v>
      </c>
      <c r="X177">
        <v>20</v>
      </c>
    </row>
    <row r="178" spans="2:30" ht="15" customHeight="1" thickBot="1" x14ac:dyDescent="0.3">
      <c r="B178" s="224" t="s">
        <v>911</v>
      </c>
      <c r="C178" s="224" t="s">
        <v>912</v>
      </c>
      <c r="D178" s="230" t="s">
        <v>118</v>
      </c>
      <c r="E178" s="244" t="s">
        <v>111</v>
      </c>
      <c r="F178" s="233" t="s">
        <v>916</v>
      </c>
      <c r="G178" s="234"/>
      <c r="H178" s="234"/>
      <c r="I178" s="234"/>
      <c r="J178" s="234"/>
      <c r="K178" s="235"/>
      <c r="L178" s="233" t="s">
        <v>54</v>
      </c>
      <c r="M178" s="235"/>
      <c r="N178" s="233" t="s">
        <v>55</v>
      </c>
      <c r="O178" s="234"/>
      <c r="P178" s="234"/>
      <c r="Q178" s="234"/>
      <c r="R178" s="234"/>
      <c r="S178" s="234"/>
      <c r="T178" s="234"/>
      <c r="U178" s="234"/>
      <c r="V178" s="234"/>
      <c r="W178" s="234"/>
      <c r="X178" s="235"/>
    </row>
    <row r="179" spans="2:30" ht="15.75" thickTop="1" x14ac:dyDescent="0.25">
      <c r="B179" s="225"/>
      <c r="C179" s="225"/>
      <c r="D179" s="231"/>
      <c r="E179" s="245"/>
      <c r="F179" s="249" t="s">
        <v>46</v>
      </c>
      <c r="G179" s="251" t="s">
        <v>56</v>
      </c>
      <c r="H179" s="251" t="s">
        <v>57</v>
      </c>
      <c r="I179" s="251" t="s">
        <v>58</v>
      </c>
      <c r="J179" s="251" t="s">
        <v>59</v>
      </c>
      <c r="K179" s="251" t="s">
        <v>60</v>
      </c>
      <c r="L179" s="240" t="s">
        <v>61</v>
      </c>
      <c r="M179" s="240" t="s">
        <v>62</v>
      </c>
      <c r="N179" s="238" t="s">
        <v>903</v>
      </c>
      <c r="O179" s="247" t="s">
        <v>904</v>
      </c>
      <c r="P179" s="240" t="s">
        <v>64</v>
      </c>
      <c r="Q179" s="240" t="s">
        <v>65</v>
      </c>
      <c r="R179" s="240" t="s">
        <v>66</v>
      </c>
      <c r="S179" s="240" t="s">
        <v>67</v>
      </c>
      <c r="T179" s="240" t="s">
        <v>68</v>
      </c>
      <c r="U179" s="238" t="s">
        <v>69</v>
      </c>
      <c r="V179" s="238" t="s">
        <v>75</v>
      </c>
      <c r="W179" s="238" t="s">
        <v>77</v>
      </c>
      <c r="X179" s="238" t="s">
        <v>73</v>
      </c>
    </row>
    <row r="180" spans="2:30" ht="15.75" thickBot="1" x14ac:dyDescent="0.3">
      <c r="B180" s="226"/>
      <c r="C180" s="226"/>
      <c r="D180" s="231"/>
      <c r="E180" s="246"/>
      <c r="F180" s="250"/>
      <c r="G180" s="241"/>
      <c r="H180" s="241"/>
      <c r="I180" s="241"/>
      <c r="J180" s="241"/>
      <c r="K180" s="241"/>
      <c r="L180" s="241"/>
      <c r="M180" s="241"/>
      <c r="N180" s="239"/>
      <c r="O180" s="248"/>
      <c r="P180" s="241"/>
      <c r="Q180" s="241"/>
      <c r="R180" s="241"/>
      <c r="S180" s="241"/>
      <c r="T180" s="241"/>
      <c r="U180" s="239"/>
      <c r="V180" s="239"/>
      <c r="W180" s="239"/>
      <c r="X180" s="239"/>
    </row>
    <row r="181" spans="2:30" x14ac:dyDescent="0.25">
      <c r="D181" s="231"/>
      <c r="E181" s="36">
        <v>1</v>
      </c>
      <c r="F181" s="6" t="s">
        <v>119</v>
      </c>
      <c r="G181" s="10">
        <v>100</v>
      </c>
      <c r="H181" s="18">
        <v>2</v>
      </c>
      <c r="I181" s="18">
        <v>3</v>
      </c>
      <c r="J181" s="19">
        <v>4</v>
      </c>
      <c r="K181" s="19">
        <v>5</v>
      </c>
      <c r="L181" s="10">
        <v>6</v>
      </c>
      <c r="M181" s="10">
        <v>7</v>
      </c>
      <c r="N181" s="6" t="s">
        <v>125</v>
      </c>
      <c r="O181" s="6" t="s">
        <v>126</v>
      </c>
      <c r="P181" s="20"/>
      <c r="Q181" s="20"/>
      <c r="R181" s="20"/>
      <c r="S181" s="20"/>
      <c r="T181" s="20"/>
      <c r="U181" s="20"/>
      <c r="V181" s="21" t="s">
        <v>128</v>
      </c>
      <c r="W181" s="21"/>
      <c r="X181" s="21">
        <v>25</v>
      </c>
    </row>
    <row r="182" spans="2:30" x14ac:dyDescent="0.25">
      <c r="D182" s="231"/>
    </row>
    <row r="183" spans="2:30" ht="15.75" thickBot="1" x14ac:dyDescent="0.3">
      <c r="D183" s="231"/>
    </row>
    <row r="184" spans="2:30" ht="15.6" customHeight="1" thickBot="1" x14ac:dyDescent="0.3">
      <c r="B184" s="224" t="s">
        <v>914</v>
      </c>
      <c r="C184" s="224" t="s">
        <v>913</v>
      </c>
      <c r="D184" s="231"/>
      <c r="E184" s="252" t="s">
        <v>112</v>
      </c>
      <c r="F184" s="233" t="s">
        <v>44</v>
      </c>
      <c r="G184" s="234"/>
      <c r="H184" s="234"/>
      <c r="I184" s="234"/>
      <c r="J184" s="235"/>
      <c r="K184" s="233" t="s">
        <v>45</v>
      </c>
      <c r="L184" s="234"/>
      <c r="M184" s="234"/>
      <c r="N184" s="234"/>
      <c r="O184" s="235"/>
      <c r="P184" s="233" t="s">
        <v>90</v>
      </c>
      <c r="Q184" s="234"/>
      <c r="R184" s="234"/>
      <c r="S184" s="235"/>
      <c r="T184" s="271" t="s">
        <v>91</v>
      </c>
      <c r="U184" s="271"/>
      <c r="V184" s="271"/>
      <c r="W184" s="271"/>
      <c r="X184" s="271" t="s">
        <v>92</v>
      </c>
      <c r="Y184" s="271"/>
      <c r="Z184" s="271"/>
      <c r="AA184" s="271"/>
      <c r="AB184" s="268" t="s">
        <v>93</v>
      </c>
      <c r="AC184" s="269"/>
      <c r="AD184" s="270"/>
    </row>
    <row r="185" spans="2:30" ht="15.75" thickTop="1" x14ac:dyDescent="0.25">
      <c r="B185" s="225"/>
      <c r="C185" s="225"/>
      <c r="D185" s="231"/>
      <c r="E185" s="253"/>
      <c r="F185" s="236" t="s">
        <v>46</v>
      </c>
      <c r="G185" s="238" t="s">
        <v>94</v>
      </c>
      <c r="H185" s="236" t="s">
        <v>85</v>
      </c>
      <c r="I185" s="240" t="s">
        <v>47</v>
      </c>
      <c r="J185" s="236" t="s">
        <v>48</v>
      </c>
      <c r="K185" s="238" t="s">
        <v>95</v>
      </c>
      <c r="L185" s="240" t="s">
        <v>96</v>
      </c>
      <c r="M185" s="240" t="s">
        <v>49</v>
      </c>
      <c r="N185" s="240" t="s">
        <v>50</v>
      </c>
      <c r="O185" s="240" t="s">
        <v>51</v>
      </c>
      <c r="P185" s="240" t="s">
        <v>97</v>
      </c>
      <c r="Q185" s="240" t="s">
        <v>98</v>
      </c>
      <c r="R185" s="240" t="s">
        <v>99</v>
      </c>
      <c r="S185" s="240" t="s">
        <v>100</v>
      </c>
      <c r="T185" s="251" t="s">
        <v>101</v>
      </c>
      <c r="U185" s="251" t="s">
        <v>102</v>
      </c>
      <c r="V185" s="251" t="s">
        <v>103</v>
      </c>
      <c r="W185" s="251" t="s">
        <v>104</v>
      </c>
      <c r="X185" s="240" t="s">
        <v>105</v>
      </c>
      <c r="Y185" s="240" t="s">
        <v>106</v>
      </c>
      <c r="Z185" s="238" t="s">
        <v>107</v>
      </c>
      <c r="AA185" s="240" t="s">
        <v>108</v>
      </c>
      <c r="AB185" s="241" t="s">
        <v>65</v>
      </c>
      <c r="AC185" s="241" t="s">
        <v>68</v>
      </c>
      <c r="AD185" s="241" t="s">
        <v>77</v>
      </c>
    </row>
    <row r="186" spans="2:30" ht="15.75" thickBot="1" x14ac:dyDescent="0.3">
      <c r="B186" s="226"/>
      <c r="C186" s="226"/>
      <c r="D186" s="231"/>
      <c r="E186" s="254"/>
      <c r="F186" s="237"/>
      <c r="G186" s="239"/>
      <c r="H186" s="237"/>
      <c r="I186" s="241"/>
      <c r="J186" s="237"/>
      <c r="K186" s="239"/>
      <c r="L186" s="241"/>
      <c r="M186" s="241"/>
      <c r="N186" s="241"/>
      <c r="O186" s="241"/>
      <c r="P186" s="241"/>
      <c r="Q186" s="241"/>
      <c r="R186" s="241"/>
      <c r="S186" s="241"/>
      <c r="T186" s="241"/>
      <c r="U186" s="241"/>
      <c r="V186" s="241"/>
      <c r="W186" s="241"/>
      <c r="X186" s="241"/>
      <c r="Y186" s="241"/>
      <c r="Z186" s="239"/>
      <c r="AA186" s="241"/>
      <c r="AB186" s="267"/>
      <c r="AC186" s="267"/>
      <c r="AD186" s="267"/>
    </row>
    <row r="187" spans="2:30" x14ac:dyDescent="0.25">
      <c r="D187" s="231"/>
      <c r="E187" s="22">
        <v>1</v>
      </c>
      <c r="F187" s="23" t="s">
        <v>119</v>
      </c>
      <c r="G187" s="23" t="s">
        <v>129</v>
      </c>
      <c r="H187" s="23" t="s">
        <v>130</v>
      </c>
      <c r="I187" s="24" t="s">
        <v>135</v>
      </c>
      <c r="J187" s="26" t="s">
        <v>137</v>
      </c>
      <c r="K187" s="26">
        <v>1</v>
      </c>
      <c r="L187" s="26" t="s">
        <v>138</v>
      </c>
      <c r="M187" s="26" t="s">
        <v>141</v>
      </c>
      <c r="N187" s="26" t="s">
        <v>142</v>
      </c>
      <c r="O187" s="26" t="s">
        <v>145</v>
      </c>
      <c r="P187" s="23">
        <v>10</v>
      </c>
      <c r="Q187" s="26">
        <v>2</v>
      </c>
      <c r="R187" s="26">
        <v>50</v>
      </c>
      <c r="S187" s="34">
        <v>75</v>
      </c>
      <c r="T187" s="26"/>
      <c r="U187" s="35"/>
      <c r="V187" s="26"/>
      <c r="W187" s="26"/>
      <c r="X187" s="26"/>
      <c r="Y187" s="26"/>
      <c r="Z187" s="26"/>
      <c r="AA187" s="34"/>
      <c r="AB187" s="23"/>
      <c r="AC187" s="23"/>
      <c r="AD187" s="25">
        <v>1</v>
      </c>
    </row>
    <row r="188" spans="2:30" x14ac:dyDescent="0.25">
      <c r="D188" s="231"/>
      <c r="E188" s="22">
        <v>2</v>
      </c>
      <c r="F188" s="23" t="s">
        <v>119</v>
      </c>
      <c r="G188" s="23" t="s">
        <v>136</v>
      </c>
      <c r="H188" s="23" t="s">
        <v>133</v>
      </c>
      <c r="I188" s="24" t="s">
        <v>785</v>
      </c>
      <c r="J188" s="26" t="s">
        <v>146</v>
      </c>
      <c r="K188" s="26">
        <v>2</v>
      </c>
      <c r="L188" s="26" t="s">
        <v>139</v>
      </c>
      <c r="M188" s="26" t="s">
        <v>828</v>
      </c>
      <c r="N188" s="26" t="s">
        <v>143</v>
      </c>
      <c r="O188" s="26" t="s">
        <v>853</v>
      </c>
      <c r="P188" s="23">
        <v>20</v>
      </c>
      <c r="Q188" s="26">
        <v>4</v>
      </c>
      <c r="R188" s="26">
        <v>48</v>
      </c>
      <c r="S188" s="34">
        <v>72</v>
      </c>
      <c r="T188" s="26"/>
      <c r="U188" s="35"/>
      <c r="V188" s="26"/>
      <c r="W188" s="26"/>
      <c r="X188" s="26"/>
      <c r="Y188" s="26"/>
      <c r="Z188" s="26"/>
      <c r="AA188" s="34"/>
      <c r="AB188" s="23"/>
      <c r="AC188" s="23"/>
      <c r="AD188" s="25">
        <v>2</v>
      </c>
    </row>
    <row r="189" spans="2:30" x14ac:dyDescent="0.25">
      <c r="D189" s="231"/>
      <c r="E189" s="22">
        <v>3</v>
      </c>
      <c r="F189" s="23" t="s">
        <v>119</v>
      </c>
      <c r="G189" s="23" t="s">
        <v>131</v>
      </c>
      <c r="H189" s="23" t="s">
        <v>134</v>
      </c>
      <c r="I189" s="24" t="s">
        <v>786</v>
      </c>
      <c r="J189" s="26" t="s">
        <v>147</v>
      </c>
      <c r="K189" s="26">
        <v>3</v>
      </c>
      <c r="L189" s="26" t="s">
        <v>140</v>
      </c>
      <c r="M189" s="26" t="s">
        <v>829</v>
      </c>
      <c r="N189" s="26" t="s">
        <v>144</v>
      </c>
      <c r="O189" s="26" t="s">
        <v>854</v>
      </c>
      <c r="P189" s="23">
        <v>30</v>
      </c>
      <c r="Q189" s="26">
        <v>6</v>
      </c>
      <c r="R189" s="26">
        <v>46</v>
      </c>
      <c r="S189" s="34"/>
      <c r="T189" s="26">
        <v>100</v>
      </c>
      <c r="U189" s="35">
        <v>5</v>
      </c>
      <c r="V189" s="26">
        <v>1</v>
      </c>
      <c r="W189" s="26">
        <v>240</v>
      </c>
      <c r="X189" s="26"/>
      <c r="Y189" s="26"/>
      <c r="Z189" s="26"/>
      <c r="AA189" s="34"/>
      <c r="AB189" s="23"/>
      <c r="AC189" s="23"/>
      <c r="AD189" s="25">
        <v>3</v>
      </c>
    </row>
    <row r="190" spans="2:30" x14ac:dyDescent="0.25">
      <c r="D190" s="231"/>
      <c r="E190" s="22">
        <v>4</v>
      </c>
      <c r="F190" s="23" t="s">
        <v>119</v>
      </c>
      <c r="G190" s="23" t="s">
        <v>759</v>
      </c>
      <c r="H190" s="23" t="s">
        <v>763</v>
      </c>
      <c r="I190" s="24" t="s">
        <v>787</v>
      </c>
      <c r="J190" s="26" t="s">
        <v>148</v>
      </c>
      <c r="K190" s="26">
        <v>4</v>
      </c>
      <c r="L190" s="26" t="s">
        <v>138</v>
      </c>
      <c r="M190" s="26" t="s">
        <v>830</v>
      </c>
      <c r="N190" s="26" t="s">
        <v>852</v>
      </c>
      <c r="O190" s="26" t="s">
        <v>855</v>
      </c>
      <c r="P190" s="23">
        <v>40</v>
      </c>
      <c r="Q190" s="26">
        <v>8</v>
      </c>
      <c r="R190" s="26">
        <v>44</v>
      </c>
      <c r="S190" s="34"/>
      <c r="T190" s="26">
        <v>200</v>
      </c>
      <c r="U190" s="35">
        <v>10</v>
      </c>
      <c r="V190" s="26">
        <v>2</v>
      </c>
      <c r="W190" s="26">
        <v>241</v>
      </c>
      <c r="X190" s="26">
        <v>10</v>
      </c>
      <c r="Y190" s="26">
        <v>40</v>
      </c>
      <c r="Z190" s="26">
        <v>1</v>
      </c>
      <c r="AA190" s="34" t="s">
        <v>138</v>
      </c>
      <c r="AB190" s="23"/>
      <c r="AC190" s="23"/>
      <c r="AD190" s="25">
        <v>4</v>
      </c>
    </row>
    <row r="191" spans="2:30" x14ac:dyDescent="0.25">
      <c r="D191" s="231"/>
      <c r="E191" s="22">
        <v>5</v>
      </c>
      <c r="F191" s="23" t="s">
        <v>119</v>
      </c>
      <c r="G191" s="23" t="s">
        <v>760</v>
      </c>
      <c r="H191" s="23" t="s">
        <v>764</v>
      </c>
      <c r="I191" s="24" t="s">
        <v>788</v>
      </c>
      <c r="J191" s="26" t="s">
        <v>157</v>
      </c>
      <c r="K191" s="26">
        <v>5</v>
      </c>
      <c r="L191" s="26" t="s">
        <v>139</v>
      </c>
      <c r="M191" s="26" t="s">
        <v>831</v>
      </c>
      <c r="N191" s="26" t="s">
        <v>142</v>
      </c>
      <c r="O191" s="26" t="s">
        <v>856</v>
      </c>
      <c r="P191" s="23">
        <v>50</v>
      </c>
      <c r="Q191" s="26">
        <v>10</v>
      </c>
      <c r="R191" s="26">
        <v>42</v>
      </c>
      <c r="S191" s="34"/>
      <c r="T191" s="26">
        <v>300</v>
      </c>
      <c r="U191" s="35">
        <v>15</v>
      </c>
      <c r="V191" s="26">
        <v>3</v>
      </c>
      <c r="W191" s="26">
        <v>242</v>
      </c>
      <c r="X191" s="26"/>
      <c r="Y191" s="26"/>
      <c r="Z191" s="26"/>
      <c r="AA191" s="34"/>
      <c r="AB191" s="23"/>
      <c r="AC191" s="23"/>
      <c r="AD191" s="25">
        <v>5</v>
      </c>
    </row>
    <row r="192" spans="2:30" x14ac:dyDescent="0.25">
      <c r="D192" s="231"/>
      <c r="E192" s="22">
        <v>6</v>
      </c>
      <c r="F192" s="23" t="s">
        <v>119</v>
      </c>
      <c r="G192" s="23" t="s">
        <v>132</v>
      </c>
      <c r="H192" s="23" t="s">
        <v>765</v>
      </c>
      <c r="I192" s="24" t="s">
        <v>789</v>
      </c>
      <c r="J192" s="26" t="s">
        <v>158</v>
      </c>
      <c r="K192" s="26">
        <v>6</v>
      </c>
      <c r="L192" s="26" t="s">
        <v>140</v>
      </c>
      <c r="M192" s="26" t="s">
        <v>832</v>
      </c>
      <c r="N192" s="26" t="s">
        <v>143</v>
      </c>
      <c r="O192" s="26" t="s">
        <v>857</v>
      </c>
      <c r="P192" s="23">
        <v>60</v>
      </c>
      <c r="Q192" s="26">
        <v>12</v>
      </c>
      <c r="R192" s="26">
        <v>40</v>
      </c>
      <c r="S192" s="34">
        <v>60</v>
      </c>
      <c r="T192" s="26"/>
      <c r="U192" s="35"/>
      <c r="V192" s="26"/>
      <c r="W192" s="26"/>
      <c r="X192" s="26"/>
      <c r="Y192" s="26"/>
      <c r="Z192" s="26"/>
      <c r="AA192" s="34"/>
      <c r="AB192" s="23"/>
      <c r="AC192" s="23"/>
      <c r="AD192" s="25">
        <v>6</v>
      </c>
    </row>
    <row r="193" spans="4:30" x14ac:dyDescent="0.25">
      <c r="D193" s="231"/>
      <c r="E193" s="22">
        <v>7</v>
      </c>
      <c r="F193" s="23" t="s">
        <v>119</v>
      </c>
      <c r="G193" s="23" t="s">
        <v>761</v>
      </c>
      <c r="H193" s="23" t="s">
        <v>766</v>
      </c>
      <c r="I193" s="24" t="s">
        <v>790</v>
      </c>
      <c r="J193" s="26" t="s">
        <v>809</v>
      </c>
      <c r="K193" s="26">
        <v>7</v>
      </c>
      <c r="L193" s="26" t="s">
        <v>138</v>
      </c>
      <c r="M193" s="26" t="s">
        <v>833</v>
      </c>
      <c r="N193" s="26" t="s">
        <v>144</v>
      </c>
      <c r="O193" s="26" t="s">
        <v>858</v>
      </c>
      <c r="P193" s="23">
        <v>70</v>
      </c>
      <c r="Q193" s="26">
        <v>14</v>
      </c>
      <c r="R193" s="26"/>
      <c r="S193" s="34"/>
      <c r="T193" s="26"/>
      <c r="U193" s="35"/>
      <c r="V193" s="26"/>
      <c r="W193" s="26"/>
      <c r="X193" s="26"/>
      <c r="Y193" s="26"/>
      <c r="Z193" s="26"/>
      <c r="AA193" s="34"/>
      <c r="AB193" s="23"/>
      <c r="AC193" s="23"/>
      <c r="AD193" s="25">
        <v>7</v>
      </c>
    </row>
    <row r="194" spans="4:30" x14ac:dyDescent="0.25">
      <c r="D194" s="231"/>
      <c r="E194" s="22">
        <v>8</v>
      </c>
      <c r="F194" s="23" t="s">
        <v>119</v>
      </c>
      <c r="G194" s="23" t="s">
        <v>762</v>
      </c>
      <c r="H194" s="23" t="s">
        <v>767</v>
      </c>
      <c r="I194" s="24" t="s">
        <v>791</v>
      </c>
      <c r="J194" s="26" t="s">
        <v>810</v>
      </c>
      <c r="K194" s="26">
        <v>8</v>
      </c>
      <c r="L194" s="26" t="s">
        <v>139</v>
      </c>
      <c r="M194" s="26" t="s">
        <v>834</v>
      </c>
      <c r="N194" s="26" t="s">
        <v>852</v>
      </c>
      <c r="O194" s="26" t="s">
        <v>859</v>
      </c>
      <c r="P194" s="23">
        <v>80</v>
      </c>
      <c r="Q194" s="26">
        <v>16</v>
      </c>
      <c r="R194" s="26"/>
      <c r="S194" s="34"/>
      <c r="T194" s="26"/>
      <c r="U194" s="35"/>
      <c r="V194" s="26"/>
      <c r="W194" s="26"/>
      <c r="X194" s="26"/>
      <c r="Y194" s="26"/>
      <c r="Z194" s="26"/>
      <c r="AA194" s="34"/>
      <c r="AB194" s="23"/>
      <c r="AC194" s="23"/>
      <c r="AD194" s="25">
        <v>8</v>
      </c>
    </row>
    <row r="195" spans="4:30" x14ac:dyDescent="0.25">
      <c r="D195" s="231"/>
      <c r="E195" s="22">
        <v>9</v>
      </c>
      <c r="F195" s="23" t="s">
        <v>119</v>
      </c>
      <c r="G195" s="23" t="s">
        <v>129</v>
      </c>
      <c r="H195" s="23" t="s">
        <v>768</v>
      </c>
      <c r="I195" s="24" t="s">
        <v>792</v>
      </c>
      <c r="J195" s="26" t="s">
        <v>811</v>
      </c>
      <c r="K195" s="26">
        <v>9</v>
      </c>
      <c r="L195" s="26" t="s">
        <v>140</v>
      </c>
      <c r="M195" s="26" t="s">
        <v>835</v>
      </c>
      <c r="N195" s="26" t="s">
        <v>142</v>
      </c>
      <c r="O195" s="26" t="s">
        <v>860</v>
      </c>
      <c r="P195" s="23">
        <v>90</v>
      </c>
      <c r="Q195" s="26">
        <v>18</v>
      </c>
      <c r="R195" s="26">
        <v>34</v>
      </c>
      <c r="S195" s="34">
        <v>51</v>
      </c>
      <c r="T195" s="26"/>
      <c r="U195" s="35"/>
      <c r="V195" s="26"/>
      <c r="W195" s="26"/>
      <c r="X195" s="26"/>
      <c r="Y195" s="26"/>
      <c r="Z195" s="26"/>
      <c r="AA195" s="34"/>
      <c r="AB195" s="23"/>
      <c r="AC195" s="23"/>
      <c r="AD195" s="25">
        <v>9</v>
      </c>
    </row>
    <row r="196" spans="4:30" x14ac:dyDescent="0.25">
      <c r="D196" s="231"/>
      <c r="E196" s="22">
        <v>10</v>
      </c>
      <c r="F196" s="23" t="s">
        <v>119</v>
      </c>
      <c r="G196" s="23" t="s">
        <v>136</v>
      </c>
      <c r="H196" s="23" t="s">
        <v>769</v>
      </c>
      <c r="I196" s="24" t="s">
        <v>793</v>
      </c>
      <c r="J196" s="26" t="s">
        <v>812</v>
      </c>
      <c r="K196" s="26">
        <v>10</v>
      </c>
      <c r="L196" s="26" t="s">
        <v>138</v>
      </c>
      <c r="M196" s="26" t="s">
        <v>836</v>
      </c>
      <c r="N196" s="26" t="s">
        <v>143</v>
      </c>
      <c r="O196" s="26" t="s">
        <v>861</v>
      </c>
      <c r="P196" s="23">
        <v>100</v>
      </c>
      <c r="Q196" s="26">
        <v>20</v>
      </c>
      <c r="R196" s="26">
        <v>32</v>
      </c>
      <c r="S196" s="34">
        <v>48</v>
      </c>
      <c r="T196" s="26"/>
      <c r="U196" s="35"/>
      <c r="V196" s="26"/>
      <c r="W196" s="26"/>
      <c r="X196" s="26"/>
      <c r="Y196" s="26"/>
      <c r="Z196" s="26"/>
      <c r="AA196" s="34"/>
      <c r="AB196" s="23"/>
      <c r="AC196" s="23"/>
      <c r="AD196" s="25">
        <v>10</v>
      </c>
    </row>
    <row r="197" spans="4:30" x14ac:dyDescent="0.25">
      <c r="D197" s="231"/>
      <c r="E197" s="22">
        <v>11</v>
      </c>
      <c r="F197" s="23" t="s">
        <v>119</v>
      </c>
      <c r="G197" s="23" t="s">
        <v>131</v>
      </c>
      <c r="H197" s="23" t="s">
        <v>770</v>
      </c>
      <c r="I197" s="24" t="s">
        <v>794</v>
      </c>
      <c r="J197" s="26" t="s">
        <v>813</v>
      </c>
      <c r="K197" s="26">
        <v>11</v>
      </c>
      <c r="L197" s="26" t="s">
        <v>139</v>
      </c>
      <c r="M197" s="26" t="s">
        <v>837</v>
      </c>
      <c r="N197" s="26" t="s">
        <v>144</v>
      </c>
      <c r="O197" s="26" t="s">
        <v>862</v>
      </c>
      <c r="P197" s="23">
        <v>110</v>
      </c>
      <c r="Q197" s="26">
        <v>22</v>
      </c>
      <c r="R197" s="26">
        <v>30</v>
      </c>
      <c r="S197" s="34"/>
      <c r="T197" s="26">
        <v>900</v>
      </c>
      <c r="U197" s="35">
        <v>45</v>
      </c>
      <c r="V197" s="26">
        <v>4</v>
      </c>
      <c r="W197" s="26">
        <v>248</v>
      </c>
      <c r="X197" s="26"/>
      <c r="Y197" s="26"/>
      <c r="Z197" s="26"/>
      <c r="AA197" s="34"/>
      <c r="AB197" s="23"/>
      <c r="AC197" s="23"/>
      <c r="AD197" s="25">
        <v>11</v>
      </c>
    </row>
    <row r="198" spans="4:30" x14ac:dyDescent="0.25">
      <c r="D198" s="231"/>
      <c r="E198" s="22">
        <v>12</v>
      </c>
      <c r="F198" s="23" t="s">
        <v>119</v>
      </c>
      <c r="G198" s="23" t="s">
        <v>759</v>
      </c>
      <c r="H198" s="23" t="s">
        <v>771</v>
      </c>
      <c r="I198" s="24" t="s">
        <v>795</v>
      </c>
      <c r="J198" s="26" t="s">
        <v>814</v>
      </c>
      <c r="K198" s="26">
        <v>12</v>
      </c>
      <c r="L198" s="26" t="s">
        <v>140</v>
      </c>
      <c r="M198" s="26" t="s">
        <v>838</v>
      </c>
      <c r="N198" s="26" t="s">
        <v>852</v>
      </c>
      <c r="O198" s="26" t="s">
        <v>863</v>
      </c>
      <c r="P198" s="23">
        <v>120</v>
      </c>
      <c r="Q198" s="26">
        <v>24</v>
      </c>
      <c r="R198" s="26">
        <v>28</v>
      </c>
      <c r="S198" s="34"/>
      <c r="T198" s="26">
        <v>1000</v>
      </c>
      <c r="U198" s="35">
        <v>50</v>
      </c>
      <c r="V198" s="26">
        <v>5</v>
      </c>
      <c r="W198" s="26">
        <v>249</v>
      </c>
      <c r="X198" s="26">
        <v>20</v>
      </c>
      <c r="Y198" s="26">
        <v>50</v>
      </c>
      <c r="Z198" s="26">
        <v>2</v>
      </c>
      <c r="AA198" s="34" t="s">
        <v>139</v>
      </c>
      <c r="AB198" s="23"/>
      <c r="AC198" s="23"/>
      <c r="AD198" s="25">
        <v>12</v>
      </c>
    </row>
    <row r="199" spans="4:30" x14ac:dyDescent="0.25">
      <c r="D199" s="231"/>
      <c r="E199" s="22">
        <v>13</v>
      </c>
      <c r="F199" s="23" t="s">
        <v>119</v>
      </c>
      <c r="G199" s="23" t="s">
        <v>760</v>
      </c>
      <c r="H199" s="23" t="s">
        <v>772</v>
      </c>
      <c r="I199" s="24" t="s">
        <v>796</v>
      </c>
      <c r="J199" s="26" t="s">
        <v>815</v>
      </c>
      <c r="K199" s="26">
        <v>13</v>
      </c>
      <c r="L199" s="26" t="s">
        <v>138</v>
      </c>
      <c r="M199" s="26" t="s">
        <v>839</v>
      </c>
      <c r="N199" s="26" t="s">
        <v>142</v>
      </c>
      <c r="O199" s="26" t="s">
        <v>864</v>
      </c>
      <c r="P199" s="23">
        <v>130</v>
      </c>
      <c r="Q199" s="26">
        <v>26</v>
      </c>
      <c r="R199" s="26">
        <v>26</v>
      </c>
      <c r="S199" s="34"/>
      <c r="T199" s="26">
        <v>1100</v>
      </c>
      <c r="U199" s="35">
        <v>55</v>
      </c>
      <c r="V199" s="26">
        <v>6</v>
      </c>
      <c r="W199" s="26">
        <v>250</v>
      </c>
      <c r="X199" s="26"/>
      <c r="Y199" s="26"/>
      <c r="Z199" s="26"/>
      <c r="AA199" s="34"/>
      <c r="AB199" s="23"/>
      <c r="AC199" s="23"/>
      <c r="AD199" s="25">
        <v>13</v>
      </c>
    </row>
    <row r="200" spans="4:30" x14ac:dyDescent="0.25">
      <c r="D200" s="231"/>
      <c r="E200" s="22">
        <v>14</v>
      </c>
      <c r="F200" s="23" t="s">
        <v>119</v>
      </c>
      <c r="G200" s="23" t="s">
        <v>132</v>
      </c>
      <c r="H200" s="23" t="s">
        <v>773</v>
      </c>
      <c r="I200" s="24" t="s">
        <v>797</v>
      </c>
      <c r="J200" s="26" t="s">
        <v>816</v>
      </c>
      <c r="K200" s="26">
        <v>14</v>
      </c>
      <c r="L200" s="26" t="s">
        <v>139</v>
      </c>
      <c r="M200" s="26" t="s">
        <v>840</v>
      </c>
      <c r="N200" s="26" t="s">
        <v>143</v>
      </c>
      <c r="O200" s="26" t="s">
        <v>865</v>
      </c>
      <c r="P200" s="23">
        <v>140</v>
      </c>
      <c r="Q200" s="26">
        <v>28</v>
      </c>
      <c r="R200" s="26">
        <v>24</v>
      </c>
      <c r="S200" s="34">
        <v>36</v>
      </c>
      <c r="T200" s="26"/>
      <c r="U200" s="35"/>
      <c r="V200" s="26"/>
      <c r="W200" s="26"/>
      <c r="X200" s="26"/>
      <c r="Y200" s="26"/>
      <c r="Z200" s="26"/>
      <c r="AA200" s="34"/>
      <c r="AB200" s="23"/>
      <c r="AC200" s="23"/>
      <c r="AD200" s="25">
        <v>14</v>
      </c>
    </row>
    <row r="201" spans="4:30" x14ac:dyDescent="0.25">
      <c r="D201" s="231"/>
      <c r="E201" s="22">
        <v>15</v>
      </c>
      <c r="F201" s="23" t="s">
        <v>119</v>
      </c>
      <c r="G201" s="23" t="s">
        <v>761</v>
      </c>
      <c r="H201" s="23" t="s">
        <v>774</v>
      </c>
      <c r="I201" s="24" t="s">
        <v>798</v>
      </c>
      <c r="J201" s="26" t="s">
        <v>817</v>
      </c>
      <c r="K201" s="26">
        <v>15</v>
      </c>
      <c r="L201" s="26" t="s">
        <v>140</v>
      </c>
      <c r="M201" s="26" t="s">
        <v>841</v>
      </c>
      <c r="N201" s="26" t="s">
        <v>144</v>
      </c>
      <c r="O201" s="26" t="s">
        <v>866</v>
      </c>
      <c r="P201" s="23">
        <v>150</v>
      </c>
      <c r="Q201" s="26">
        <v>30</v>
      </c>
      <c r="R201" s="26"/>
      <c r="S201" s="34"/>
      <c r="T201" s="26"/>
      <c r="U201" s="35"/>
      <c r="V201" s="26"/>
      <c r="W201" s="26"/>
      <c r="X201" s="26"/>
      <c r="Y201" s="26"/>
      <c r="Z201" s="26"/>
      <c r="AA201" s="34"/>
      <c r="AB201" s="23"/>
      <c r="AC201" s="23"/>
      <c r="AD201" s="25">
        <v>15</v>
      </c>
    </row>
    <row r="202" spans="4:30" x14ac:dyDescent="0.25">
      <c r="D202" s="231"/>
      <c r="E202" s="22">
        <v>16</v>
      </c>
      <c r="F202" s="23" t="s">
        <v>119</v>
      </c>
      <c r="G202" s="23" t="s">
        <v>762</v>
      </c>
      <c r="H202" s="23" t="s">
        <v>775</v>
      </c>
      <c r="I202" s="24" t="s">
        <v>799</v>
      </c>
      <c r="J202" s="26" t="s">
        <v>818</v>
      </c>
      <c r="K202" s="26">
        <v>16</v>
      </c>
      <c r="L202" s="26" t="s">
        <v>138</v>
      </c>
      <c r="M202" s="26" t="s">
        <v>842</v>
      </c>
      <c r="N202" s="26" t="s">
        <v>852</v>
      </c>
      <c r="O202" s="26" t="s">
        <v>867</v>
      </c>
      <c r="P202" s="23">
        <v>160</v>
      </c>
      <c r="Q202" s="26">
        <v>32</v>
      </c>
      <c r="R202" s="26"/>
      <c r="S202" s="34"/>
      <c r="T202" s="26"/>
      <c r="U202" s="35"/>
      <c r="V202" s="26"/>
      <c r="W202" s="26"/>
      <c r="X202" s="26"/>
      <c r="Y202" s="26"/>
      <c r="Z202" s="26"/>
      <c r="AA202" s="34"/>
      <c r="AB202" s="23"/>
      <c r="AC202" s="23"/>
      <c r="AD202" s="25">
        <v>16</v>
      </c>
    </row>
    <row r="203" spans="4:30" x14ac:dyDescent="0.25">
      <c r="D203" s="231"/>
      <c r="E203" s="22">
        <v>17</v>
      </c>
      <c r="F203" s="23" t="s">
        <v>119</v>
      </c>
      <c r="G203" s="23" t="s">
        <v>129</v>
      </c>
      <c r="H203" s="23" t="s">
        <v>776</v>
      </c>
      <c r="I203" s="24" t="s">
        <v>800</v>
      </c>
      <c r="J203" s="26" t="s">
        <v>819</v>
      </c>
      <c r="K203" s="26">
        <v>17</v>
      </c>
      <c r="L203" s="26" t="s">
        <v>139</v>
      </c>
      <c r="M203" s="26" t="s">
        <v>843</v>
      </c>
      <c r="N203" s="26" t="s">
        <v>142</v>
      </c>
      <c r="O203" s="26" t="s">
        <v>868</v>
      </c>
      <c r="P203" s="23">
        <v>170</v>
      </c>
      <c r="Q203" s="26">
        <v>34</v>
      </c>
      <c r="R203" s="26">
        <v>18</v>
      </c>
      <c r="S203" s="34">
        <v>27</v>
      </c>
      <c r="T203" s="26"/>
      <c r="U203" s="35"/>
      <c r="V203" s="26"/>
      <c r="W203" s="26"/>
      <c r="X203" s="26"/>
      <c r="Y203" s="26"/>
      <c r="Z203" s="26"/>
      <c r="AA203" s="34"/>
      <c r="AB203" s="23"/>
      <c r="AC203" s="23"/>
      <c r="AD203" s="25">
        <v>17</v>
      </c>
    </row>
    <row r="204" spans="4:30" x14ac:dyDescent="0.25">
      <c r="D204" s="231"/>
      <c r="E204" s="22">
        <v>18</v>
      </c>
      <c r="F204" s="23" t="s">
        <v>119</v>
      </c>
      <c r="G204" s="23" t="s">
        <v>136</v>
      </c>
      <c r="H204" s="23" t="s">
        <v>777</v>
      </c>
      <c r="I204" s="24" t="s">
        <v>801</v>
      </c>
      <c r="J204" s="26" t="s">
        <v>820</v>
      </c>
      <c r="K204" s="26">
        <v>18</v>
      </c>
      <c r="L204" s="26" t="s">
        <v>140</v>
      </c>
      <c r="M204" s="26" t="s">
        <v>844</v>
      </c>
      <c r="N204" s="26" t="s">
        <v>143</v>
      </c>
      <c r="O204" s="26" t="s">
        <v>869</v>
      </c>
      <c r="P204" s="23">
        <v>180</v>
      </c>
      <c r="Q204" s="26">
        <v>36</v>
      </c>
      <c r="R204" s="26">
        <v>16</v>
      </c>
      <c r="S204" s="34">
        <v>24</v>
      </c>
      <c r="T204" s="26"/>
      <c r="U204" s="35"/>
      <c r="V204" s="26"/>
      <c r="W204" s="26"/>
      <c r="X204" s="26"/>
      <c r="Y204" s="26"/>
      <c r="Z204" s="26"/>
      <c r="AA204" s="34"/>
      <c r="AB204" s="23"/>
      <c r="AC204" s="23"/>
      <c r="AD204" s="25">
        <v>18</v>
      </c>
    </row>
    <row r="205" spans="4:30" x14ac:dyDescent="0.25">
      <c r="D205" s="231"/>
      <c r="E205" s="22">
        <v>19</v>
      </c>
      <c r="F205" s="23" t="s">
        <v>119</v>
      </c>
      <c r="G205" s="23" t="s">
        <v>131</v>
      </c>
      <c r="H205" s="23" t="s">
        <v>778</v>
      </c>
      <c r="I205" s="24" t="s">
        <v>802</v>
      </c>
      <c r="J205" s="26" t="s">
        <v>821</v>
      </c>
      <c r="K205" s="26">
        <v>19</v>
      </c>
      <c r="L205" s="26" t="s">
        <v>138</v>
      </c>
      <c r="M205" s="26" t="s">
        <v>845</v>
      </c>
      <c r="N205" s="26" t="s">
        <v>144</v>
      </c>
      <c r="O205" s="26" t="s">
        <v>870</v>
      </c>
      <c r="P205" s="23">
        <v>190</v>
      </c>
      <c r="Q205" s="26">
        <v>38</v>
      </c>
      <c r="R205" s="26">
        <v>14</v>
      </c>
      <c r="S205" s="34"/>
      <c r="T205" s="26">
        <v>1700</v>
      </c>
      <c r="U205" s="35">
        <v>85</v>
      </c>
      <c r="V205" s="26">
        <v>7</v>
      </c>
      <c r="W205" s="26">
        <v>256</v>
      </c>
      <c r="X205" s="26"/>
      <c r="Y205" s="26"/>
      <c r="Z205" s="26"/>
      <c r="AA205" s="34"/>
      <c r="AB205" s="23"/>
      <c r="AC205" s="23"/>
      <c r="AD205" s="25">
        <v>19</v>
      </c>
    </row>
    <row r="206" spans="4:30" x14ac:dyDescent="0.25">
      <c r="D206" s="231"/>
      <c r="E206" s="22">
        <v>20</v>
      </c>
      <c r="F206" s="23" t="s">
        <v>119</v>
      </c>
      <c r="G206" s="23" t="s">
        <v>759</v>
      </c>
      <c r="H206" s="23" t="s">
        <v>779</v>
      </c>
      <c r="I206" s="24" t="s">
        <v>803</v>
      </c>
      <c r="J206" s="26" t="s">
        <v>822</v>
      </c>
      <c r="K206" s="26">
        <v>20</v>
      </c>
      <c r="L206" s="26" t="s">
        <v>139</v>
      </c>
      <c r="M206" s="26" t="s">
        <v>846</v>
      </c>
      <c r="N206" s="26" t="s">
        <v>852</v>
      </c>
      <c r="O206" s="26" t="s">
        <v>871</v>
      </c>
      <c r="P206" s="23">
        <v>200</v>
      </c>
      <c r="Q206" s="26">
        <v>40</v>
      </c>
      <c r="R206" s="26">
        <v>12</v>
      </c>
      <c r="S206" s="34"/>
      <c r="T206" s="26">
        <v>1800</v>
      </c>
      <c r="U206" s="35">
        <v>90</v>
      </c>
      <c r="V206" s="26">
        <v>8</v>
      </c>
      <c r="W206" s="26">
        <v>257</v>
      </c>
      <c r="X206" s="26">
        <v>30</v>
      </c>
      <c r="Y206" s="26">
        <v>60</v>
      </c>
      <c r="Z206" s="26">
        <v>3</v>
      </c>
      <c r="AA206" s="34" t="s">
        <v>138</v>
      </c>
      <c r="AB206" s="23"/>
      <c r="AC206" s="23"/>
      <c r="AD206" s="25">
        <v>20</v>
      </c>
    </row>
    <row r="207" spans="4:30" x14ac:dyDescent="0.25">
      <c r="D207" s="231"/>
      <c r="E207" s="22">
        <v>21</v>
      </c>
      <c r="F207" s="23" t="s">
        <v>119</v>
      </c>
      <c r="G207" s="23" t="s">
        <v>760</v>
      </c>
      <c r="H207" s="23" t="s">
        <v>780</v>
      </c>
      <c r="I207" s="24" t="s">
        <v>804</v>
      </c>
      <c r="J207" s="26" t="s">
        <v>823</v>
      </c>
      <c r="K207" s="26">
        <v>21</v>
      </c>
      <c r="L207" s="26" t="s">
        <v>140</v>
      </c>
      <c r="M207" s="26" t="s">
        <v>847</v>
      </c>
      <c r="N207" s="26" t="s">
        <v>142</v>
      </c>
      <c r="O207" s="26" t="s">
        <v>872</v>
      </c>
      <c r="P207" s="23">
        <v>210</v>
      </c>
      <c r="Q207" s="26">
        <v>42</v>
      </c>
      <c r="R207" s="26">
        <v>10</v>
      </c>
      <c r="S207" s="34"/>
      <c r="T207" s="26">
        <v>1900</v>
      </c>
      <c r="U207" s="35">
        <v>95</v>
      </c>
      <c r="V207" s="26">
        <v>9</v>
      </c>
      <c r="W207" s="26">
        <v>258</v>
      </c>
      <c r="X207" s="26"/>
      <c r="Y207" s="26"/>
      <c r="Z207" s="26"/>
      <c r="AA207" s="34"/>
      <c r="AB207" s="23"/>
      <c r="AC207" s="23"/>
      <c r="AD207" s="25">
        <v>21</v>
      </c>
    </row>
    <row r="208" spans="4:30" x14ac:dyDescent="0.25">
      <c r="D208" s="231"/>
      <c r="E208" s="22">
        <v>22</v>
      </c>
      <c r="F208" s="23" t="s">
        <v>119</v>
      </c>
      <c r="G208" s="23" t="s">
        <v>132</v>
      </c>
      <c r="H208" s="23" t="s">
        <v>781</v>
      </c>
      <c r="I208" s="24" t="s">
        <v>805</v>
      </c>
      <c r="J208" s="26" t="s">
        <v>824</v>
      </c>
      <c r="K208" s="26">
        <v>22</v>
      </c>
      <c r="L208" s="26" t="s">
        <v>138</v>
      </c>
      <c r="M208" s="26" t="s">
        <v>848</v>
      </c>
      <c r="N208" s="26" t="s">
        <v>143</v>
      </c>
      <c r="O208" s="26" t="s">
        <v>873</v>
      </c>
      <c r="P208" s="23">
        <v>220</v>
      </c>
      <c r="Q208" s="26">
        <v>44</v>
      </c>
      <c r="R208" s="26">
        <v>8</v>
      </c>
      <c r="S208" s="34">
        <v>12</v>
      </c>
      <c r="T208" s="26"/>
      <c r="U208" s="35"/>
      <c r="V208" s="26"/>
      <c r="W208" s="26"/>
      <c r="X208" s="26"/>
      <c r="Y208" s="26"/>
      <c r="Z208" s="26"/>
      <c r="AA208" s="34"/>
      <c r="AB208" s="23"/>
      <c r="AC208" s="23"/>
      <c r="AD208" s="25">
        <v>22</v>
      </c>
    </row>
    <row r="209" spans="4:30" x14ac:dyDescent="0.25">
      <c r="D209" s="231"/>
      <c r="E209" s="22">
        <v>23</v>
      </c>
      <c r="F209" s="23" t="s">
        <v>119</v>
      </c>
      <c r="G209" s="23" t="s">
        <v>761</v>
      </c>
      <c r="H209" s="23" t="s">
        <v>782</v>
      </c>
      <c r="I209" s="24" t="s">
        <v>806</v>
      </c>
      <c r="J209" s="26" t="s">
        <v>825</v>
      </c>
      <c r="K209" s="26">
        <v>23</v>
      </c>
      <c r="L209" s="26" t="s">
        <v>139</v>
      </c>
      <c r="M209" s="26" t="s">
        <v>849</v>
      </c>
      <c r="N209" s="26" t="s">
        <v>144</v>
      </c>
      <c r="O209" s="26" t="s">
        <v>874</v>
      </c>
      <c r="P209" s="23">
        <v>230</v>
      </c>
      <c r="Q209" s="26">
        <v>46</v>
      </c>
      <c r="R209" s="26"/>
      <c r="S209" s="34"/>
      <c r="T209" s="26"/>
      <c r="U209" s="35"/>
      <c r="V209" s="26"/>
      <c r="W209" s="26"/>
      <c r="X209" s="26"/>
      <c r="Y209" s="26"/>
      <c r="Z209" s="26"/>
      <c r="AA209" s="34"/>
      <c r="AB209" s="23"/>
      <c r="AC209" s="23"/>
      <c r="AD209" s="25">
        <v>23</v>
      </c>
    </row>
    <row r="210" spans="4:30" x14ac:dyDescent="0.25">
      <c r="D210" s="231"/>
      <c r="E210" s="22">
        <v>24</v>
      </c>
      <c r="F210" s="23" t="s">
        <v>119</v>
      </c>
      <c r="G210" s="23" t="s">
        <v>762</v>
      </c>
      <c r="H210" s="23" t="s">
        <v>783</v>
      </c>
      <c r="I210" s="24" t="s">
        <v>807</v>
      </c>
      <c r="J210" s="26" t="s">
        <v>826</v>
      </c>
      <c r="K210" s="26">
        <v>24</v>
      </c>
      <c r="L210" s="26" t="s">
        <v>140</v>
      </c>
      <c r="M210" s="26" t="s">
        <v>850</v>
      </c>
      <c r="N210" s="26" t="s">
        <v>852</v>
      </c>
      <c r="O210" s="26" t="s">
        <v>875</v>
      </c>
      <c r="P210" s="23">
        <v>240</v>
      </c>
      <c r="Q210" s="26">
        <v>48</v>
      </c>
      <c r="R210" s="26"/>
      <c r="S210" s="34"/>
      <c r="T210" s="26"/>
      <c r="U210" s="35"/>
      <c r="V210" s="26"/>
      <c r="W210" s="26"/>
      <c r="X210" s="26"/>
      <c r="Y210" s="26"/>
      <c r="Z210" s="26"/>
      <c r="AA210" s="34"/>
      <c r="AB210" s="23"/>
      <c r="AC210" s="23"/>
      <c r="AD210" s="25">
        <v>24</v>
      </c>
    </row>
    <row r="211" spans="4:30" x14ac:dyDescent="0.25">
      <c r="D211" s="231"/>
      <c r="E211" s="22">
        <v>25</v>
      </c>
      <c r="F211" s="23" t="s">
        <v>119</v>
      </c>
      <c r="G211" s="23" t="s">
        <v>129</v>
      </c>
      <c r="H211" s="23" t="s">
        <v>784</v>
      </c>
      <c r="I211" s="24" t="s">
        <v>808</v>
      </c>
      <c r="J211" s="26" t="s">
        <v>827</v>
      </c>
      <c r="K211" s="26">
        <v>25</v>
      </c>
      <c r="L211" s="26" t="s">
        <v>138</v>
      </c>
      <c r="M211" s="26" t="s">
        <v>851</v>
      </c>
      <c r="N211" s="26" t="s">
        <v>142</v>
      </c>
      <c r="O211" s="26" t="s">
        <v>876</v>
      </c>
      <c r="P211" s="23">
        <v>250</v>
      </c>
      <c r="Q211" s="26">
        <v>50</v>
      </c>
      <c r="R211" s="26">
        <v>2</v>
      </c>
      <c r="S211" s="34">
        <v>3</v>
      </c>
      <c r="T211" s="26"/>
      <c r="U211" s="35"/>
      <c r="V211" s="26"/>
      <c r="W211" s="26"/>
      <c r="X211" s="26"/>
      <c r="Y211" s="26"/>
      <c r="Z211" s="26"/>
      <c r="AA211" s="34"/>
      <c r="AB211" s="23"/>
      <c r="AC211" s="23"/>
      <c r="AD211" s="25">
        <v>25</v>
      </c>
    </row>
    <row r="212" spans="4:30" x14ac:dyDescent="0.25">
      <c r="D212" s="231"/>
    </row>
    <row r="213" spans="4:30" x14ac:dyDescent="0.25">
      <c r="D213" s="231"/>
    </row>
    <row r="214" spans="4:30" ht="15.75" thickBot="1" x14ac:dyDescent="0.3">
      <c r="D214" s="231"/>
      <c r="E214" s="252" t="s">
        <v>116</v>
      </c>
      <c r="F214" s="233" t="s">
        <v>79</v>
      </c>
      <c r="G214" s="234"/>
      <c r="H214" s="234"/>
      <c r="I214" s="234"/>
      <c r="J214" s="234"/>
      <c r="K214" s="235"/>
      <c r="L214" s="28"/>
    </row>
    <row r="215" spans="4:30" ht="15.75" thickTop="1" x14ac:dyDescent="0.25">
      <c r="D215" s="231"/>
      <c r="E215" s="253"/>
      <c r="F215" s="236" t="s">
        <v>46</v>
      </c>
      <c r="G215" s="238" t="s">
        <v>80</v>
      </c>
      <c r="H215" s="240" t="s">
        <v>87</v>
      </c>
      <c r="I215" s="240" t="s">
        <v>88</v>
      </c>
      <c r="J215" s="242" t="s">
        <v>89</v>
      </c>
      <c r="K215" s="240" t="s">
        <v>84</v>
      </c>
      <c r="L215" s="28"/>
    </row>
    <row r="216" spans="4:30" x14ac:dyDescent="0.25">
      <c r="D216" s="231"/>
      <c r="E216" s="254"/>
      <c r="F216" s="237"/>
      <c r="G216" s="239"/>
      <c r="H216" s="241"/>
      <c r="I216" s="241"/>
      <c r="J216" s="243"/>
      <c r="K216" s="241"/>
      <c r="L216" s="28"/>
    </row>
    <row r="217" spans="4:30" x14ac:dyDescent="0.25">
      <c r="D217" s="231"/>
      <c r="E217" s="22"/>
      <c r="F217" s="23"/>
      <c r="G217" s="24"/>
      <c r="H217" s="25"/>
      <c r="I217" s="26"/>
      <c r="J217" s="25"/>
      <c r="K217" s="27"/>
      <c r="L217" s="28"/>
    </row>
    <row r="218" spans="4:30" x14ac:dyDescent="0.25">
      <c r="D218" s="231"/>
      <c r="E218" s="28"/>
      <c r="F218" s="29"/>
      <c r="G218" s="29"/>
      <c r="H218" s="29"/>
      <c r="I218" s="30"/>
      <c r="J218" s="29"/>
      <c r="K218" s="29"/>
      <c r="L218" s="28"/>
    </row>
    <row r="219" spans="4:30" x14ac:dyDescent="0.25">
      <c r="D219" s="231"/>
      <c r="E219" s="28"/>
      <c r="F219" s="29"/>
      <c r="G219" s="29"/>
      <c r="H219" s="29"/>
      <c r="I219" s="30"/>
      <c r="J219" s="29"/>
      <c r="K219" s="29"/>
      <c r="L219" s="28"/>
    </row>
    <row r="220" spans="4:30" ht="15.75" thickBot="1" x14ac:dyDescent="0.3">
      <c r="D220" s="231"/>
      <c r="E220" s="252" t="s">
        <v>117</v>
      </c>
      <c r="F220" s="233" t="s">
        <v>79</v>
      </c>
      <c r="G220" s="234"/>
      <c r="H220" s="234"/>
      <c r="I220" s="234"/>
      <c r="J220" s="234"/>
      <c r="K220" s="235"/>
      <c r="L220" s="28"/>
    </row>
    <row r="221" spans="4:30" ht="15" customHeight="1" thickTop="1" x14ac:dyDescent="0.25">
      <c r="D221" s="231"/>
      <c r="E221" s="253"/>
      <c r="F221" s="236" t="s">
        <v>85</v>
      </c>
      <c r="G221" s="240" t="s">
        <v>80</v>
      </c>
      <c r="H221" s="240" t="s">
        <v>87</v>
      </c>
      <c r="I221" s="240" t="s">
        <v>88</v>
      </c>
      <c r="J221" s="242" t="s">
        <v>89</v>
      </c>
      <c r="K221" s="240" t="s">
        <v>84</v>
      </c>
      <c r="L221" s="28"/>
    </row>
    <row r="222" spans="4:30" x14ac:dyDescent="0.25">
      <c r="D222" s="231"/>
      <c r="E222" s="254"/>
      <c r="F222" s="237"/>
      <c r="G222" s="241"/>
      <c r="H222" s="241"/>
      <c r="I222" s="241"/>
      <c r="J222" s="243"/>
      <c r="K222" s="241"/>
      <c r="L222" s="28"/>
    </row>
    <row r="223" spans="4:30" x14ac:dyDescent="0.25">
      <c r="D223" s="231"/>
      <c r="E223" s="31">
        <v>1</v>
      </c>
      <c r="F223" s="23" t="s">
        <v>130</v>
      </c>
      <c r="G223" s="25" t="s">
        <v>877</v>
      </c>
      <c r="H223" s="24"/>
      <c r="I223" s="25"/>
      <c r="J223" s="25"/>
      <c r="K223" s="25"/>
      <c r="L223" s="28"/>
    </row>
    <row r="224" spans="4:30" x14ac:dyDescent="0.25">
      <c r="D224" s="231"/>
      <c r="E224" s="220">
        <v>2</v>
      </c>
      <c r="F224" s="221" t="s">
        <v>133</v>
      </c>
      <c r="G224" s="222" t="s">
        <v>878</v>
      </c>
      <c r="H224" s="223"/>
      <c r="I224" s="222"/>
      <c r="J224" s="222"/>
      <c r="K224" s="222"/>
      <c r="L224" s="28"/>
    </row>
    <row r="225" spans="4:12" x14ac:dyDescent="0.25">
      <c r="D225" s="231"/>
      <c r="E225" s="220">
        <v>3</v>
      </c>
      <c r="F225" s="221" t="s">
        <v>133</v>
      </c>
      <c r="G225" s="222" t="s">
        <v>878</v>
      </c>
      <c r="H225" s="223"/>
      <c r="I225" s="222"/>
      <c r="J225" s="222"/>
      <c r="K225" s="222"/>
      <c r="L225" s="28"/>
    </row>
    <row r="226" spans="4:12" x14ac:dyDescent="0.25">
      <c r="D226" s="231"/>
      <c r="E226" s="31">
        <v>4</v>
      </c>
      <c r="F226" s="23" t="s">
        <v>134</v>
      </c>
      <c r="G226" s="25" t="s">
        <v>880</v>
      </c>
      <c r="H226" s="24"/>
      <c r="I226" s="25"/>
      <c r="J226" s="25"/>
      <c r="K226" s="25"/>
      <c r="L226" s="28"/>
    </row>
    <row r="227" spans="4:12" x14ac:dyDescent="0.25">
      <c r="D227" s="231"/>
      <c r="E227" s="31">
        <v>5</v>
      </c>
      <c r="F227" s="23" t="s">
        <v>134</v>
      </c>
      <c r="G227" s="25" t="s">
        <v>880</v>
      </c>
      <c r="H227" s="24"/>
      <c r="I227" s="25"/>
      <c r="J227" s="25"/>
      <c r="K227" s="25"/>
      <c r="L227" s="28"/>
    </row>
    <row r="228" spans="4:12" x14ac:dyDescent="0.25">
      <c r="D228" s="231"/>
      <c r="E228" s="31">
        <v>6</v>
      </c>
      <c r="F228" s="23" t="s">
        <v>134</v>
      </c>
      <c r="G228" s="25" t="s">
        <v>880</v>
      </c>
      <c r="H228" s="24"/>
      <c r="I228" s="25"/>
      <c r="J228" s="25"/>
      <c r="K228" s="25"/>
      <c r="L228" s="28"/>
    </row>
    <row r="229" spans="4:12" x14ac:dyDescent="0.25">
      <c r="D229" s="231"/>
      <c r="E229" s="220">
        <v>7</v>
      </c>
      <c r="F229" s="221" t="s">
        <v>763</v>
      </c>
      <c r="G229" s="222" t="s">
        <v>881</v>
      </c>
      <c r="H229" s="223"/>
      <c r="I229" s="222"/>
      <c r="J229" s="222"/>
      <c r="K229" s="222"/>
      <c r="L229" s="28"/>
    </row>
    <row r="230" spans="4:12" x14ac:dyDescent="0.25">
      <c r="D230" s="231"/>
      <c r="E230" s="220">
        <v>8</v>
      </c>
      <c r="F230" s="221" t="s">
        <v>763</v>
      </c>
      <c r="G230" s="222" t="s">
        <v>881</v>
      </c>
      <c r="H230" s="223"/>
      <c r="I230" s="222"/>
      <c r="J230" s="222"/>
      <c r="K230" s="222"/>
      <c r="L230" s="28"/>
    </row>
    <row r="231" spans="4:12" x14ac:dyDescent="0.25">
      <c r="D231" s="231"/>
      <c r="E231" s="220">
        <v>9</v>
      </c>
      <c r="F231" s="221" t="s">
        <v>763</v>
      </c>
      <c r="G231" s="222" t="s">
        <v>881</v>
      </c>
      <c r="H231" s="223"/>
      <c r="I231" s="222"/>
      <c r="J231" s="222"/>
      <c r="K231" s="222"/>
      <c r="L231" s="28"/>
    </row>
    <row r="232" spans="4:12" x14ac:dyDescent="0.25">
      <c r="D232" s="231"/>
      <c r="E232" s="220">
        <v>10</v>
      </c>
      <c r="F232" s="221" t="s">
        <v>763</v>
      </c>
      <c r="G232" s="222" t="s">
        <v>881</v>
      </c>
      <c r="H232" s="223"/>
      <c r="I232" s="222"/>
      <c r="J232" s="222"/>
      <c r="K232" s="222"/>
      <c r="L232" s="28"/>
    </row>
    <row r="233" spans="4:12" x14ac:dyDescent="0.25">
      <c r="D233" s="231"/>
      <c r="E233" s="31">
        <v>11</v>
      </c>
      <c r="F233" s="23" t="s">
        <v>764</v>
      </c>
      <c r="G233" s="25" t="s">
        <v>882</v>
      </c>
      <c r="H233" s="24"/>
      <c r="I233" s="25"/>
      <c r="J233" s="25"/>
      <c r="K233" s="25"/>
      <c r="L233" s="28"/>
    </row>
    <row r="234" spans="4:12" x14ac:dyDescent="0.25">
      <c r="D234" s="231"/>
      <c r="E234" s="31">
        <v>12</v>
      </c>
      <c r="F234" s="23" t="s">
        <v>764</v>
      </c>
      <c r="G234" s="25" t="s">
        <v>882</v>
      </c>
      <c r="H234" s="24"/>
      <c r="I234" s="25"/>
      <c r="J234" s="25"/>
      <c r="K234" s="25"/>
      <c r="L234" s="28"/>
    </row>
    <row r="235" spans="4:12" x14ac:dyDescent="0.25">
      <c r="D235" s="231"/>
      <c r="E235" s="31">
        <v>13</v>
      </c>
      <c r="F235" s="23" t="s">
        <v>764</v>
      </c>
      <c r="G235" s="25" t="s">
        <v>882</v>
      </c>
      <c r="H235" s="24"/>
      <c r="I235" s="25"/>
      <c r="J235" s="25"/>
      <c r="K235" s="25"/>
      <c r="L235" s="28"/>
    </row>
    <row r="236" spans="4:12" x14ac:dyDescent="0.25">
      <c r="D236" s="231"/>
      <c r="E236" s="31">
        <v>14</v>
      </c>
      <c r="F236" s="23" t="s">
        <v>764</v>
      </c>
      <c r="G236" s="25" t="s">
        <v>882</v>
      </c>
      <c r="H236" s="24"/>
      <c r="I236" s="25"/>
      <c r="J236" s="25"/>
      <c r="K236" s="25"/>
      <c r="L236" s="28"/>
    </row>
    <row r="237" spans="4:12" x14ac:dyDescent="0.25">
      <c r="D237" s="231"/>
      <c r="E237" s="31">
        <v>15</v>
      </c>
      <c r="F237" s="23" t="s">
        <v>764</v>
      </c>
      <c r="G237" s="25" t="s">
        <v>882</v>
      </c>
      <c r="H237" s="24"/>
      <c r="I237" s="25"/>
      <c r="J237" s="25"/>
      <c r="K237" s="25"/>
      <c r="L237" s="28"/>
    </row>
    <row r="238" spans="4:12" x14ac:dyDescent="0.25">
      <c r="D238" s="231"/>
      <c r="E238" s="220">
        <v>16</v>
      </c>
      <c r="F238" s="221" t="s">
        <v>765</v>
      </c>
      <c r="G238" s="222" t="s">
        <v>883</v>
      </c>
      <c r="H238" s="223"/>
      <c r="I238" s="222"/>
      <c r="J238" s="222"/>
      <c r="K238" s="222"/>
      <c r="L238" s="28"/>
    </row>
    <row r="239" spans="4:12" x14ac:dyDescent="0.25">
      <c r="D239" s="231"/>
      <c r="E239" s="220">
        <v>17</v>
      </c>
      <c r="F239" s="221" t="s">
        <v>765</v>
      </c>
      <c r="G239" s="222" t="s">
        <v>883</v>
      </c>
      <c r="H239" s="223"/>
      <c r="I239" s="222"/>
      <c r="J239" s="222"/>
      <c r="K239" s="222"/>
      <c r="L239" s="28"/>
    </row>
    <row r="240" spans="4:12" x14ac:dyDescent="0.25">
      <c r="D240" s="231"/>
      <c r="E240" s="220">
        <v>18</v>
      </c>
      <c r="F240" s="221" t="s">
        <v>765</v>
      </c>
      <c r="G240" s="222" t="s">
        <v>883</v>
      </c>
      <c r="H240" s="223"/>
      <c r="I240" s="222"/>
      <c r="J240" s="222"/>
      <c r="K240" s="222"/>
      <c r="L240" s="28"/>
    </row>
    <row r="241" spans="4:12" x14ac:dyDescent="0.25">
      <c r="D241" s="231"/>
      <c r="E241" s="220">
        <v>19</v>
      </c>
      <c r="F241" s="221" t="s">
        <v>765</v>
      </c>
      <c r="G241" s="222" t="s">
        <v>883</v>
      </c>
      <c r="H241" s="223"/>
      <c r="I241" s="222"/>
      <c r="J241" s="222"/>
      <c r="K241" s="222"/>
      <c r="L241" s="28"/>
    </row>
    <row r="242" spans="4:12" x14ac:dyDescent="0.25">
      <c r="D242" s="231"/>
      <c r="E242" s="220">
        <v>20</v>
      </c>
      <c r="F242" s="221" t="s">
        <v>765</v>
      </c>
      <c r="G242" s="222" t="s">
        <v>883</v>
      </c>
      <c r="H242" s="223"/>
      <c r="I242" s="222"/>
      <c r="J242" s="222"/>
      <c r="K242" s="222"/>
      <c r="L242" s="28"/>
    </row>
    <row r="243" spans="4:12" x14ac:dyDescent="0.25">
      <c r="D243" s="231"/>
      <c r="E243" s="220">
        <v>21</v>
      </c>
      <c r="F243" s="221" t="s">
        <v>765</v>
      </c>
      <c r="G243" s="222" t="s">
        <v>883</v>
      </c>
      <c r="H243" s="223"/>
      <c r="I243" s="222"/>
      <c r="J243" s="222"/>
      <c r="K243" s="222"/>
      <c r="L243" s="28"/>
    </row>
    <row r="244" spans="4:12" x14ac:dyDescent="0.25">
      <c r="D244" s="231"/>
      <c r="E244" s="31">
        <v>22</v>
      </c>
      <c r="F244" s="23" t="s">
        <v>766</v>
      </c>
      <c r="G244" s="25" t="s">
        <v>884</v>
      </c>
      <c r="H244" s="24"/>
      <c r="I244" s="25"/>
      <c r="J244" s="25"/>
      <c r="K244" s="25"/>
      <c r="L244" s="28"/>
    </row>
    <row r="245" spans="4:12" x14ac:dyDescent="0.25">
      <c r="D245" s="231"/>
      <c r="E245" s="31">
        <v>23</v>
      </c>
      <c r="F245" s="23" t="s">
        <v>766</v>
      </c>
      <c r="G245" s="25" t="s">
        <v>884</v>
      </c>
      <c r="H245" s="24"/>
      <c r="I245" s="25"/>
      <c r="J245" s="25"/>
      <c r="K245" s="25"/>
      <c r="L245" s="28"/>
    </row>
    <row r="246" spans="4:12" x14ac:dyDescent="0.25">
      <c r="D246" s="231"/>
      <c r="E246" s="31">
        <v>24</v>
      </c>
      <c r="F246" s="23" t="s">
        <v>766</v>
      </c>
      <c r="G246" s="25" t="s">
        <v>884</v>
      </c>
      <c r="H246" s="24"/>
      <c r="I246" s="25"/>
      <c r="J246" s="25"/>
      <c r="K246" s="25"/>
      <c r="L246" s="28"/>
    </row>
    <row r="247" spans="4:12" x14ac:dyDescent="0.25">
      <c r="D247" s="231"/>
      <c r="E247" s="31">
        <v>25</v>
      </c>
      <c r="F247" s="23" t="s">
        <v>766</v>
      </c>
      <c r="G247" s="25" t="s">
        <v>884</v>
      </c>
      <c r="H247" s="24"/>
      <c r="I247" s="25"/>
      <c r="J247" s="25"/>
      <c r="K247" s="25"/>
      <c r="L247" s="28"/>
    </row>
    <row r="248" spans="4:12" x14ac:dyDescent="0.25">
      <c r="D248" s="231"/>
      <c r="E248" s="31">
        <v>26</v>
      </c>
      <c r="F248" s="23" t="s">
        <v>766</v>
      </c>
      <c r="G248" s="25" t="s">
        <v>884</v>
      </c>
      <c r="H248" s="24"/>
      <c r="I248" s="25"/>
      <c r="J248" s="25"/>
      <c r="K248" s="25"/>
      <c r="L248" s="28"/>
    </row>
    <row r="249" spans="4:12" x14ac:dyDescent="0.25">
      <c r="D249" s="231"/>
      <c r="E249" s="31">
        <v>27</v>
      </c>
      <c r="F249" s="23" t="s">
        <v>766</v>
      </c>
      <c r="G249" s="25" t="s">
        <v>884</v>
      </c>
      <c r="H249" s="24"/>
      <c r="I249" s="25"/>
      <c r="J249" s="25"/>
      <c r="K249" s="25"/>
      <c r="L249" s="28"/>
    </row>
    <row r="250" spans="4:12" x14ac:dyDescent="0.25">
      <c r="D250" s="231"/>
      <c r="E250" s="31">
        <v>28</v>
      </c>
      <c r="F250" s="23" t="s">
        <v>766</v>
      </c>
      <c r="G250" s="25" t="s">
        <v>884</v>
      </c>
      <c r="H250" s="24"/>
      <c r="I250" s="25"/>
      <c r="J250" s="25"/>
      <c r="K250" s="25"/>
      <c r="L250" s="28"/>
    </row>
    <row r="251" spans="4:12" x14ac:dyDescent="0.25">
      <c r="D251" s="231"/>
      <c r="E251" s="220">
        <v>29</v>
      </c>
      <c r="F251" s="221" t="s">
        <v>767</v>
      </c>
      <c r="G251" s="222" t="s">
        <v>885</v>
      </c>
      <c r="H251" s="223"/>
      <c r="I251" s="222"/>
      <c r="J251" s="222"/>
      <c r="K251" s="222"/>
      <c r="L251" s="28"/>
    </row>
    <row r="252" spans="4:12" x14ac:dyDescent="0.25">
      <c r="D252" s="231"/>
      <c r="E252" s="220">
        <v>30</v>
      </c>
      <c r="F252" s="221" t="s">
        <v>767</v>
      </c>
      <c r="G252" s="222" t="s">
        <v>885</v>
      </c>
      <c r="H252" s="223"/>
      <c r="I252" s="222"/>
      <c r="J252" s="222"/>
      <c r="K252" s="222"/>
      <c r="L252" s="28"/>
    </row>
    <row r="253" spans="4:12" x14ac:dyDescent="0.25">
      <c r="D253" s="231"/>
      <c r="E253" s="220">
        <v>31</v>
      </c>
      <c r="F253" s="221" t="s">
        <v>767</v>
      </c>
      <c r="G253" s="222" t="s">
        <v>885</v>
      </c>
      <c r="H253" s="223"/>
      <c r="I253" s="222"/>
      <c r="J253" s="222"/>
      <c r="K253" s="222"/>
      <c r="L253" s="28"/>
    </row>
    <row r="254" spans="4:12" x14ac:dyDescent="0.25">
      <c r="D254" s="231"/>
      <c r="E254" s="220">
        <v>32</v>
      </c>
      <c r="F254" s="221" t="s">
        <v>767</v>
      </c>
      <c r="G254" s="222" t="s">
        <v>885</v>
      </c>
      <c r="H254" s="223"/>
      <c r="I254" s="222"/>
      <c r="J254" s="222"/>
      <c r="K254" s="222"/>
      <c r="L254" s="28"/>
    </row>
    <row r="255" spans="4:12" x14ac:dyDescent="0.25">
      <c r="D255" s="231"/>
      <c r="E255" s="220">
        <v>33</v>
      </c>
      <c r="F255" s="221" t="s">
        <v>767</v>
      </c>
      <c r="G255" s="222" t="s">
        <v>885</v>
      </c>
      <c r="H255" s="223"/>
      <c r="I255" s="222"/>
      <c r="J255" s="222"/>
      <c r="K255" s="222"/>
      <c r="L255" s="28"/>
    </row>
    <row r="256" spans="4:12" x14ac:dyDescent="0.25">
      <c r="D256" s="231"/>
      <c r="E256" s="220">
        <v>34</v>
      </c>
      <c r="F256" s="221" t="s">
        <v>767</v>
      </c>
      <c r="G256" s="222" t="s">
        <v>885</v>
      </c>
      <c r="H256" s="223"/>
      <c r="I256" s="222"/>
      <c r="J256" s="222"/>
      <c r="K256" s="222"/>
      <c r="L256" s="28"/>
    </row>
    <row r="257" spans="4:12" x14ac:dyDescent="0.25">
      <c r="D257" s="231"/>
      <c r="E257" s="220">
        <v>35</v>
      </c>
      <c r="F257" s="221" t="s">
        <v>767</v>
      </c>
      <c r="G257" s="222" t="s">
        <v>885</v>
      </c>
      <c r="H257" s="223"/>
      <c r="I257" s="222"/>
      <c r="J257" s="222"/>
      <c r="K257" s="222"/>
      <c r="L257" s="28"/>
    </row>
    <row r="258" spans="4:12" x14ac:dyDescent="0.25">
      <c r="D258" s="231"/>
      <c r="E258" s="220">
        <v>36</v>
      </c>
      <c r="F258" s="221" t="s">
        <v>767</v>
      </c>
      <c r="G258" s="222" t="s">
        <v>885</v>
      </c>
      <c r="H258" s="223"/>
      <c r="I258" s="222"/>
      <c r="J258" s="222"/>
      <c r="K258" s="222"/>
      <c r="L258" s="28"/>
    </row>
    <row r="259" spans="4:12" x14ac:dyDescent="0.25">
      <c r="D259" s="231"/>
      <c r="E259" s="31">
        <v>37</v>
      </c>
      <c r="F259" s="23" t="s">
        <v>768</v>
      </c>
      <c r="G259" s="25" t="s">
        <v>886</v>
      </c>
      <c r="H259" s="24"/>
      <c r="I259" s="25"/>
      <c r="J259" s="25"/>
      <c r="K259" s="25"/>
      <c r="L259" s="28"/>
    </row>
    <row r="260" spans="4:12" x14ac:dyDescent="0.25">
      <c r="D260" s="231"/>
      <c r="E260" s="31">
        <v>38</v>
      </c>
      <c r="F260" s="23" t="s">
        <v>768</v>
      </c>
      <c r="G260" s="25" t="s">
        <v>886</v>
      </c>
      <c r="H260" s="24"/>
      <c r="I260" s="25"/>
      <c r="J260" s="25"/>
      <c r="K260" s="25"/>
      <c r="L260" s="28"/>
    </row>
    <row r="261" spans="4:12" x14ac:dyDescent="0.25">
      <c r="D261" s="231"/>
      <c r="E261" s="31">
        <v>39</v>
      </c>
      <c r="F261" s="23" t="s">
        <v>768</v>
      </c>
      <c r="G261" s="25" t="s">
        <v>886</v>
      </c>
      <c r="H261" s="24"/>
      <c r="I261" s="25"/>
      <c r="J261" s="25"/>
      <c r="K261" s="25"/>
      <c r="L261" s="28"/>
    </row>
    <row r="262" spans="4:12" x14ac:dyDescent="0.25">
      <c r="D262" s="231"/>
      <c r="E262" s="31">
        <v>40</v>
      </c>
      <c r="F262" s="23" t="s">
        <v>768</v>
      </c>
      <c r="G262" s="25" t="s">
        <v>886</v>
      </c>
      <c r="H262" s="24"/>
      <c r="I262" s="25"/>
      <c r="J262" s="25"/>
      <c r="K262" s="25"/>
      <c r="L262" s="28"/>
    </row>
    <row r="263" spans="4:12" x14ac:dyDescent="0.25">
      <c r="D263" s="231"/>
      <c r="E263" s="31">
        <v>41</v>
      </c>
      <c r="F263" s="23" t="s">
        <v>768</v>
      </c>
      <c r="G263" s="25" t="s">
        <v>886</v>
      </c>
      <c r="H263" s="24"/>
      <c r="I263" s="25"/>
      <c r="J263" s="25"/>
      <c r="K263" s="25"/>
      <c r="L263" s="28"/>
    </row>
    <row r="264" spans="4:12" x14ac:dyDescent="0.25">
      <c r="D264" s="231"/>
      <c r="E264" s="31">
        <v>42</v>
      </c>
      <c r="F264" s="23" t="s">
        <v>768</v>
      </c>
      <c r="G264" s="25" t="s">
        <v>886</v>
      </c>
      <c r="H264" s="24"/>
      <c r="I264" s="25"/>
      <c r="J264" s="25"/>
      <c r="K264" s="25"/>
      <c r="L264" s="28"/>
    </row>
    <row r="265" spans="4:12" x14ac:dyDescent="0.25">
      <c r="D265" s="231"/>
      <c r="E265" s="31">
        <v>43</v>
      </c>
      <c r="F265" s="23" t="s">
        <v>768</v>
      </c>
      <c r="G265" s="25" t="s">
        <v>886</v>
      </c>
      <c r="H265" s="24"/>
      <c r="I265" s="25"/>
      <c r="J265" s="25"/>
      <c r="K265" s="25"/>
      <c r="L265" s="28"/>
    </row>
    <row r="266" spans="4:12" x14ac:dyDescent="0.25">
      <c r="D266" s="231"/>
      <c r="E266" s="31">
        <v>44</v>
      </c>
      <c r="F266" s="23" t="s">
        <v>768</v>
      </c>
      <c r="G266" s="25" t="s">
        <v>886</v>
      </c>
      <c r="H266" s="24"/>
      <c r="I266" s="25"/>
      <c r="J266" s="25"/>
      <c r="K266" s="25"/>
      <c r="L266" s="28"/>
    </row>
    <row r="267" spans="4:12" x14ac:dyDescent="0.25">
      <c r="D267" s="231"/>
      <c r="E267" s="31">
        <v>45</v>
      </c>
      <c r="F267" s="23" t="s">
        <v>768</v>
      </c>
      <c r="G267" s="25" t="s">
        <v>886</v>
      </c>
      <c r="H267" s="24"/>
      <c r="I267" s="25"/>
      <c r="J267" s="25"/>
      <c r="K267" s="25"/>
      <c r="L267" s="28"/>
    </row>
    <row r="268" spans="4:12" x14ac:dyDescent="0.25">
      <c r="D268" s="231"/>
      <c r="E268" s="220">
        <v>46</v>
      </c>
      <c r="F268" s="221" t="s">
        <v>769</v>
      </c>
      <c r="G268" s="222" t="s">
        <v>887</v>
      </c>
      <c r="H268" s="223"/>
      <c r="I268" s="222"/>
      <c r="J268" s="222"/>
      <c r="K268" s="222"/>
      <c r="L268" s="28"/>
    </row>
    <row r="269" spans="4:12" x14ac:dyDescent="0.25">
      <c r="D269" s="231"/>
      <c r="E269" s="220">
        <v>47</v>
      </c>
      <c r="F269" s="221" t="s">
        <v>769</v>
      </c>
      <c r="G269" s="222" t="s">
        <v>887</v>
      </c>
      <c r="H269" s="223"/>
      <c r="I269" s="222"/>
      <c r="J269" s="222"/>
      <c r="K269" s="222"/>
      <c r="L269" s="28"/>
    </row>
    <row r="270" spans="4:12" x14ac:dyDescent="0.25">
      <c r="D270" s="231"/>
      <c r="E270" s="220">
        <v>48</v>
      </c>
      <c r="F270" s="221" t="s">
        <v>769</v>
      </c>
      <c r="G270" s="222" t="s">
        <v>887</v>
      </c>
      <c r="H270" s="223"/>
      <c r="I270" s="222"/>
      <c r="J270" s="222"/>
      <c r="K270" s="222"/>
      <c r="L270" s="28"/>
    </row>
    <row r="271" spans="4:12" x14ac:dyDescent="0.25">
      <c r="D271" s="231"/>
      <c r="E271" s="220">
        <v>49</v>
      </c>
      <c r="F271" s="221" t="s">
        <v>769</v>
      </c>
      <c r="G271" s="222" t="s">
        <v>887</v>
      </c>
      <c r="H271" s="223"/>
      <c r="I271" s="222"/>
      <c r="J271" s="222"/>
      <c r="K271" s="222"/>
      <c r="L271" s="28"/>
    </row>
    <row r="272" spans="4:12" x14ac:dyDescent="0.25">
      <c r="D272" s="231"/>
      <c r="E272" s="220">
        <v>50</v>
      </c>
      <c r="F272" s="221" t="s">
        <v>769</v>
      </c>
      <c r="G272" s="222" t="s">
        <v>887</v>
      </c>
      <c r="H272" s="223"/>
      <c r="I272" s="222"/>
      <c r="J272" s="222"/>
      <c r="K272" s="222"/>
      <c r="L272" s="28"/>
    </row>
    <row r="273" spans="4:12" x14ac:dyDescent="0.25">
      <c r="D273" s="231"/>
      <c r="E273" s="220">
        <v>51</v>
      </c>
      <c r="F273" s="221" t="s">
        <v>769</v>
      </c>
      <c r="G273" s="222" t="s">
        <v>887</v>
      </c>
      <c r="H273" s="223"/>
      <c r="I273" s="222"/>
      <c r="J273" s="222"/>
      <c r="K273" s="222"/>
      <c r="L273" s="28"/>
    </row>
    <row r="274" spans="4:12" x14ac:dyDescent="0.25">
      <c r="D274" s="231"/>
      <c r="E274" s="220">
        <v>52</v>
      </c>
      <c r="F274" s="221" t="s">
        <v>769</v>
      </c>
      <c r="G274" s="222" t="s">
        <v>887</v>
      </c>
      <c r="H274" s="223"/>
      <c r="I274" s="222"/>
      <c r="J274" s="222"/>
      <c r="K274" s="222"/>
      <c r="L274" s="28"/>
    </row>
    <row r="275" spans="4:12" x14ac:dyDescent="0.25">
      <c r="D275" s="231"/>
      <c r="E275" s="220">
        <v>53</v>
      </c>
      <c r="F275" s="221" t="s">
        <v>769</v>
      </c>
      <c r="G275" s="222" t="s">
        <v>887</v>
      </c>
      <c r="H275" s="223"/>
      <c r="I275" s="222"/>
      <c r="J275" s="222"/>
      <c r="K275" s="222"/>
      <c r="L275" s="28"/>
    </row>
    <row r="276" spans="4:12" x14ac:dyDescent="0.25">
      <c r="D276" s="231"/>
      <c r="E276" s="220">
        <v>54</v>
      </c>
      <c r="F276" s="221" t="s">
        <v>769</v>
      </c>
      <c r="G276" s="222" t="s">
        <v>887</v>
      </c>
      <c r="H276" s="223"/>
      <c r="I276" s="222"/>
      <c r="J276" s="222"/>
      <c r="K276" s="222"/>
      <c r="L276" s="28"/>
    </row>
    <row r="277" spans="4:12" x14ac:dyDescent="0.25">
      <c r="D277" s="231"/>
      <c r="E277" s="220">
        <v>55</v>
      </c>
      <c r="F277" s="221" t="s">
        <v>769</v>
      </c>
      <c r="G277" s="222" t="s">
        <v>887</v>
      </c>
      <c r="H277" s="223"/>
      <c r="I277" s="222"/>
      <c r="J277" s="222"/>
      <c r="K277" s="222"/>
      <c r="L277" s="28"/>
    </row>
    <row r="278" spans="4:12" x14ac:dyDescent="0.25">
      <c r="D278" s="231"/>
      <c r="E278" s="31">
        <v>56</v>
      </c>
      <c r="F278" s="23" t="s">
        <v>770</v>
      </c>
      <c r="G278" s="25" t="s">
        <v>888</v>
      </c>
      <c r="H278" s="24"/>
      <c r="I278" s="25"/>
      <c r="J278" s="25"/>
      <c r="K278" s="25"/>
      <c r="L278" s="28"/>
    </row>
    <row r="279" spans="4:12" x14ac:dyDescent="0.25">
      <c r="D279" s="231"/>
      <c r="E279" s="31">
        <v>57</v>
      </c>
      <c r="F279" s="23" t="s">
        <v>770</v>
      </c>
      <c r="G279" s="25" t="s">
        <v>888</v>
      </c>
      <c r="H279" s="24"/>
      <c r="I279" s="25"/>
      <c r="J279" s="25"/>
      <c r="K279" s="25"/>
      <c r="L279" s="28"/>
    </row>
    <row r="280" spans="4:12" x14ac:dyDescent="0.25">
      <c r="D280" s="231"/>
      <c r="E280" s="31">
        <v>58</v>
      </c>
      <c r="F280" s="23" t="s">
        <v>770</v>
      </c>
      <c r="G280" s="25" t="s">
        <v>888</v>
      </c>
      <c r="H280" s="24"/>
      <c r="I280" s="25"/>
      <c r="J280" s="25"/>
      <c r="K280" s="25"/>
      <c r="L280" s="28"/>
    </row>
    <row r="281" spans="4:12" x14ac:dyDescent="0.25">
      <c r="D281" s="231"/>
      <c r="E281" s="31">
        <v>59</v>
      </c>
      <c r="F281" s="23" t="s">
        <v>770</v>
      </c>
      <c r="G281" s="25" t="s">
        <v>888</v>
      </c>
      <c r="H281" s="24"/>
      <c r="I281" s="25"/>
      <c r="J281" s="25"/>
      <c r="K281" s="25"/>
      <c r="L281" s="28"/>
    </row>
    <row r="282" spans="4:12" x14ac:dyDescent="0.25">
      <c r="D282" s="231"/>
      <c r="E282" s="31">
        <v>60</v>
      </c>
      <c r="F282" s="23" t="s">
        <v>770</v>
      </c>
      <c r="G282" s="25" t="s">
        <v>888</v>
      </c>
      <c r="H282" s="24"/>
      <c r="I282" s="25"/>
      <c r="J282" s="25"/>
      <c r="K282" s="25"/>
      <c r="L282" s="28"/>
    </row>
    <row r="283" spans="4:12" x14ac:dyDescent="0.25">
      <c r="D283" s="231"/>
      <c r="E283" s="31">
        <v>61</v>
      </c>
      <c r="F283" s="23" t="s">
        <v>770</v>
      </c>
      <c r="G283" s="25" t="s">
        <v>888</v>
      </c>
      <c r="H283" s="24"/>
      <c r="I283" s="25"/>
      <c r="J283" s="25"/>
      <c r="K283" s="25"/>
      <c r="L283" s="28"/>
    </row>
    <row r="284" spans="4:12" x14ac:dyDescent="0.25">
      <c r="D284" s="231"/>
      <c r="E284" s="31">
        <v>62</v>
      </c>
      <c r="F284" s="23" t="s">
        <v>770</v>
      </c>
      <c r="G284" s="25" t="s">
        <v>888</v>
      </c>
      <c r="H284" s="24"/>
      <c r="I284" s="25"/>
      <c r="J284" s="25"/>
      <c r="K284" s="25"/>
      <c r="L284" s="28"/>
    </row>
    <row r="285" spans="4:12" x14ac:dyDescent="0.25">
      <c r="D285" s="231"/>
      <c r="E285" s="31">
        <v>63</v>
      </c>
      <c r="F285" s="23" t="s">
        <v>770</v>
      </c>
      <c r="G285" s="25" t="s">
        <v>888</v>
      </c>
      <c r="H285" s="24"/>
      <c r="I285" s="25"/>
      <c r="J285" s="25"/>
      <c r="K285" s="25"/>
      <c r="L285" s="28"/>
    </row>
    <row r="286" spans="4:12" x14ac:dyDescent="0.25">
      <c r="D286" s="231"/>
      <c r="E286" s="31">
        <v>64</v>
      </c>
      <c r="F286" s="23" t="s">
        <v>770</v>
      </c>
      <c r="G286" s="25" t="s">
        <v>888</v>
      </c>
      <c r="H286" s="24"/>
      <c r="I286" s="25"/>
      <c r="J286" s="25"/>
      <c r="K286" s="25"/>
      <c r="L286" s="28"/>
    </row>
    <row r="287" spans="4:12" x14ac:dyDescent="0.25">
      <c r="D287" s="231"/>
      <c r="E287" s="31">
        <v>65</v>
      </c>
      <c r="F287" s="23" t="s">
        <v>770</v>
      </c>
      <c r="G287" s="25" t="s">
        <v>888</v>
      </c>
      <c r="H287" s="24"/>
      <c r="I287" s="25"/>
      <c r="J287" s="25"/>
      <c r="K287" s="25"/>
      <c r="L287" s="28"/>
    </row>
    <row r="288" spans="4:12" x14ac:dyDescent="0.25">
      <c r="D288" s="231"/>
      <c r="E288" s="31">
        <v>66</v>
      </c>
      <c r="F288" s="23" t="s">
        <v>770</v>
      </c>
      <c r="G288" s="25" t="s">
        <v>888</v>
      </c>
      <c r="H288" s="24"/>
      <c r="I288" s="25"/>
      <c r="J288" s="25"/>
      <c r="K288" s="25"/>
      <c r="L288" s="28"/>
    </row>
    <row r="289" spans="4:12" x14ac:dyDescent="0.25">
      <c r="D289" s="231"/>
      <c r="E289" s="220">
        <v>67</v>
      </c>
      <c r="F289" s="221" t="s">
        <v>771</v>
      </c>
      <c r="G289" s="222" t="s">
        <v>889</v>
      </c>
      <c r="H289" s="223"/>
      <c r="I289" s="222"/>
      <c r="J289" s="222"/>
      <c r="K289" s="222"/>
      <c r="L289" s="28"/>
    </row>
    <row r="290" spans="4:12" x14ac:dyDescent="0.25">
      <c r="D290" s="231"/>
      <c r="E290" s="220">
        <v>68</v>
      </c>
      <c r="F290" s="221" t="s">
        <v>771</v>
      </c>
      <c r="G290" s="222" t="s">
        <v>889</v>
      </c>
      <c r="H290" s="223"/>
      <c r="I290" s="222"/>
      <c r="J290" s="222"/>
      <c r="K290" s="222"/>
      <c r="L290" s="28"/>
    </row>
    <row r="291" spans="4:12" x14ac:dyDescent="0.25">
      <c r="D291" s="231"/>
      <c r="E291" s="220">
        <v>69</v>
      </c>
      <c r="F291" s="221" t="s">
        <v>771</v>
      </c>
      <c r="G291" s="222" t="s">
        <v>889</v>
      </c>
      <c r="H291" s="223"/>
      <c r="I291" s="222"/>
      <c r="J291" s="222"/>
      <c r="K291" s="222"/>
      <c r="L291" s="28"/>
    </row>
    <row r="292" spans="4:12" x14ac:dyDescent="0.25">
      <c r="D292" s="231"/>
      <c r="E292" s="220">
        <v>70</v>
      </c>
      <c r="F292" s="221" t="s">
        <v>771</v>
      </c>
      <c r="G292" s="222" t="s">
        <v>889</v>
      </c>
      <c r="H292" s="223"/>
      <c r="I292" s="222"/>
      <c r="J292" s="222"/>
      <c r="K292" s="222"/>
      <c r="L292" s="28"/>
    </row>
    <row r="293" spans="4:12" x14ac:dyDescent="0.25">
      <c r="D293" s="231"/>
      <c r="E293" s="220">
        <v>71</v>
      </c>
      <c r="F293" s="221" t="s">
        <v>771</v>
      </c>
      <c r="G293" s="222" t="s">
        <v>889</v>
      </c>
      <c r="H293" s="223"/>
      <c r="I293" s="222"/>
      <c r="J293" s="222"/>
      <c r="K293" s="222"/>
      <c r="L293" s="28"/>
    </row>
    <row r="294" spans="4:12" x14ac:dyDescent="0.25">
      <c r="D294" s="231"/>
      <c r="E294" s="220">
        <v>72</v>
      </c>
      <c r="F294" s="221" t="s">
        <v>771</v>
      </c>
      <c r="G294" s="222" t="s">
        <v>889</v>
      </c>
      <c r="H294" s="223"/>
      <c r="I294" s="222"/>
      <c r="J294" s="222"/>
      <c r="K294" s="222"/>
      <c r="L294" s="28"/>
    </row>
    <row r="295" spans="4:12" x14ac:dyDescent="0.25">
      <c r="D295" s="231"/>
      <c r="E295" s="220">
        <v>73</v>
      </c>
      <c r="F295" s="221" t="s">
        <v>771</v>
      </c>
      <c r="G295" s="222" t="s">
        <v>889</v>
      </c>
      <c r="H295" s="223"/>
      <c r="I295" s="222"/>
      <c r="J295" s="222"/>
      <c r="K295" s="222"/>
      <c r="L295" s="28"/>
    </row>
    <row r="296" spans="4:12" x14ac:dyDescent="0.25">
      <c r="D296" s="231"/>
      <c r="E296" s="220">
        <v>74</v>
      </c>
      <c r="F296" s="221" t="s">
        <v>771</v>
      </c>
      <c r="G296" s="222" t="s">
        <v>889</v>
      </c>
      <c r="H296" s="223"/>
      <c r="I296" s="222"/>
      <c r="J296" s="222"/>
      <c r="K296" s="222"/>
      <c r="L296" s="28"/>
    </row>
    <row r="297" spans="4:12" x14ac:dyDescent="0.25">
      <c r="D297" s="231"/>
      <c r="E297" s="220">
        <v>75</v>
      </c>
      <c r="F297" s="221" t="s">
        <v>771</v>
      </c>
      <c r="G297" s="222" t="s">
        <v>889</v>
      </c>
      <c r="H297" s="223"/>
      <c r="I297" s="222"/>
      <c r="J297" s="222"/>
      <c r="K297" s="222"/>
      <c r="L297" s="28"/>
    </row>
    <row r="298" spans="4:12" x14ac:dyDescent="0.25">
      <c r="D298" s="231"/>
      <c r="E298" s="220">
        <v>76</v>
      </c>
      <c r="F298" s="221" t="s">
        <v>771</v>
      </c>
      <c r="G298" s="222" t="s">
        <v>889</v>
      </c>
      <c r="H298" s="223"/>
      <c r="I298" s="222"/>
      <c r="J298" s="222"/>
      <c r="K298" s="222"/>
      <c r="L298" s="28"/>
    </row>
    <row r="299" spans="4:12" x14ac:dyDescent="0.25">
      <c r="D299" s="231"/>
      <c r="E299" s="220">
        <v>77</v>
      </c>
      <c r="F299" s="221" t="s">
        <v>771</v>
      </c>
      <c r="G299" s="222" t="s">
        <v>889</v>
      </c>
      <c r="H299" s="223"/>
      <c r="I299" s="222"/>
      <c r="J299" s="222"/>
      <c r="K299" s="222"/>
      <c r="L299" s="28"/>
    </row>
    <row r="300" spans="4:12" x14ac:dyDescent="0.25">
      <c r="D300" s="231"/>
      <c r="E300" s="220">
        <v>78</v>
      </c>
      <c r="F300" s="221" t="s">
        <v>771</v>
      </c>
      <c r="G300" s="222" t="s">
        <v>889</v>
      </c>
      <c r="H300" s="223"/>
      <c r="I300" s="222"/>
      <c r="J300" s="222"/>
      <c r="K300" s="222"/>
      <c r="L300" s="28"/>
    </row>
    <row r="301" spans="4:12" x14ac:dyDescent="0.25">
      <c r="D301" s="231"/>
      <c r="E301" s="31">
        <v>79</v>
      </c>
      <c r="F301" s="23" t="s">
        <v>772</v>
      </c>
      <c r="G301" s="25" t="s">
        <v>890</v>
      </c>
      <c r="H301" s="24"/>
      <c r="I301" s="25"/>
      <c r="J301" s="25"/>
      <c r="K301" s="25"/>
      <c r="L301" s="28"/>
    </row>
    <row r="302" spans="4:12" x14ac:dyDescent="0.25">
      <c r="D302" s="231"/>
      <c r="E302" s="31">
        <v>80</v>
      </c>
      <c r="F302" s="23" t="s">
        <v>772</v>
      </c>
      <c r="G302" s="25" t="s">
        <v>890</v>
      </c>
      <c r="H302" s="24"/>
      <c r="I302" s="25"/>
      <c r="J302" s="25"/>
      <c r="K302" s="25"/>
      <c r="L302" s="28"/>
    </row>
    <row r="303" spans="4:12" x14ac:dyDescent="0.25">
      <c r="D303" s="231"/>
      <c r="E303" s="31">
        <v>81</v>
      </c>
      <c r="F303" s="23" t="s">
        <v>772</v>
      </c>
      <c r="G303" s="25" t="s">
        <v>890</v>
      </c>
      <c r="H303" s="24"/>
      <c r="I303" s="25"/>
      <c r="J303" s="25"/>
      <c r="K303" s="25"/>
      <c r="L303" s="28"/>
    </row>
    <row r="304" spans="4:12" x14ac:dyDescent="0.25">
      <c r="D304" s="231"/>
      <c r="E304" s="31">
        <v>82</v>
      </c>
      <c r="F304" s="23" t="s">
        <v>772</v>
      </c>
      <c r="G304" s="25" t="s">
        <v>890</v>
      </c>
      <c r="H304" s="24"/>
      <c r="I304" s="25"/>
      <c r="J304" s="25"/>
      <c r="K304" s="25"/>
      <c r="L304" s="28"/>
    </row>
    <row r="305" spans="4:12" x14ac:dyDescent="0.25">
      <c r="D305" s="231"/>
      <c r="E305" s="31">
        <v>83</v>
      </c>
      <c r="F305" s="23" t="s">
        <v>772</v>
      </c>
      <c r="G305" s="25" t="s">
        <v>890</v>
      </c>
      <c r="H305" s="24"/>
      <c r="I305" s="25"/>
      <c r="J305" s="25"/>
      <c r="K305" s="25"/>
      <c r="L305" s="28"/>
    </row>
    <row r="306" spans="4:12" x14ac:dyDescent="0.25">
      <c r="D306" s="231"/>
      <c r="E306" s="31">
        <v>84</v>
      </c>
      <c r="F306" s="23" t="s">
        <v>772</v>
      </c>
      <c r="G306" s="25" t="s">
        <v>890</v>
      </c>
      <c r="H306" s="24"/>
      <c r="I306" s="25"/>
      <c r="J306" s="25"/>
      <c r="K306" s="25"/>
      <c r="L306" s="28"/>
    </row>
    <row r="307" spans="4:12" x14ac:dyDescent="0.25">
      <c r="D307" s="231"/>
      <c r="E307" s="31">
        <v>85</v>
      </c>
      <c r="F307" s="23" t="s">
        <v>772</v>
      </c>
      <c r="G307" s="25" t="s">
        <v>890</v>
      </c>
      <c r="H307" s="24"/>
      <c r="I307" s="25"/>
      <c r="J307" s="25"/>
      <c r="K307" s="25"/>
      <c r="L307" s="28"/>
    </row>
    <row r="308" spans="4:12" x14ac:dyDescent="0.25">
      <c r="D308" s="231"/>
      <c r="E308" s="31">
        <v>86</v>
      </c>
      <c r="F308" s="23" t="s">
        <v>772</v>
      </c>
      <c r="G308" s="25" t="s">
        <v>890</v>
      </c>
      <c r="H308" s="24"/>
      <c r="I308" s="25"/>
      <c r="J308" s="25"/>
      <c r="K308" s="25"/>
      <c r="L308" s="28"/>
    </row>
    <row r="309" spans="4:12" x14ac:dyDescent="0.25">
      <c r="D309" s="231"/>
      <c r="E309" s="31">
        <v>87</v>
      </c>
      <c r="F309" s="23" t="s">
        <v>772</v>
      </c>
      <c r="G309" s="25" t="s">
        <v>890</v>
      </c>
      <c r="H309" s="24"/>
      <c r="I309" s="25"/>
      <c r="J309" s="25"/>
      <c r="K309" s="25"/>
      <c r="L309" s="28"/>
    </row>
    <row r="310" spans="4:12" x14ac:dyDescent="0.25">
      <c r="D310" s="231"/>
      <c r="E310" s="31">
        <v>88</v>
      </c>
      <c r="F310" s="23" t="s">
        <v>772</v>
      </c>
      <c r="G310" s="25" t="s">
        <v>890</v>
      </c>
      <c r="H310" s="24"/>
      <c r="I310" s="25"/>
      <c r="J310" s="25"/>
      <c r="K310" s="25"/>
      <c r="L310" s="28"/>
    </row>
    <row r="311" spans="4:12" x14ac:dyDescent="0.25">
      <c r="D311" s="231"/>
      <c r="E311" s="31">
        <v>89</v>
      </c>
      <c r="F311" s="23" t="s">
        <v>772</v>
      </c>
      <c r="G311" s="25" t="s">
        <v>890</v>
      </c>
      <c r="H311" s="24"/>
      <c r="I311" s="25"/>
      <c r="J311" s="25"/>
      <c r="K311" s="25"/>
      <c r="L311" s="28"/>
    </row>
    <row r="312" spans="4:12" x14ac:dyDescent="0.25">
      <c r="D312" s="231"/>
      <c r="E312" s="31">
        <v>90</v>
      </c>
      <c r="F312" s="23" t="s">
        <v>772</v>
      </c>
      <c r="G312" s="25" t="s">
        <v>890</v>
      </c>
      <c r="H312" s="24"/>
      <c r="I312" s="25"/>
      <c r="J312" s="25"/>
      <c r="K312" s="25"/>
      <c r="L312" s="28"/>
    </row>
    <row r="313" spans="4:12" x14ac:dyDescent="0.25">
      <c r="D313" s="231"/>
      <c r="E313" s="31">
        <v>91</v>
      </c>
      <c r="F313" s="23" t="s">
        <v>772</v>
      </c>
      <c r="G313" s="25" t="s">
        <v>890</v>
      </c>
      <c r="H313" s="24"/>
      <c r="I313" s="25"/>
      <c r="J313" s="25"/>
      <c r="K313" s="25"/>
      <c r="L313" s="28"/>
    </row>
    <row r="314" spans="4:12" x14ac:dyDescent="0.25">
      <c r="D314" s="231"/>
      <c r="E314" s="220">
        <v>92</v>
      </c>
      <c r="F314" s="221" t="s">
        <v>773</v>
      </c>
      <c r="G314" s="222" t="s">
        <v>891</v>
      </c>
      <c r="H314" s="223"/>
      <c r="I314" s="222"/>
      <c r="J314" s="222"/>
      <c r="K314" s="222"/>
      <c r="L314" s="28"/>
    </row>
    <row r="315" spans="4:12" x14ac:dyDescent="0.25">
      <c r="D315" s="231"/>
      <c r="E315" s="220">
        <v>93</v>
      </c>
      <c r="F315" s="221" t="s">
        <v>773</v>
      </c>
      <c r="G315" s="222" t="s">
        <v>891</v>
      </c>
      <c r="H315" s="223"/>
      <c r="I315" s="222"/>
      <c r="J315" s="222"/>
      <c r="K315" s="222"/>
      <c r="L315" s="28"/>
    </row>
    <row r="316" spans="4:12" x14ac:dyDescent="0.25">
      <c r="D316" s="231"/>
      <c r="E316" s="220">
        <v>94</v>
      </c>
      <c r="F316" s="221" t="s">
        <v>773</v>
      </c>
      <c r="G316" s="222" t="s">
        <v>891</v>
      </c>
      <c r="H316" s="223"/>
      <c r="I316" s="222"/>
      <c r="J316" s="222"/>
      <c r="K316" s="222"/>
      <c r="L316" s="28"/>
    </row>
    <row r="317" spans="4:12" x14ac:dyDescent="0.25">
      <c r="D317" s="231"/>
      <c r="E317" s="220">
        <v>95</v>
      </c>
      <c r="F317" s="221" t="s">
        <v>773</v>
      </c>
      <c r="G317" s="222" t="s">
        <v>891</v>
      </c>
      <c r="H317" s="223"/>
      <c r="I317" s="222"/>
      <c r="J317" s="222"/>
      <c r="K317" s="222"/>
      <c r="L317" s="28"/>
    </row>
    <row r="318" spans="4:12" x14ac:dyDescent="0.25">
      <c r="D318" s="231"/>
      <c r="E318" s="220">
        <v>96</v>
      </c>
      <c r="F318" s="221" t="s">
        <v>773</v>
      </c>
      <c r="G318" s="222" t="s">
        <v>891</v>
      </c>
      <c r="H318" s="223"/>
      <c r="I318" s="222"/>
      <c r="J318" s="222"/>
      <c r="K318" s="222"/>
      <c r="L318" s="28"/>
    </row>
    <row r="319" spans="4:12" x14ac:dyDescent="0.25">
      <c r="D319" s="231"/>
      <c r="E319" s="220">
        <v>97</v>
      </c>
      <c r="F319" s="221" t="s">
        <v>773</v>
      </c>
      <c r="G319" s="222" t="s">
        <v>891</v>
      </c>
      <c r="H319" s="223"/>
      <c r="I319" s="222"/>
      <c r="J319" s="222"/>
      <c r="K319" s="222"/>
      <c r="L319" s="28"/>
    </row>
    <row r="320" spans="4:12" x14ac:dyDescent="0.25">
      <c r="D320" s="231"/>
      <c r="E320" s="220">
        <v>98</v>
      </c>
      <c r="F320" s="221" t="s">
        <v>773</v>
      </c>
      <c r="G320" s="222" t="s">
        <v>891</v>
      </c>
      <c r="H320" s="223"/>
      <c r="I320" s="222"/>
      <c r="J320" s="222"/>
      <c r="K320" s="222"/>
      <c r="L320" s="28"/>
    </row>
    <row r="321" spans="4:12" x14ac:dyDescent="0.25">
      <c r="D321" s="231"/>
      <c r="E321" s="220">
        <v>99</v>
      </c>
      <c r="F321" s="221" t="s">
        <v>773</v>
      </c>
      <c r="G321" s="222" t="s">
        <v>891</v>
      </c>
      <c r="H321" s="223"/>
      <c r="I321" s="222"/>
      <c r="J321" s="222"/>
      <c r="K321" s="222"/>
      <c r="L321" s="28"/>
    </row>
    <row r="322" spans="4:12" x14ac:dyDescent="0.25">
      <c r="D322" s="231"/>
      <c r="E322" s="220">
        <v>100</v>
      </c>
      <c r="F322" s="221" t="s">
        <v>773</v>
      </c>
      <c r="G322" s="222" t="s">
        <v>891</v>
      </c>
      <c r="H322" s="223"/>
      <c r="I322" s="222"/>
      <c r="J322" s="222"/>
      <c r="K322" s="222"/>
      <c r="L322" s="28"/>
    </row>
    <row r="323" spans="4:12" x14ac:dyDescent="0.25">
      <c r="D323" s="231"/>
      <c r="E323" s="220">
        <v>101</v>
      </c>
      <c r="F323" s="221" t="s">
        <v>773</v>
      </c>
      <c r="G323" s="222" t="s">
        <v>891</v>
      </c>
      <c r="H323" s="223"/>
      <c r="I323" s="222"/>
      <c r="J323" s="222"/>
      <c r="K323" s="222"/>
      <c r="L323" s="28"/>
    </row>
    <row r="324" spans="4:12" x14ac:dyDescent="0.25">
      <c r="D324" s="231"/>
      <c r="E324" s="220">
        <v>102</v>
      </c>
      <c r="F324" s="221" t="s">
        <v>773</v>
      </c>
      <c r="G324" s="222" t="s">
        <v>891</v>
      </c>
      <c r="H324" s="223"/>
      <c r="I324" s="222"/>
      <c r="J324" s="222"/>
      <c r="K324" s="222"/>
      <c r="L324" s="28"/>
    </row>
    <row r="325" spans="4:12" x14ac:dyDescent="0.25">
      <c r="D325" s="231"/>
      <c r="E325" s="220">
        <v>103</v>
      </c>
      <c r="F325" s="221" t="s">
        <v>773</v>
      </c>
      <c r="G325" s="222" t="s">
        <v>891</v>
      </c>
      <c r="H325" s="223"/>
      <c r="I325" s="222"/>
      <c r="J325" s="222"/>
      <c r="K325" s="222"/>
      <c r="L325" s="28"/>
    </row>
    <row r="326" spans="4:12" x14ac:dyDescent="0.25">
      <c r="D326" s="231"/>
      <c r="E326" s="220">
        <v>104</v>
      </c>
      <c r="F326" s="221" t="s">
        <v>773</v>
      </c>
      <c r="G326" s="222" t="s">
        <v>891</v>
      </c>
      <c r="H326" s="223"/>
      <c r="I326" s="222"/>
      <c r="J326" s="222"/>
      <c r="K326" s="222"/>
      <c r="L326" s="28"/>
    </row>
    <row r="327" spans="4:12" x14ac:dyDescent="0.25">
      <c r="D327" s="231"/>
      <c r="E327" s="220">
        <v>105</v>
      </c>
      <c r="F327" s="221" t="s">
        <v>773</v>
      </c>
      <c r="G327" s="222" t="s">
        <v>891</v>
      </c>
      <c r="H327" s="223"/>
      <c r="I327" s="222"/>
      <c r="J327" s="222"/>
      <c r="K327" s="222"/>
      <c r="L327" s="28"/>
    </row>
    <row r="328" spans="4:12" x14ac:dyDescent="0.25">
      <c r="D328" s="231"/>
      <c r="E328" s="31">
        <v>106</v>
      </c>
      <c r="F328" s="23" t="s">
        <v>774</v>
      </c>
      <c r="G328" s="25" t="s">
        <v>892</v>
      </c>
      <c r="H328" s="24"/>
      <c r="I328" s="25"/>
      <c r="J328" s="25"/>
      <c r="K328" s="25"/>
      <c r="L328" s="28"/>
    </row>
    <row r="329" spans="4:12" x14ac:dyDescent="0.25">
      <c r="D329" s="231"/>
      <c r="E329" s="31">
        <v>107</v>
      </c>
      <c r="F329" s="23" t="s">
        <v>774</v>
      </c>
      <c r="G329" s="25" t="s">
        <v>892</v>
      </c>
      <c r="H329" s="24"/>
      <c r="I329" s="25"/>
      <c r="J329" s="25"/>
      <c r="K329" s="25"/>
      <c r="L329" s="28"/>
    </row>
    <row r="330" spans="4:12" x14ac:dyDescent="0.25">
      <c r="D330" s="231"/>
      <c r="E330" s="31">
        <v>108</v>
      </c>
      <c r="F330" s="23" t="s">
        <v>774</v>
      </c>
      <c r="G330" s="25" t="s">
        <v>892</v>
      </c>
      <c r="H330" s="24"/>
      <c r="I330" s="25"/>
      <c r="J330" s="25"/>
      <c r="K330" s="25"/>
      <c r="L330" s="28"/>
    </row>
    <row r="331" spans="4:12" x14ac:dyDescent="0.25">
      <c r="D331" s="231"/>
      <c r="E331" s="31">
        <v>109</v>
      </c>
      <c r="F331" s="23" t="s">
        <v>774</v>
      </c>
      <c r="G331" s="25" t="s">
        <v>892</v>
      </c>
      <c r="H331" s="24"/>
      <c r="I331" s="25"/>
      <c r="J331" s="25"/>
      <c r="K331" s="25"/>
      <c r="L331" s="28"/>
    </row>
    <row r="332" spans="4:12" x14ac:dyDescent="0.25">
      <c r="D332" s="231"/>
      <c r="E332" s="31">
        <v>110</v>
      </c>
      <c r="F332" s="23" t="s">
        <v>774</v>
      </c>
      <c r="G332" s="25" t="s">
        <v>892</v>
      </c>
      <c r="H332" s="24"/>
      <c r="I332" s="25"/>
      <c r="J332" s="25"/>
      <c r="K332" s="25"/>
      <c r="L332" s="28"/>
    </row>
    <row r="333" spans="4:12" x14ac:dyDescent="0.25">
      <c r="D333" s="231"/>
      <c r="E333" s="31">
        <v>111</v>
      </c>
      <c r="F333" s="23" t="s">
        <v>774</v>
      </c>
      <c r="G333" s="25" t="s">
        <v>892</v>
      </c>
      <c r="H333" s="24"/>
      <c r="I333" s="25"/>
      <c r="J333" s="25"/>
      <c r="K333" s="25"/>
      <c r="L333" s="28"/>
    </row>
    <row r="334" spans="4:12" x14ac:dyDescent="0.25">
      <c r="D334" s="231"/>
      <c r="E334" s="31">
        <v>112</v>
      </c>
      <c r="F334" s="23" t="s">
        <v>774</v>
      </c>
      <c r="G334" s="25" t="s">
        <v>892</v>
      </c>
      <c r="H334" s="24"/>
      <c r="I334" s="25"/>
      <c r="J334" s="25"/>
      <c r="K334" s="25"/>
      <c r="L334" s="28"/>
    </row>
    <row r="335" spans="4:12" x14ac:dyDescent="0.25">
      <c r="D335" s="231"/>
      <c r="E335" s="31">
        <v>113</v>
      </c>
      <c r="F335" s="23" t="s">
        <v>774</v>
      </c>
      <c r="G335" s="25" t="s">
        <v>892</v>
      </c>
      <c r="H335" s="24"/>
      <c r="I335" s="25"/>
      <c r="J335" s="25"/>
      <c r="K335" s="25"/>
      <c r="L335" s="28"/>
    </row>
    <row r="336" spans="4:12" x14ac:dyDescent="0.25">
      <c r="D336" s="231"/>
      <c r="E336" s="31">
        <v>114</v>
      </c>
      <c r="F336" s="23" t="s">
        <v>774</v>
      </c>
      <c r="G336" s="25" t="s">
        <v>892</v>
      </c>
      <c r="H336" s="24"/>
      <c r="I336" s="25"/>
      <c r="J336" s="25"/>
      <c r="K336" s="25"/>
      <c r="L336" s="28"/>
    </row>
    <row r="337" spans="4:12" x14ac:dyDescent="0.25">
      <c r="D337" s="231"/>
      <c r="E337" s="31">
        <v>115</v>
      </c>
      <c r="F337" s="23" t="s">
        <v>774</v>
      </c>
      <c r="G337" s="25" t="s">
        <v>892</v>
      </c>
      <c r="H337" s="24"/>
      <c r="I337" s="25"/>
      <c r="J337" s="25"/>
      <c r="K337" s="25"/>
      <c r="L337" s="28"/>
    </row>
    <row r="338" spans="4:12" x14ac:dyDescent="0.25">
      <c r="D338" s="231"/>
      <c r="E338" s="31">
        <v>116</v>
      </c>
      <c r="F338" s="23" t="s">
        <v>774</v>
      </c>
      <c r="G338" s="25" t="s">
        <v>892</v>
      </c>
      <c r="H338" s="24"/>
      <c r="I338" s="25"/>
      <c r="J338" s="25"/>
      <c r="K338" s="25"/>
      <c r="L338" s="28"/>
    </row>
    <row r="339" spans="4:12" x14ac:dyDescent="0.25">
      <c r="D339" s="231"/>
      <c r="E339" s="31">
        <v>117</v>
      </c>
      <c r="F339" s="23" t="s">
        <v>774</v>
      </c>
      <c r="G339" s="25" t="s">
        <v>892</v>
      </c>
      <c r="H339" s="24"/>
      <c r="I339" s="25"/>
      <c r="J339" s="25"/>
      <c r="K339" s="25"/>
      <c r="L339" s="28"/>
    </row>
    <row r="340" spans="4:12" x14ac:dyDescent="0.25">
      <c r="D340" s="231"/>
      <c r="E340" s="31">
        <v>118</v>
      </c>
      <c r="F340" s="23" t="s">
        <v>774</v>
      </c>
      <c r="G340" s="25" t="s">
        <v>892</v>
      </c>
      <c r="H340" s="24"/>
      <c r="I340" s="25"/>
      <c r="J340" s="25"/>
      <c r="K340" s="25"/>
      <c r="L340" s="28"/>
    </row>
    <row r="341" spans="4:12" x14ac:dyDescent="0.25">
      <c r="D341" s="231"/>
      <c r="E341" s="31">
        <v>119</v>
      </c>
      <c r="F341" s="23" t="s">
        <v>774</v>
      </c>
      <c r="G341" s="25" t="s">
        <v>892</v>
      </c>
      <c r="H341" s="24"/>
      <c r="I341" s="25"/>
      <c r="J341" s="25"/>
      <c r="K341" s="25"/>
      <c r="L341" s="28"/>
    </row>
    <row r="342" spans="4:12" x14ac:dyDescent="0.25">
      <c r="D342" s="231"/>
      <c r="E342" s="31">
        <v>120</v>
      </c>
      <c r="F342" s="23" t="s">
        <v>774</v>
      </c>
      <c r="G342" s="25" t="s">
        <v>892</v>
      </c>
      <c r="H342" s="24"/>
      <c r="I342" s="25"/>
      <c r="J342" s="25"/>
      <c r="K342" s="25"/>
      <c r="L342" s="28"/>
    </row>
    <row r="343" spans="4:12" x14ac:dyDescent="0.25">
      <c r="D343" s="231"/>
      <c r="E343" s="220">
        <v>121</v>
      </c>
      <c r="F343" s="221" t="s">
        <v>775</v>
      </c>
      <c r="G343" s="222" t="s">
        <v>893</v>
      </c>
      <c r="H343" s="223"/>
      <c r="I343" s="222"/>
      <c r="J343" s="222"/>
      <c r="K343" s="222"/>
      <c r="L343" s="28"/>
    </row>
    <row r="344" spans="4:12" x14ac:dyDescent="0.25">
      <c r="D344" s="231"/>
      <c r="E344" s="220">
        <v>122</v>
      </c>
      <c r="F344" s="221" t="s">
        <v>775</v>
      </c>
      <c r="G344" s="222" t="s">
        <v>893</v>
      </c>
      <c r="H344" s="223"/>
      <c r="I344" s="222"/>
      <c r="J344" s="222"/>
      <c r="K344" s="222"/>
      <c r="L344" s="28"/>
    </row>
    <row r="345" spans="4:12" x14ac:dyDescent="0.25">
      <c r="D345" s="231"/>
      <c r="E345" s="220">
        <v>123</v>
      </c>
      <c r="F345" s="221" t="s">
        <v>775</v>
      </c>
      <c r="G345" s="222" t="s">
        <v>893</v>
      </c>
      <c r="H345" s="223"/>
      <c r="I345" s="222"/>
      <c r="J345" s="222"/>
      <c r="K345" s="222"/>
      <c r="L345" s="28"/>
    </row>
    <row r="346" spans="4:12" x14ac:dyDescent="0.25">
      <c r="D346" s="231"/>
      <c r="E346" s="220">
        <v>124</v>
      </c>
      <c r="F346" s="221" t="s">
        <v>775</v>
      </c>
      <c r="G346" s="222" t="s">
        <v>893</v>
      </c>
      <c r="H346" s="223"/>
      <c r="I346" s="222"/>
      <c r="J346" s="222"/>
      <c r="K346" s="222"/>
      <c r="L346" s="28"/>
    </row>
    <row r="347" spans="4:12" x14ac:dyDescent="0.25">
      <c r="D347" s="231"/>
      <c r="E347" s="220">
        <v>125</v>
      </c>
      <c r="F347" s="221" t="s">
        <v>775</v>
      </c>
      <c r="G347" s="222" t="s">
        <v>893</v>
      </c>
      <c r="H347" s="223"/>
      <c r="I347" s="222"/>
      <c r="J347" s="222"/>
      <c r="K347" s="222"/>
      <c r="L347" s="28"/>
    </row>
    <row r="348" spans="4:12" x14ac:dyDescent="0.25">
      <c r="D348" s="231"/>
      <c r="E348" s="220">
        <v>126</v>
      </c>
      <c r="F348" s="221" t="s">
        <v>775</v>
      </c>
      <c r="G348" s="222" t="s">
        <v>893</v>
      </c>
      <c r="H348" s="223"/>
      <c r="I348" s="222"/>
      <c r="J348" s="222"/>
      <c r="K348" s="222"/>
      <c r="L348" s="28"/>
    </row>
    <row r="349" spans="4:12" x14ac:dyDescent="0.25">
      <c r="D349" s="231"/>
      <c r="E349" s="220">
        <v>127</v>
      </c>
      <c r="F349" s="221" t="s">
        <v>775</v>
      </c>
      <c r="G349" s="222" t="s">
        <v>893</v>
      </c>
      <c r="H349" s="223"/>
      <c r="I349" s="222"/>
      <c r="J349" s="222"/>
      <c r="K349" s="222"/>
      <c r="L349" s="28"/>
    </row>
    <row r="350" spans="4:12" x14ac:dyDescent="0.25">
      <c r="D350" s="231"/>
      <c r="E350" s="220">
        <v>128</v>
      </c>
      <c r="F350" s="221" t="s">
        <v>775</v>
      </c>
      <c r="G350" s="222" t="s">
        <v>893</v>
      </c>
      <c r="H350" s="223"/>
      <c r="I350" s="222"/>
      <c r="J350" s="222"/>
      <c r="K350" s="222"/>
      <c r="L350" s="28"/>
    </row>
    <row r="351" spans="4:12" x14ac:dyDescent="0.25">
      <c r="D351" s="231"/>
      <c r="E351" s="220">
        <v>129</v>
      </c>
      <c r="F351" s="221" t="s">
        <v>775</v>
      </c>
      <c r="G351" s="222" t="s">
        <v>893</v>
      </c>
      <c r="H351" s="223"/>
      <c r="I351" s="222"/>
      <c r="J351" s="222"/>
      <c r="K351" s="222"/>
      <c r="L351" s="28"/>
    </row>
    <row r="352" spans="4:12" x14ac:dyDescent="0.25">
      <c r="D352" s="231"/>
      <c r="E352" s="220">
        <v>130</v>
      </c>
      <c r="F352" s="221" t="s">
        <v>775</v>
      </c>
      <c r="G352" s="222" t="s">
        <v>893</v>
      </c>
      <c r="H352" s="223"/>
      <c r="I352" s="222"/>
      <c r="J352" s="222"/>
      <c r="K352" s="222"/>
      <c r="L352" s="28"/>
    </row>
    <row r="353" spans="4:12" x14ac:dyDescent="0.25">
      <c r="D353" s="231"/>
      <c r="E353" s="220">
        <v>131</v>
      </c>
      <c r="F353" s="221" t="s">
        <v>775</v>
      </c>
      <c r="G353" s="222" t="s">
        <v>893</v>
      </c>
      <c r="H353" s="223"/>
      <c r="I353" s="222"/>
      <c r="J353" s="222"/>
      <c r="K353" s="222"/>
      <c r="L353" s="28"/>
    </row>
    <row r="354" spans="4:12" x14ac:dyDescent="0.25">
      <c r="D354" s="231"/>
      <c r="E354" s="220">
        <v>132</v>
      </c>
      <c r="F354" s="221" t="s">
        <v>775</v>
      </c>
      <c r="G354" s="222" t="s">
        <v>893</v>
      </c>
      <c r="H354" s="223"/>
      <c r="I354" s="222"/>
      <c r="J354" s="222"/>
      <c r="K354" s="222"/>
      <c r="L354" s="28"/>
    </row>
    <row r="355" spans="4:12" x14ac:dyDescent="0.25">
      <c r="D355" s="231"/>
      <c r="E355" s="220">
        <v>133</v>
      </c>
      <c r="F355" s="221" t="s">
        <v>775</v>
      </c>
      <c r="G355" s="222" t="s">
        <v>893</v>
      </c>
      <c r="H355" s="223"/>
      <c r="I355" s="222"/>
      <c r="J355" s="222"/>
      <c r="K355" s="222"/>
      <c r="L355" s="28"/>
    </row>
    <row r="356" spans="4:12" x14ac:dyDescent="0.25">
      <c r="D356" s="231"/>
      <c r="E356" s="220">
        <v>134</v>
      </c>
      <c r="F356" s="221" t="s">
        <v>775</v>
      </c>
      <c r="G356" s="222" t="s">
        <v>893</v>
      </c>
      <c r="H356" s="223"/>
      <c r="I356" s="222"/>
      <c r="J356" s="222"/>
      <c r="K356" s="222"/>
      <c r="L356" s="28"/>
    </row>
    <row r="357" spans="4:12" x14ac:dyDescent="0.25">
      <c r="D357" s="231"/>
      <c r="E357" s="220">
        <v>135</v>
      </c>
      <c r="F357" s="221" t="s">
        <v>775</v>
      </c>
      <c r="G357" s="222" t="s">
        <v>893</v>
      </c>
      <c r="H357" s="223"/>
      <c r="I357" s="222"/>
      <c r="J357" s="222"/>
      <c r="K357" s="222"/>
      <c r="L357" s="28"/>
    </row>
    <row r="358" spans="4:12" x14ac:dyDescent="0.25">
      <c r="D358" s="231"/>
      <c r="E358" s="220">
        <v>136</v>
      </c>
      <c r="F358" s="221" t="s">
        <v>775</v>
      </c>
      <c r="G358" s="222" t="s">
        <v>893</v>
      </c>
      <c r="H358" s="223"/>
      <c r="I358" s="222"/>
      <c r="J358" s="222"/>
      <c r="K358" s="222"/>
      <c r="L358" s="28"/>
    </row>
    <row r="359" spans="4:12" x14ac:dyDescent="0.25">
      <c r="D359" s="231"/>
      <c r="E359" s="31">
        <v>137</v>
      </c>
      <c r="F359" s="23" t="s">
        <v>776</v>
      </c>
      <c r="G359" s="25" t="s">
        <v>894</v>
      </c>
      <c r="H359" s="24"/>
      <c r="I359" s="25"/>
      <c r="J359" s="25"/>
      <c r="K359" s="25"/>
      <c r="L359" s="28"/>
    </row>
    <row r="360" spans="4:12" x14ac:dyDescent="0.25">
      <c r="D360" s="231"/>
      <c r="E360" s="31">
        <v>138</v>
      </c>
      <c r="F360" s="23" t="s">
        <v>776</v>
      </c>
      <c r="G360" s="25" t="s">
        <v>894</v>
      </c>
      <c r="H360" s="24"/>
      <c r="I360" s="25"/>
      <c r="J360" s="25"/>
      <c r="K360" s="25"/>
      <c r="L360" s="28"/>
    </row>
    <row r="361" spans="4:12" x14ac:dyDescent="0.25">
      <c r="D361" s="231"/>
      <c r="E361" s="31">
        <v>139</v>
      </c>
      <c r="F361" s="23" t="s">
        <v>776</v>
      </c>
      <c r="G361" s="25" t="s">
        <v>894</v>
      </c>
      <c r="H361" s="24"/>
      <c r="I361" s="25"/>
      <c r="J361" s="25"/>
      <c r="K361" s="25"/>
      <c r="L361" s="28"/>
    </row>
    <row r="362" spans="4:12" x14ac:dyDescent="0.25">
      <c r="D362" s="231"/>
      <c r="E362" s="31">
        <v>140</v>
      </c>
      <c r="F362" s="23" t="s">
        <v>776</v>
      </c>
      <c r="G362" s="25" t="s">
        <v>894</v>
      </c>
      <c r="H362" s="24"/>
      <c r="I362" s="25"/>
      <c r="J362" s="25"/>
      <c r="K362" s="25"/>
      <c r="L362" s="28"/>
    </row>
    <row r="363" spans="4:12" x14ac:dyDescent="0.25">
      <c r="D363" s="231"/>
      <c r="E363" s="31">
        <v>141</v>
      </c>
      <c r="F363" s="23" t="s">
        <v>776</v>
      </c>
      <c r="G363" s="25" t="s">
        <v>894</v>
      </c>
      <c r="H363" s="24"/>
      <c r="I363" s="25"/>
      <c r="J363" s="25"/>
      <c r="K363" s="25"/>
      <c r="L363" s="28"/>
    </row>
    <row r="364" spans="4:12" x14ac:dyDescent="0.25">
      <c r="D364" s="231"/>
      <c r="E364" s="31">
        <v>142</v>
      </c>
      <c r="F364" s="23" t="s">
        <v>776</v>
      </c>
      <c r="G364" s="25" t="s">
        <v>894</v>
      </c>
      <c r="H364" s="24"/>
      <c r="I364" s="25"/>
      <c r="J364" s="25"/>
      <c r="K364" s="25"/>
      <c r="L364" s="28"/>
    </row>
    <row r="365" spans="4:12" x14ac:dyDescent="0.25">
      <c r="D365" s="231"/>
      <c r="E365" s="31">
        <v>143</v>
      </c>
      <c r="F365" s="23" t="s">
        <v>776</v>
      </c>
      <c r="G365" s="25" t="s">
        <v>894</v>
      </c>
      <c r="H365" s="24"/>
      <c r="I365" s="25"/>
      <c r="J365" s="25"/>
      <c r="K365" s="25"/>
      <c r="L365" s="28"/>
    </row>
    <row r="366" spans="4:12" x14ac:dyDescent="0.25">
      <c r="D366" s="231"/>
      <c r="E366" s="31">
        <v>144</v>
      </c>
      <c r="F366" s="23" t="s">
        <v>776</v>
      </c>
      <c r="G366" s="25" t="s">
        <v>894</v>
      </c>
      <c r="H366" s="24"/>
      <c r="I366" s="25"/>
      <c r="J366" s="25"/>
      <c r="K366" s="25"/>
      <c r="L366" s="28"/>
    </row>
    <row r="367" spans="4:12" x14ac:dyDescent="0.25">
      <c r="D367" s="231"/>
      <c r="E367" s="31">
        <v>145</v>
      </c>
      <c r="F367" s="23" t="s">
        <v>776</v>
      </c>
      <c r="G367" s="25" t="s">
        <v>894</v>
      </c>
      <c r="H367" s="24"/>
      <c r="I367" s="25"/>
      <c r="J367" s="25"/>
      <c r="K367" s="25"/>
      <c r="L367" s="28"/>
    </row>
    <row r="368" spans="4:12" x14ac:dyDescent="0.25">
      <c r="D368" s="231"/>
      <c r="E368" s="31">
        <v>146</v>
      </c>
      <c r="F368" s="23" t="s">
        <v>776</v>
      </c>
      <c r="G368" s="25" t="s">
        <v>894</v>
      </c>
      <c r="H368" s="24"/>
      <c r="I368" s="25"/>
      <c r="J368" s="25"/>
      <c r="K368" s="25"/>
      <c r="L368" s="28"/>
    </row>
    <row r="369" spans="4:12" x14ac:dyDescent="0.25">
      <c r="D369" s="231"/>
      <c r="E369" s="31">
        <v>147</v>
      </c>
      <c r="F369" s="23" t="s">
        <v>776</v>
      </c>
      <c r="G369" s="25" t="s">
        <v>894</v>
      </c>
      <c r="H369" s="24"/>
      <c r="I369" s="25"/>
      <c r="J369" s="25"/>
      <c r="K369" s="25"/>
      <c r="L369" s="28"/>
    </row>
    <row r="370" spans="4:12" x14ac:dyDescent="0.25">
      <c r="D370" s="231"/>
      <c r="E370" s="31">
        <v>148</v>
      </c>
      <c r="F370" s="23" t="s">
        <v>776</v>
      </c>
      <c r="G370" s="25" t="s">
        <v>894</v>
      </c>
      <c r="H370" s="24"/>
      <c r="I370" s="25"/>
      <c r="J370" s="25"/>
      <c r="K370" s="25"/>
      <c r="L370" s="28"/>
    </row>
    <row r="371" spans="4:12" x14ac:dyDescent="0.25">
      <c r="D371" s="231"/>
      <c r="E371" s="31">
        <v>149</v>
      </c>
      <c r="F371" s="23" t="s">
        <v>776</v>
      </c>
      <c r="G371" s="25" t="s">
        <v>894</v>
      </c>
      <c r="H371" s="24"/>
      <c r="I371" s="25"/>
      <c r="J371" s="25"/>
      <c r="K371" s="25"/>
      <c r="L371" s="28"/>
    </row>
    <row r="372" spans="4:12" x14ac:dyDescent="0.25">
      <c r="D372" s="231"/>
      <c r="E372" s="31">
        <v>150</v>
      </c>
      <c r="F372" s="23" t="s">
        <v>776</v>
      </c>
      <c r="G372" s="25" t="s">
        <v>894</v>
      </c>
      <c r="H372" s="24"/>
      <c r="I372" s="25"/>
      <c r="J372" s="25"/>
      <c r="K372" s="25"/>
      <c r="L372" s="28"/>
    </row>
    <row r="373" spans="4:12" x14ac:dyDescent="0.25">
      <c r="D373" s="231"/>
      <c r="E373" s="31">
        <v>151</v>
      </c>
      <c r="F373" s="23" t="s">
        <v>776</v>
      </c>
      <c r="G373" s="25" t="s">
        <v>894</v>
      </c>
      <c r="H373" s="24"/>
      <c r="I373" s="25"/>
      <c r="J373" s="25"/>
      <c r="K373" s="25"/>
      <c r="L373" s="28"/>
    </row>
    <row r="374" spans="4:12" x14ac:dyDescent="0.25">
      <c r="D374" s="231"/>
      <c r="E374" s="31">
        <v>152</v>
      </c>
      <c r="F374" s="23" t="s">
        <v>776</v>
      </c>
      <c r="G374" s="25" t="s">
        <v>894</v>
      </c>
      <c r="H374" s="24"/>
      <c r="I374" s="25"/>
      <c r="J374" s="25"/>
      <c r="K374" s="25"/>
      <c r="L374" s="28"/>
    </row>
    <row r="375" spans="4:12" x14ac:dyDescent="0.25">
      <c r="D375" s="231"/>
      <c r="E375" s="31">
        <v>153</v>
      </c>
      <c r="F375" s="23" t="s">
        <v>776</v>
      </c>
      <c r="G375" s="25" t="s">
        <v>894</v>
      </c>
      <c r="H375" s="24"/>
      <c r="I375" s="25"/>
      <c r="J375" s="25"/>
      <c r="K375" s="25"/>
      <c r="L375" s="28"/>
    </row>
    <row r="376" spans="4:12" x14ac:dyDescent="0.25">
      <c r="D376" s="231"/>
      <c r="E376" s="220">
        <v>154</v>
      </c>
      <c r="F376" s="221" t="s">
        <v>777</v>
      </c>
      <c r="G376" s="222" t="s">
        <v>895</v>
      </c>
      <c r="H376" s="223"/>
      <c r="I376" s="222"/>
      <c r="J376" s="222"/>
      <c r="K376" s="222"/>
      <c r="L376" s="28"/>
    </row>
    <row r="377" spans="4:12" x14ac:dyDescent="0.25">
      <c r="D377" s="231"/>
      <c r="E377" s="220">
        <v>155</v>
      </c>
      <c r="F377" s="221" t="s">
        <v>777</v>
      </c>
      <c r="G377" s="222" t="s">
        <v>895</v>
      </c>
      <c r="H377" s="223"/>
      <c r="I377" s="222"/>
      <c r="J377" s="222"/>
      <c r="K377" s="222"/>
      <c r="L377" s="28"/>
    </row>
    <row r="378" spans="4:12" x14ac:dyDescent="0.25">
      <c r="D378" s="231"/>
      <c r="E378" s="220">
        <v>156</v>
      </c>
      <c r="F378" s="221" t="s">
        <v>777</v>
      </c>
      <c r="G378" s="222" t="s">
        <v>895</v>
      </c>
      <c r="H378" s="223"/>
      <c r="I378" s="222"/>
      <c r="J378" s="222"/>
      <c r="K378" s="222"/>
      <c r="L378" s="28"/>
    </row>
    <row r="379" spans="4:12" x14ac:dyDescent="0.25">
      <c r="D379" s="231"/>
      <c r="E379" s="220">
        <v>157</v>
      </c>
      <c r="F379" s="221" t="s">
        <v>777</v>
      </c>
      <c r="G379" s="222" t="s">
        <v>895</v>
      </c>
      <c r="H379" s="223"/>
      <c r="I379" s="222"/>
      <c r="J379" s="222"/>
      <c r="K379" s="222"/>
      <c r="L379" s="28"/>
    </row>
    <row r="380" spans="4:12" x14ac:dyDescent="0.25">
      <c r="D380" s="231"/>
      <c r="E380" s="220">
        <v>158</v>
      </c>
      <c r="F380" s="221" t="s">
        <v>777</v>
      </c>
      <c r="G380" s="222" t="s">
        <v>895</v>
      </c>
      <c r="H380" s="223"/>
      <c r="I380" s="222"/>
      <c r="J380" s="222"/>
      <c r="K380" s="222"/>
      <c r="L380" s="28"/>
    </row>
    <row r="381" spans="4:12" x14ac:dyDescent="0.25">
      <c r="D381" s="231"/>
      <c r="E381" s="220">
        <v>159</v>
      </c>
      <c r="F381" s="221" t="s">
        <v>777</v>
      </c>
      <c r="G381" s="222" t="s">
        <v>895</v>
      </c>
      <c r="H381" s="223"/>
      <c r="I381" s="222"/>
      <c r="J381" s="222"/>
      <c r="K381" s="222"/>
      <c r="L381" s="28"/>
    </row>
    <row r="382" spans="4:12" x14ac:dyDescent="0.25">
      <c r="D382" s="231"/>
      <c r="E382" s="220">
        <v>160</v>
      </c>
      <c r="F382" s="221" t="s">
        <v>777</v>
      </c>
      <c r="G382" s="222" t="s">
        <v>895</v>
      </c>
      <c r="H382" s="223"/>
      <c r="I382" s="222"/>
      <c r="J382" s="222"/>
      <c r="K382" s="222"/>
      <c r="L382" s="28"/>
    </row>
    <row r="383" spans="4:12" x14ac:dyDescent="0.25">
      <c r="D383" s="231"/>
      <c r="E383" s="220">
        <v>161</v>
      </c>
      <c r="F383" s="221" t="s">
        <v>777</v>
      </c>
      <c r="G383" s="222" t="s">
        <v>895</v>
      </c>
      <c r="H383" s="223"/>
      <c r="I383" s="222"/>
      <c r="J383" s="222"/>
      <c r="K383" s="222"/>
      <c r="L383" s="28"/>
    </row>
    <row r="384" spans="4:12" x14ac:dyDescent="0.25">
      <c r="D384" s="231"/>
      <c r="E384" s="220">
        <v>162</v>
      </c>
      <c r="F384" s="221" t="s">
        <v>777</v>
      </c>
      <c r="G384" s="222" t="s">
        <v>895</v>
      </c>
      <c r="H384" s="223"/>
      <c r="I384" s="222"/>
      <c r="J384" s="222"/>
      <c r="K384" s="222"/>
      <c r="L384" s="28"/>
    </row>
    <row r="385" spans="4:12" x14ac:dyDescent="0.25">
      <c r="D385" s="231"/>
      <c r="E385" s="220">
        <v>163</v>
      </c>
      <c r="F385" s="221" t="s">
        <v>777</v>
      </c>
      <c r="G385" s="222" t="s">
        <v>895</v>
      </c>
      <c r="H385" s="223"/>
      <c r="I385" s="222"/>
      <c r="J385" s="222"/>
      <c r="K385" s="222"/>
      <c r="L385" s="28"/>
    </row>
    <row r="386" spans="4:12" x14ac:dyDescent="0.25">
      <c r="D386" s="231"/>
      <c r="E386" s="220">
        <v>164</v>
      </c>
      <c r="F386" s="221" t="s">
        <v>777</v>
      </c>
      <c r="G386" s="222" t="s">
        <v>895</v>
      </c>
      <c r="H386" s="223"/>
      <c r="I386" s="222"/>
      <c r="J386" s="222"/>
      <c r="K386" s="222"/>
      <c r="L386" s="28"/>
    </row>
    <row r="387" spans="4:12" x14ac:dyDescent="0.25">
      <c r="D387" s="231"/>
      <c r="E387" s="220">
        <v>165</v>
      </c>
      <c r="F387" s="221" t="s">
        <v>777</v>
      </c>
      <c r="G387" s="222" t="s">
        <v>895</v>
      </c>
      <c r="H387" s="223"/>
      <c r="I387" s="222"/>
      <c r="J387" s="222"/>
      <c r="K387" s="222"/>
      <c r="L387" s="28"/>
    </row>
    <row r="388" spans="4:12" x14ac:dyDescent="0.25">
      <c r="D388" s="231"/>
      <c r="E388" s="220">
        <v>166</v>
      </c>
      <c r="F388" s="221" t="s">
        <v>777</v>
      </c>
      <c r="G388" s="222" t="s">
        <v>895</v>
      </c>
      <c r="H388" s="223"/>
      <c r="I388" s="222"/>
      <c r="J388" s="222"/>
      <c r="K388" s="222"/>
      <c r="L388" s="28"/>
    </row>
    <row r="389" spans="4:12" x14ac:dyDescent="0.25">
      <c r="D389" s="231"/>
      <c r="E389" s="220">
        <v>167</v>
      </c>
      <c r="F389" s="221" t="s">
        <v>777</v>
      </c>
      <c r="G389" s="222" t="s">
        <v>895</v>
      </c>
      <c r="H389" s="223"/>
      <c r="I389" s="222"/>
      <c r="J389" s="222"/>
      <c r="K389" s="222"/>
      <c r="L389" s="28"/>
    </row>
    <row r="390" spans="4:12" x14ac:dyDescent="0.25">
      <c r="D390" s="231"/>
      <c r="E390" s="220">
        <v>168</v>
      </c>
      <c r="F390" s="221" t="s">
        <v>777</v>
      </c>
      <c r="G390" s="222" t="s">
        <v>895</v>
      </c>
      <c r="H390" s="223"/>
      <c r="I390" s="222"/>
      <c r="J390" s="222"/>
      <c r="K390" s="222"/>
      <c r="L390" s="28"/>
    </row>
    <row r="391" spans="4:12" x14ac:dyDescent="0.25">
      <c r="D391" s="231"/>
      <c r="E391" s="220">
        <v>169</v>
      </c>
      <c r="F391" s="221" t="s">
        <v>777</v>
      </c>
      <c r="G391" s="222" t="s">
        <v>895</v>
      </c>
      <c r="H391" s="223"/>
      <c r="I391" s="222"/>
      <c r="J391" s="222"/>
      <c r="K391" s="222"/>
      <c r="L391" s="28"/>
    </row>
    <row r="392" spans="4:12" x14ac:dyDescent="0.25">
      <c r="D392" s="231"/>
      <c r="E392" s="220">
        <v>170</v>
      </c>
      <c r="F392" s="221" t="s">
        <v>777</v>
      </c>
      <c r="G392" s="222" t="s">
        <v>895</v>
      </c>
      <c r="H392" s="223"/>
      <c r="I392" s="222"/>
      <c r="J392" s="222"/>
      <c r="K392" s="222"/>
      <c r="L392" s="28"/>
    </row>
    <row r="393" spans="4:12" x14ac:dyDescent="0.25">
      <c r="D393" s="231"/>
      <c r="E393" s="220">
        <v>171</v>
      </c>
      <c r="F393" s="221" t="s">
        <v>777</v>
      </c>
      <c r="G393" s="222" t="s">
        <v>895</v>
      </c>
      <c r="H393" s="223"/>
      <c r="I393" s="222"/>
      <c r="J393" s="222"/>
      <c r="K393" s="222"/>
      <c r="L393" s="28"/>
    </row>
    <row r="394" spans="4:12" x14ac:dyDescent="0.25">
      <c r="D394" s="231"/>
      <c r="E394" s="31">
        <v>172</v>
      </c>
      <c r="F394" s="23" t="s">
        <v>778</v>
      </c>
      <c r="G394" s="25" t="s">
        <v>896</v>
      </c>
      <c r="H394" s="24"/>
      <c r="I394" s="25"/>
      <c r="J394" s="25"/>
      <c r="K394" s="25"/>
      <c r="L394" s="28"/>
    </row>
    <row r="395" spans="4:12" x14ac:dyDescent="0.25">
      <c r="D395" s="231"/>
      <c r="E395" s="31">
        <v>173</v>
      </c>
      <c r="F395" s="23" t="s">
        <v>778</v>
      </c>
      <c r="G395" s="25" t="s">
        <v>896</v>
      </c>
      <c r="H395" s="24"/>
      <c r="I395" s="25"/>
      <c r="J395" s="25"/>
      <c r="K395" s="25"/>
      <c r="L395" s="28"/>
    </row>
    <row r="396" spans="4:12" x14ac:dyDescent="0.25">
      <c r="D396" s="231"/>
      <c r="E396" s="31">
        <v>174</v>
      </c>
      <c r="F396" s="23" t="s">
        <v>778</v>
      </c>
      <c r="G396" s="25" t="s">
        <v>896</v>
      </c>
      <c r="H396" s="24"/>
      <c r="I396" s="25"/>
      <c r="J396" s="25"/>
      <c r="K396" s="25"/>
      <c r="L396" s="28"/>
    </row>
    <row r="397" spans="4:12" x14ac:dyDescent="0.25">
      <c r="D397" s="231"/>
      <c r="E397" s="31">
        <v>175</v>
      </c>
      <c r="F397" s="23" t="s">
        <v>778</v>
      </c>
      <c r="G397" s="25" t="s">
        <v>896</v>
      </c>
      <c r="H397" s="24"/>
      <c r="I397" s="25"/>
      <c r="J397" s="25"/>
      <c r="K397" s="25"/>
      <c r="L397" s="28"/>
    </row>
    <row r="398" spans="4:12" x14ac:dyDescent="0.25">
      <c r="D398" s="231"/>
      <c r="E398" s="31">
        <v>176</v>
      </c>
      <c r="F398" s="23" t="s">
        <v>778</v>
      </c>
      <c r="G398" s="25" t="s">
        <v>896</v>
      </c>
      <c r="H398" s="24"/>
      <c r="I398" s="25"/>
      <c r="J398" s="25"/>
      <c r="K398" s="25"/>
      <c r="L398" s="28"/>
    </row>
    <row r="399" spans="4:12" x14ac:dyDescent="0.25">
      <c r="D399" s="231"/>
      <c r="E399" s="31">
        <v>177</v>
      </c>
      <c r="F399" s="23" t="s">
        <v>778</v>
      </c>
      <c r="G399" s="25" t="s">
        <v>896</v>
      </c>
      <c r="H399" s="24"/>
      <c r="I399" s="25"/>
      <c r="J399" s="25"/>
      <c r="K399" s="25"/>
      <c r="L399" s="28"/>
    </row>
    <row r="400" spans="4:12" x14ac:dyDescent="0.25">
      <c r="D400" s="231"/>
      <c r="E400" s="31">
        <v>178</v>
      </c>
      <c r="F400" s="23" t="s">
        <v>778</v>
      </c>
      <c r="G400" s="25" t="s">
        <v>896</v>
      </c>
      <c r="H400" s="24"/>
      <c r="I400" s="25"/>
      <c r="J400" s="25"/>
      <c r="K400" s="25"/>
      <c r="L400" s="28"/>
    </row>
    <row r="401" spans="4:12" x14ac:dyDescent="0.25">
      <c r="D401" s="231"/>
      <c r="E401" s="31">
        <v>179</v>
      </c>
      <c r="F401" s="23" t="s">
        <v>778</v>
      </c>
      <c r="G401" s="25" t="s">
        <v>896</v>
      </c>
      <c r="H401" s="24"/>
      <c r="I401" s="25"/>
      <c r="J401" s="25"/>
      <c r="K401" s="25"/>
      <c r="L401" s="28"/>
    </row>
    <row r="402" spans="4:12" x14ac:dyDescent="0.25">
      <c r="D402" s="231"/>
      <c r="E402" s="31">
        <v>180</v>
      </c>
      <c r="F402" s="23" t="s">
        <v>778</v>
      </c>
      <c r="G402" s="25" t="s">
        <v>896</v>
      </c>
      <c r="H402" s="24"/>
      <c r="I402" s="25"/>
      <c r="J402" s="25"/>
      <c r="K402" s="25"/>
      <c r="L402" s="28"/>
    </row>
    <row r="403" spans="4:12" x14ac:dyDescent="0.25">
      <c r="D403" s="231"/>
      <c r="E403" s="31">
        <v>181</v>
      </c>
      <c r="F403" s="23" t="s">
        <v>778</v>
      </c>
      <c r="G403" s="25" t="s">
        <v>896</v>
      </c>
      <c r="H403" s="24"/>
      <c r="I403" s="25"/>
      <c r="J403" s="25"/>
      <c r="K403" s="25"/>
      <c r="L403" s="28"/>
    </row>
    <row r="404" spans="4:12" x14ac:dyDescent="0.25">
      <c r="D404" s="231"/>
      <c r="E404" s="31">
        <v>182</v>
      </c>
      <c r="F404" s="23" t="s">
        <v>778</v>
      </c>
      <c r="G404" s="25" t="s">
        <v>896</v>
      </c>
      <c r="H404" s="24"/>
      <c r="I404" s="25"/>
      <c r="J404" s="25"/>
      <c r="K404" s="25"/>
      <c r="L404" s="28"/>
    </row>
    <row r="405" spans="4:12" x14ac:dyDescent="0.25">
      <c r="D405" s="231"/>
      <c r="E405" s="31">
        <v>183</v>
      </c>
      <c r="F405" s="23" t="s">
        <v>778</v>
      </c>
      <c r="G405" s="25" t="s">
        <v>896</v>
      </c>
      <c r="H405" s="24"/>
      <c r="I405" s="25"/>
      <c r="J405" s="25"/>
      <c r="K405" s="25"/>
      <c r="L405" s="28"/>
    </row>
    <row r="406" spans="4:12" x14ac:dyDescent="0.25">
      <c r="D406" s="231"/>
      <c r="E406" s="31">
        <v>184</v>
      </c>
      <c r="F406" s="23" t="s">
        <v>778</v>
      </c>
      <c r="G406" s="25" t="s">
        <v>896</v>
      </c>
      <c r="H406" s="24"/>
      <c r="I406" s="25"/>
      <c r="J406" s="25"/>
      <c r="K406" s="25"/>
      <c r="L406" s="28"/>
    </row>
    <row r="407" spans="4:12" x14ac:dyDescent="0.25">
      <c r="D407" s="231"/>
      <c r="E407" s="31">
        <v>185</v>
      </c>
      <c r="F407" s="23" t="s">
        <v>778</v>
      </c>
      <c r="G407" s="25" t="s">
        <v>896</v>
      </c>
      <c r="H407" s="24"/>
      <c r="I407" s="25"/>
      <c r="J407" s="25"/>
      <c r="K407" s="25"/>
      <c r="L407" s="28"/>
    </row>
    <row r="408" spans="4:12" x14ac:dyDescent="0.25">
      <c r="D408" s="231"/>
      <c r="E408" s="31">
        <v>186</v>
      </c>
      <c r="F408" s="23" t="s">
        <v>778</v>
      </c>
      <c r="G408" s="25" t="s">
        <v>896</v>
      </c>
      <c r="H408" s="24"/>
      <c r="I408" s="25"/>
      <c r="J408" s="25"/>
      <c r="K408" s="25"/>
      <c r="L408" s="28"/>
    </row>
    <row r="409" spans="4:12" x14ac:dyDescent="0.25">
      <c r="D409" s="231"/>
      <c r="E409" s="31">
        <v>187</v>
      </c>
      <c r="F409" s="23" t="s">
        <v>778</v>
      </c>
      <c r="G409" s="25" t="s">
        <v>896</v>
      </c>
      <c r="H409" s="24"/>
      <c r="I409" s="25"/>
      <c r="J409" s="25"/>
      <c r="K409" s="25"/>
      <c r="L409" s="28"/>
    </row>
    <row r="410" spans="4:12" x14ac:dyDescent="0.25">
      <c r="D410" s="231"/>
      <c r="E410" s="31">
        <v>188</v>
      </c>
      <c r="F410" s="23" t="s">
        <v>778</v>
      </c>
      <c r="G410" s="25" t="s">
        <v>896</v>
      </c>
      <c r="H410" s="24"/>
      <c r="I410" s="25"/>
      <c r="J410" s="25"/>
      <c r="K410" s="25"/>
      <c r="L410" s="28"/>
    </row>
    <row r="411" spans="4:12" x14ac:dyDescent="0.25">
      <c r="D411" s="231"/>
      <c r="E411" s="31">
        <v>189</v>
      </c>
      <c r="F411" s="23" t="s">
        <v>778</v>
      </c>
      <c r="G411" s="25" t="s">
        <v>896</v>
      </c>
      <c r="H411" s="24"/>
      <c r="I411" s="25"/>
      <c r="J411" s="25"/>
      <c r="K411" s="25"/>
      <c r="L411" s="28"/>
    </row>
    <row r="412" spans="4:12" x14ac:dyDescent="0.25">
      <c r="D412" s="231"/>
      <c r="E412" s="31">
        <v>190</v>
      </c>
      <c r="F412" s="23" t="s">
        <v>778</v>
      </c>
      <c r="G412" s="25" t="s">
        <v>896</v>
      </c>
      <c r="H412" s="24"/>
      <c r="I412" s="25"/>
      <c r="J412" s="25"/>
      <c r="K412" s="25"/>
      <c r="L412" s="28"/>
    </row>
    <row r="413" spans="4:12" x14ac:dyDescent="0.25">
      <c r="D413" s="231"/>
      <c r="E413" s="220">
        <v>191</v>
      </c>
      <c r="F413" s="221" t="s">
        <v>779</v>
      </c>
      <c r="G413" s="222" t="s">
        <v>897</v>
      </c>
      <c r="H413" s="223"/>
      <c r="I413" s="222"/>
      <c r="J413" s="222"/>
      <c r="K413" s="222"/>
      <c r="L413" s="28"/>
    </row>
    <row r="414" spans="4:12" x14ac:dyDescent="0.25">
      <c r="D414" s="231"/>
      <c r="E414" s="220">
        <v>192</v>
      </c>
      <c r="F414" s="221" t="s">
        <v>779</v>
      </c>
      <c r="G414" s="222" t="s">
        <v>897</v>
      </c>
      <c r="H414" s="223"/>
      <c r="I414" s="222"/>
      <c r="J414" s="222"/>
      <c r="K414" s="222"/>
      <c r="L414" s="28"/>
    </row>
    <row r="415" spans="4:12" x14ac:dyDescent="0.25">
      <c r="D415" s="231"/>
      <c r="E415" s="220">
        <v>193</v>
      </c>
      <c r="F415" s="221" t="s">
        <v>779</v>
      </c>
      <c r="G415" s="222" t="s">
        <v>897</v>
      </c>
      <c r="H415" s="223"/>
      <c r="I415" s="222"/>
      <c r="J415" s="222"/>
      <c r="K415" s="222"/>
      <c r="L415" s="28"/>
    </row>
    <row r="416" spans="4:12" x14ac:dyDescent="0.25">
      <c r="D416" s="231"/>
      <c r="E416" s="220">
        <v>194</v>
      </c>
      <c r="F416" s="221" t="s">
        <v>779</v>
      </c>
      <c r="G416" s="222" t="s">
        <v>897</v>
      </c>
      <c r="H416" s="223"/>
      <c r="I416" s="222"/>
      <c r="J416" s="222"/>
      <c r="K416" s="222"/>
      <c r="L416" s="28"/>
    </row>
    <row r="417" spans="4:12" x14ac:dyDescent="0.25">
      <c r="D417" s="231"/>
      <c r="E417" s="220">
        <v>195</v>
      </c>
      <c r="F417" s="221" t="s">
        <v>779</v>
      </c>
      <c r="G417" s="222" t="s">
        <v>897</v>
      </c>
      <c r="H417" s="223"/>
      <c r="I417" s="222"/>
      <c r="J417" s="222"/>
      <c r="K417" s="222"/>
      <c r="L417" s="28"/>
    </row>
    <row r="418" spans="4:12" x14ac:dyDescent="0.25">
      <c r="D418" s="231"/>
      <c r="E418" s="220">
        <v>196</v>
      </c>
      <c r="F418" s="221" t="s">
        <v>779</v>
      </c>
      <c r="G418" s="222" t="s">
        <v>897</v>
      </c>
      <c r="H418" s="223"/>
      <c r="I418" s="222"/>
      <c r="J418" s="222"/>
      <c r="K418" s="222"/>
      <c r="L418" s="28"/>
    </row>
    <row r="419" spans="4:12" x14ac:dyDescent="0.25">
      <c r="D419" s="231"/>
      <c r="E419" s="220">
        <v>197</v>
      </c>
      <c r="F419" s="221" t="s">
        <v>779</v>
      </c>
      <c r="G419" s="222" t="s">
        <v>897</v>
      </c>
      <c r="H419" s="223"/>
      <c r="I419" s="222"/>
      <c r="J419" s="222"/>
      <c r="K419" s="222"/>
      <c r="L419" s="28"/>
    </row>
    <row r="420" spans="4:12" x14ac:dyDescent="0.25">
      <c r="D420" s="231"/>
      <c r="E420" s="220">
        <v>198</v>
      </c>
      <c r="F420" s="221" t="s">
        <v>779</v>
      </c>
      <c r="G420" s="222" t="s">
        <v>897</v>
      </c>
      <c r="H420" s="223"/>
      <c r="I420" s="222"/>
      <c r="J420" s="222"/>
      <c r="K420" s="222"/>
      <c r="L420" s="28"/>
    </row>
    <row r="421" spans="4:12" x14ac:dyDescent="0.25">
      <c r="D421" s="231"/>
      <c r="E421" s="220">
        <v>199</v>
      </c>
      <c r="F421" s="221" t="s">
        <v>779</v>
      </c>
      <c r="G421" s="222" t="s">
        <v>897</v>
      </c>
      <c r="H421" s="223"/>
      <c r="I421" s="222"/>
      <c r="J421" s="222"/>
      <c r="K421" s="222"/>
      <c r="L421" s="28"/>
    </row>
    <row r="422" spans="4:12" x14ac:dyDescent="0.25">
      <c r="D422" s="231"/>
      <c r="E422" s="220">
        <v>200</v>
      </c>
      <c r="F422" s="221" t="s">
        <v>779</v>
      </c>
      <c r="G422" s="222" t="s">
        <v>897</v>
      </c>
      <c r="H422" s="223"/>
      <c r="I422" s="222"/>
      <c r="J422" s="222"/>
      <c r="K422" s="222"/>
      <c r="L422" s="28"/>
    </row>
    <row r="423" spans="4:12" x14ac:dyDescent="0.25">
      <c r="D423" s="231"/>
      <c r="E423" s="220">
        <v>201</v>
      </c>
      <c r="F423" s="221" t="s">
        <v>779</v>
      </c>
      <c r="G423" s="222" t="s">
        <v>897</v>
      </c>
      <c r="H423" s="223"/>
      <c r="I423" s="222"/>
      <c r="J423" s="222"/>
      <c r="K423" s="222"/>
      <c r="L423" s="28"/>
    </row>
    <row r="424" spans="4:12" x14ac:dyDescent="0.25">
      <c r="D424" s="231"/>
      <c r="E424" s="220">
        <v>202</v>
      </c>
      <c r="F424" s="221" t="s">
        <v>779</v>
      </c>
      <c r="G424" s="222" t="s">
        <v>897</v>
      </c>
      <c r="H424" s="223"/>
      <c r="I424" s="222"/>
      <c r="J424" s="222"/>
      <c r="K424" s="222"/>
      <c r="L424" s="28"/>
    </row>
    <row r="425" spans="4:12" x14ac:dyDescent="0.25">
      <c r="D425" s="231"/>
      <c r="E425" s="220">
        <v>203</v>
      </c>
      <c r="F425" s="221" t="s">
        <v>779</v>
      </c>
      <c r="G425" s="222" t="s">
        <v>897</v>
      </c>
      <c r="H425" s="223"/>
      <c r="I425" s="222"/>
      <c r="J425" s="222"/>
      <c r="K425" s="222"/>
      <c r="L425" s="28"/>
    </row>
    <row r="426" spans="4:12" x14ac:dyDescent="0.25">
      <c r="D426" s="231"/>
      <c r="E426" s="220">
        <v>204</v>
      </c>
      <c r="F426" s="221" t="s">
        <v>779</v>
      </c>
      <c r="G426" s="222" t="s">
        <v>897</v>
      </c>
      <c r="H426" s="223"/>
      <c r="I426" s="222"/>
      <c r="J426" s="222"/>
      <c r="K426" s="222"/>
      <c r="L426" s="28"/>
    </row>
    <row r="427" spans="4:12" x14ac:dyDescent="0.25">
      <c r="D427" s="231"/>
      <c r="E427" s="220">
        <v>205</v>
      </c>
      <c r="F427" s="221" t="s">
        <v>779</v>
      </c>
      <c r="G427" s="222" t="s">
        <v>897</v>
      </c>
      <c r="H427" s="223"/>
      <c r="I427" s="222"/>
      <c r="J427" s="222"/>
      <c r="K427" s="222"/>
      <c r="L427" s="28"/>
    </row>
    <row r="428" spans="4:12" x14ac:dyDescent="0.25">
      <c r="D428" s="231"/>
      <c r="E428" s="220">
        <v>206</v>
      </c>
      <c r="F428" s="221" t="s">
        <v>779</v>
      </c>
      <c r="G428" s="222" t="s">
        <v>897</v>
      </c>
      <c r="H428" s="223"/>
      <c r="I428" s="222"/>
      <c r="J428" s="222"/>
      <c r="K428" s="222"/>
      <c r="L428" s="28"/>
    </row>
    <row r="429" spans="4:12" x14ac:dyDescent="0.25">
      <c r="D429" s="231"/>
      <c r="E429" s="220">
        <v>207</v>
      </c>
      <c r="F429" s="221" t="s">
        <v>779</v>
      </c>
      <c r="G429" s="222" t="s">
        <v>897</v>
      </c>
      <c r="H429" s="223"/>
      <c r="I429" s="222"/>
      <c r="J429" s="222"/>
      <c r="K429" s="222"/>
      <c r="L429" s="28"/>
    </row>
    <row r="430" spans="4:12" x14ac:dyDescent="0.25">
      <c r="D430" s="231"/>
      <c r="E430" s="220">
        <v>208</v>
      </c>
      <c r="F430" s="221" t="s">
        <v>779</v>
      </c>
      <c r="G430" s="222" t="s">
        <v>897</v>
      </c>
      <c r="H430" s="223"/>
      <c r="I430" s="222"/>
      <c r="J430" s="222"/>
      <c r="K430" s="222"/>
      <c r="L430" s="28"/>
    </row>
    <row r="431" spans="4:12" x14ac:dyDescent="0.25">
      <c r="D431" s="231"/>
      <c r="E431" s="220">
        <v>209</v>
      </c>
      <c r="F431" s="221" t="s">
        <v>779</v>
      </c>
      <c r="G431" s="222" t="s">
        <v>897</v>
      </c>
      <c r="H431" s="223"/>
      <c r="I431" s="222"/>
      <c r="J431" s="222"/>
      <c r="K431" s="222"/>
      <c r="L431" s="28"/>
    </row>
    <row r="432" spans="4:12" x14ac:dyDescent="0.25">
      <c r="D432" s="231"/>
      <c r="E432" s="220">
        <v>210</v>
      </c>
      <c r="F432" s="221" t="s">
        <v>779</v>
      </c>
      <c r="G432" s="222" t="s">
        <v>897</v>
      </c>
      <c r="H432" s="223"/>
      <c r="I432" s="222"/>
      <c r="J432" s="222"/>
      <c r="K432" s="222"/>
      <c r="L432" s="28"/>
    </row>
    <row r="433" spans="4:12" x14ac:dyDescent="0.25">
      <c r="D433" s="231"/>
      <c r="E433" s="31">
        <v>211</v>
      </c>
      <c r="F433" s="23" t="s">
        <v>780</v>
      </c>
      <c r="G433" s="25" t="s">
        <v>898</v>
      </c>
      <c r="H433" s="24"/>
      <c r="I433" s="25"/>
      <c r="J433" s="25"/>
      <c r="K433" s="25"/>
      <c r="L433" s="28"/>
    </row>
    <row r="434" spans="4:12" x14ac:dyDescent="0.25">
      <c r="D434" s="231"/>
      <c r="E434" s="31">
        <v>212</v>
      </c>
      <c r="F434" s="23" t="s">
        <v>780</v>
      </c>
      <c r="G434" s="25" t="s">
        <v>898</v>
      </c>
      <c r="H434" s="24"/>
      <c r="I434" s="25"/>
      <c r="J434" s="25"/>
      <c r="K434" s="25"/>
      <c r="L434" s="28"/>
    </row>
    <row r="435" spans="4:12" x14ac:dyDescent="0.25">
      <c r="D435" s="231"/>
      <c r="E435" s="31">
        <v>213</v>
      </c>
      <c r="F435" s="23" t="s">
        <v>780</v>
      </c>
      <c r="G435" s="25" t="s">
        <v>898</v>
      </c>
      <c r="H435" s="24"/>
      <c r="I435" s="25"/>
      <c r="J435" s="25"/>
      <c r="K435" s="25"/>
      <c r="L435" s="28"/>
    </row>
    <row r="436" spans="4:12" x14ac:dyDescent="0.25">
      <c r="D436" s="231"/>
      <c r="E436" s="31">
        <v>214</v>
      </c>
      <c r="F436" s="23" t="s">
        <v>780</v>
      </c>
      <c r="G436" s="25" t="s">
        <v>898</v>
      </c>
      <c r="H436" s="24"/>
      <c r="I436" s="25"/>
      <c r="J436" s="25"/>
      <c r="K436" s="25"/>
      <c r="L436" s="28"/>
    </row>
    <row r="437" spans="4:12" x14ac:dyDescent="0.25">
      <c r="D437" s="231"/>
      <c r="E437" s="31">
        <v>215</v>
      </c>
      <c r="F437" s="23" t="s">
        <v>780</v>
      </c>
      <c r="G437" s="25" t="s">
        <v>898</v>
      </c>
      <c r="H437" s="24"/>
      <c r="I437" s="25"/>
      <c r="J437" s="25"/>
      <c r="K437" s="25"/>
      <c r="L437" s="28"/>
    </row>
    <row r="438" spans="4:12" x14ac:dyDescent="0.25">
      <c r="D438" s="231"/>
      <c r="E438" s="31">
        <v>216</v>
      </c>
      <c r="F438" s="23" t="s">
        <v>780</v>
      </c>
      <c r="G438" s="25" t="s">
        <v>898</v>
      </c>
      <c r="H438" s="24"/>
      <c r="I438" s="25"/>
      <c r="J438" s="25"/>
      <c r="K438" s="25"/>
      <c r="L438" s="28"/>
    </row>
    <row r="439" spans="4:12" x14ac:dyDescent="0.25">
      <c r="D439" s="231"/>
      <c r="E439" s="31">
        <v>217</v>
      </c>
      <c r="F439" s="23" t="s">
        <v>780</v>
      </c>
      <c r="G439" s="25" t="s">
        <v>898</v>
      </c>
      <c r="H439" s="24"/>
      <c r="I439" s="25"/>
      <c r="J439" s="25"/>
      <c r="K439" s="25"/>
      <c r="L439" s="28"/>
    </row>
    <row r="440" spans="4:12" x14ac:dyDescent="0.25">
      <c r="D440" s="231"/>
      <c r="E440" s="31">
        <v>218</v>
      </c>
      <c r="F440" s="23" t="s">
        <v>780</v>
      </c>
      <c r="G440" s="25" t="s">
        <v>898</v>
      </c>
      <c r="H440" s="24"/>
      <c r="I440" s="25"/>
      <c r="J440" s="25"/>
      <c r="K440" s="25"/>
      <c r="L440" s="28"/>
    </row>
    <row r="441" spans="4:12" x14ac:dyDescent="0.25">
      <c r="D441" s="231"/>
      <c r="E441" s="31">
        <v>219</v>
      </c>
      <c r="F441" s="23" t="s">
        <v>780</v>
      </c>
      <c r="G441" s="25" t="s">
        <v>898</v>
      </c>
      <c r="H441" s="24"/>
      <c r="I441" s="25"/>
      <c r="J441" s="25"/>
      <c r="K441" s="25"/>
      <c r="L441" s="28"/>
    </row>
    <row r="442" spans="4:12" x14ac:dyDescent="0.25">
      <c r="D442" s="231"/>
      <c r="E442" s="31">
        <v>220</v>
      </c>
      <c r="F442" s="23" t="s">
        <v>780</v>
      </c>
      <c r="G442" s="25" t="s">
        <v>898</v>
      </c>
      <c r="H442" s="24"/>
      <c r="I442" s="25"/>
      <c r="J442" s="25"/>
      <c r="K442" s="25"/>
      <c r="L442" s="28"/>
    </row>
    <row r="443" spans="4:12" x14ac:dyDescent="0.25">
      <c r="D443" s="231"/>
      <c r="E443" s="31">
        <v>221</v>
      </c>
      <c r="F443" s="23" t="s">
        <v>780</v>
      </c>
      <c r="G443" s="25" t="s">
        <v>898</v>
      </c>
      <c r="H443" s="24"/>
      <c r="I443" s="25"/>
      <c r="J443" s="25"/>
      <c r="K443" s="25"/>
      <c r="L443" s="28"/>
    </row>
    <row r="444" spans="4:12" x14ac:dyDescent="0.25">
      <c r="D444" s="231"/>
      <c r="E444" s="31">
        <v>222</v>
      </c>
      <c r="F444" s="23" t="s">
        <v>780</v>
      </c>
      <c r="G444" s="25" t="s">
        <v>898</v>
      </c>
      <c r="H444" s="24"/>
      <c r="I444" s="25"/>
      <c r="J444" s="25"/>
      <c r="K444" s="25"/>
      <c r="L444" s="28"/>
    </row>
    <row r="445" spans="4:12" x14ac:dyDescent="0.25">
      <c r="D445" s="231"/>
      <c r="E445" s="31">
        <v>223</v>
      </c>
      <c r="F445" s="23" t="s">
        <v>780</v>
      </c>
      <c r="G445" s="25" t="s">
        <v>898</v>
      </c>
      <c r="H445" s="24"/>
      <c r="I445" s="25"/>
      <c r="J445" s="25"/>
      <c r="K445" s="25"/>
      <c r="L445" s="28"/>
    </row>
    <row r="446" spans="4:12" x14ac:dyDescent="0.25">
      <c r="D446" s="231"/>
      <c r="E446" s="31">
        <v>224</v>
      </c>
      <c r="F446" s="23" t="s">
        <v>780</v>
      </c>
      <c r="G446" s="25" t="s">
        <v>898</v>
      </c>
      <c r="H446" s="24"/>
      <c r="I446" s="25"/>
      <c r="J446" s="25"/>
      <c r="K446" s="25"/>
      <c r="L446" s="28"/>
    </row>
    <row r="447" spans="4:12" x14ac:dyDescent="0.25">
      <c r="D447" s="231"/>
      <c r="E447" s="31">
        <v>225</v>
      </c>
      <c r="F447" s="23" t="s">
        <v>780</v>
      </c>
      <c r="G447" s="25" t="s">
        <v>898</v>
      </c>
      <c r="H447" s="24"/>
      <c r="I447" s="25"/>
      <c r="J447" s="25"/>
      <c r="K447" s="25"/>
      <c r="L447" s="28"/>
    </row>
    <row r="448" spans="4:12" x14ac:dyDescent="0.25">
      <c r="D448" s="231"/>
      <c r="E448" s="31">
        <v>226</v>
      </c>
      <c r="F448" s="23" t="s">
        <v>780</v>
      </c>
      <c r="G448" s="25" t="s">
        <v>898</v>
      </c>
      <c r="H448" s="24"/>
      <c r="I448" s="25"/>
      <c r="J448" s="25"/>
      <c r="K448" s="25"/>
      <c r="L448" s="28"/>
    </row>
    <row r="449" spans="4:12" x14ac:dyDescent="0.25">
      <c r="D449" s="231"/>
      <c r="E449" s="31">
        <v>227</v>
      </c>
      <c r="F449" s="23" t="s">
        <v>780</v>
      </c>
      <c r="G449" s="25" t="s">
        <v>898</v>
      </c>
      <c r="H449" s="24"/>
      <c r="I449" s="25"/>
      <c r="J449" s="25"/>
      <c r="K449" s="25"/>
      <c r="L449" s="28"/>
    </row>
    <row r="450" spans="4:12" x14ac:dyDescent="0.25">
      <c r="D450" s="231"/>
      <c r="E450" s="31">
        <v>228</v>
      </c>
      <c r="F450" s="23" t="s">
        <v>780</v>
      </c>
      <c r="G450" s="25" t="s">
        <v>898</v>
      </c>
      <c r="H450" s="24"/>
      <c r="I450" s="25"/>
      <c r="J450" s="25"/>
      <c r="K450" s="25"/>
      <c r="L450" s="28"/>
    </row>
    <row r="451" spans="4:12" x14ac:dyDescent="0.25">
      <c r="D451" s="231"/>
      <c r="E451" s="31">
        <v>229</v>
      </c>
      <c r="F451" s="23" t="s">
        <v>780</v>
      </c>
      <c r="G451" s="25" t="s">
        <v>898</v>
      </c>
      <c r="H451" s="24"/>
      <c r="I451" s="25"/>
      <c r="J451" s="25"/>
      <c r="K451" s="25"/>
      <c r="L451" s="28"/>
    </row>
    <row r="452" spans="4:12" x14ac:dyDescent="0.25">
      <c r="D452" s="231"/>
      <c r="E452" s="31">
        <v>230</v>
      </c>
      <c r="F452" s="23" t="s">
        <v>780</v>
      </c>
      <c r="G452" s="25" t="s">
        <v>898</v>
      </c>
      <c r="H452" s="24"/>
      <c r="I452" s="25"/>
      <c r="J452" s="25"/>
      <c r="K452" s="25"/>
      <c r="L452" s="28"/>
    </row>
    <row r="453" spans="4:12" x14ac:dyDescent="0.25">
      <c r="D453" s="231"/>
      <c r="E453" s="31">
        <v>231</v>
      </c>
      <c r="F453" s="23" t="s">
        <v>780</v>
      </c>
      <c r="G453" s="25" t="s">
        <v>898</v>
      </c>
      <c r="H453" s="24"/>
      <c r="I453" s="25"/>
      <c r="J453" s="25"/>
      <c r="K453" s="25"/>
      <c r="L453" s="28"/>
    </row>
    <row r="454" spans="4:12" x14ac:dyDescent="0.25">
      <c r="D454" s="231"/>
      <c r="E454" s="220">
        <v>232</v>
      </c>
      <c r="F454" s="221" t="s">
        <v>781</v>
      </c>
      <c r="G454" s="222" t="s">
        <v>879</v>
      </c>
      <c r="H454" s="223"/>
      <c r="I454" s="222"/>
      <c r="J454" s="222"/>
      <c r="K454" s="222"/>
      <c r="L454" s="28"/>
    </row>
    <row r="455" spans="4:12" x14ac:dyDescent="0.25">
      <c r="D455" s="231"/>
      <c r="E455" s="220">
        <v>233</v>
      </c>
      <c r="F455" s="221" t="s">
        <v>781</v>
      </c>
      <c r="G455" s="222" t="s">
        <v>879</v>
      </c>
      <c r="H455" s="223"/>
      <c r="I455" s="222"/>
      <c r="J455" s="222"/>
      <c r="K455" s="222"/>
      <c r="L455" s="28"/>
    </row>
    <row r="456" spans="4:12" x14ac:dyDescent="0.25">
      <c r="D456" s="231"/>
      <c r="E456" s="220">
        <v>234</v>
      </c>
      <c r="F456" s="221" t="s">
        <v>781</v>
      </c>
      <c r="G456" s="222" t="s">
        <v>879</v>
      </c>
      <c r="H456" s="223"/>
      <c r="I456" s="222"/>
      <c r="J456" s="222"/>
      <c r="K456" s="222"/>
      <c r="L456" s="28"/>
    </row>
    <row r="457" spans="4:12" x14ac:dyDescent="0.25">
      <c r="D457" s="231"/>
      <c r="E457" s="220">
        <v>235</v>
      </c>
      <c r="F457" s="221" t="s">
        <v>781</v>
      </c>
      <c r="G457" s="222" t="s">
        <v>879</v>
      </c>
      <c r="H457" s="223"/>
      <c r="I457" s="222"/>
      <c r="J457" s="222"/>
      <c r="K457" s="222"/>
      <c r="L457" s="28"/>
    </row>
    <row r="458" spans="4:12" x14ac:dyDescent="0.25">
      <c r="D458" s="231"/>
      <c r="E458" s="220">
        <v>236</v>
      </c>
      <c r="F458" s="221" t="s">
        <v>781</v>
      </c>
      <c r="G458" s="222" t="s">
        <v>879</v>
      </c>
      <c r="H458" s="223"/>
      <c r="I458" s="222"/>
      <c r="J458" s="222"/>
      <c r="K458" s="222"/>
      <c r="L458" s="28"/>
    </row>
    <row r="459" spans="4:12" x14ac:dyDescent="0.25">
      <c r="D459" s="231"/>
      <c r="E459" s="220">
        <v>237</v>
      </c>
      <c r="F459" s="221" t="s">
        <v>781</v>
      </c>
      <c r="G459" s="222" t="s">
        <v>879</v>
      </c>
      <c r="H459" s="223"/>
      <c r="I459" s="222"/>
      <c r="J459" s="222"/>
      <c r="K459" s="222"/>
      <c r="L459" s="28"/>
    </row>
    <row r="460" spans="4:12" x14ac:dyDescent="0.25">
      <c r="D460" s="231"/>
      <c r="E460" s="220">
        <v>238</v>
      </c>
      <c r="F460" s="221" t="s">
        <v>781</v>
      </c>
      <c r="G460" s="222" t="s">
        <v>879</v>
      </c>
      <c r="H460" s="223"/>
      <c r="I460" s="222"/>
      <c r="J460" s="222"/>
      <c r="K460" s="222"/>
      <c r="L460" s="28"/>
    </row>
    <row r="461" spans="4:12" x14ac:dyDescent="0.25">
      <c r="D461" s="231"/>
      <c r="E461" s="220">
        <v>239</v>
      </c>
      <c r="F461" s="221" t="s">
        <v>781</v>
      </c>
      <c r="G461" s="222" t="s">
        <v>879</v>
      </c>
      <c r="H461" s="223"/>
      <c r="I461" s="222"/>
      <c r="J461" s="222"/>
      <c r="K461" s="222"/>
      <c r="L461" s="28"/>
    </row>
    <row r="462" spans="4:12" x14ac:dyDescent="0.25">
      <c r="D462" s="231"/>
      <c r="E462" s="220">
        <v>240</v>
      </c>
      <c r="F462" s="221" t="s">
        <v>781</v>
      </c>
      <c r="G462" s="222" t="s">
        <v>879</v>
      </c>
      <c r="H462" s="223"/>
      <c r="I462" s="222"/>
      <c r="J462" s="222"/>
      <c r="K462" s="222"/>
      <c r="L462" s="28"/>
    </row>
    <row r="463" spans="4:12" x14ac:dyDescent="0.25">
      <c r="D463" s="231"/>
      <c r="E463" s="220">
        <v>241</v>
      </c>
      <c r="F463" s="221" t="s">
        <v>781</v>
      </c>
      <c r="G463" s="222" t="s">
        <v>879</v>
      </c>
      <c r="H463" s="223"/>
      <c r="I463" s="222"/>
      <c r="J463" s="222"/>
      <c r="K463" s="222"/>
      <c r="L463" s="28"/>
    </row>
    <row r="464" spans="4:12" x14ac:dyDescent="0.25">
      <c r="D464" s="231"/>
      <c r="E464" s="220">
        <v>242</v>
      </c>
      <c r="F464" s="221" t="s">
        <v>781</v>
      </c>
      <c r="G464" s="222" t="s">
        <v>879</v>
      </c>
      <c r="H464" s="223"/>
      <c r="I464" s="222"/>
      <c r="J464" s="222"/>
      <c r="K464" s="222"/>
      <c r="L464" s="28"/>
    </row>
    <row r="465" spans="4:12" x14ac:dyDescent="0.25">
      <c r="D465" s="231"/>
      <c r="E465" s="220">
        <v>243</v>
      </c>
      <c r="F465" s="221" t="s">
        <v>781</v>
      </c>
      <c r="G465" s="222" t="s">
        <v>879</v>
      </c>
      <c r="H465" s="223"/>
      <c r="I465" s="222"/>
      <c r="J465" s="222"/>
      <c r="K465" s="222"/>
      <c r="L465" s="28"/>
    </row>
    <row r="466" spans="4:12" x14ac:dyDescent="0.25">
      <c r="D466" s="231"/>
      <c r="E466" s="220">
        <v>244</v>
      </c>
      <c r="F466" s="221" t="s">
        <v>781</v>
      </c>
      <c r="G466" s="222" t="s">
        <v>879</v>
      </c>
      <c r="H466" s="223"/>
      <c r="I466" s="222"/>
      <c r="J466" s="222"/>
      <c r="K466" s="222"/>
      <c r="L466" s="28"/>
    </row>
    <row r="467" spans="4:12" x14ac:dyDescent="0.25">
      <c r="D467" s="231"/>
      <c r="E467" s="220">
        <v>245</v>
      </c>
      <c r="F467" s="221" t="s">
        <v>781</v>
      </c>
      <c r="G467" s="222" t="s">
        <v>879</v>
      </c>
      <c r="H467" s="223"/>
      <c r="I467" s="222"/>
      <c r="J467" s="222"/>
      <c r="K467" s="222"/>
      <c r="L467" s="28"/>
    </row>
    <row r="468" spans="4:12" x14ac:dyDescent="0.25">
      <c r="D468" s="231"/>
      <c r="E468" s="220">
        <v>246</v>
      </c>
      <c r="F468" s="221" t="s">
        <v>781</v>
      </c>
      <c r="G468" s="222" t="s">
        <v>879</v>
      </c>
      <c r="H468" s="223"/>
      <c r="I468" s="222"/>
      <c r="J468" s="222"/>
      <c r="K468" s="222"/>
      <c r="L468" s="28"/>
    </row>
    <row r="469" spans="4:12" x14ac:dyDescent="0.25">
      <c r="D469" s="231"/>
      <c r="E469" s="220">
        <v>247</v>
      </c>
      <c r="F469" s="221" t="s">
        <v>781</v>
      </c>
      <c r="G469" s="222" t="s">
        <v>879</v>
      </c>
      <c r="H469" s="223"/>
      <c r="I469" s="222"/>
      <c r="J469" s="222"/>
      <c r="K469" s="222"/>
      <c r="L469" s="28"/>
    </row>
    <row r="470" spans="4:12" x14ac:dyDescent="0.25">
      <c r="D470" s="231"/>
      <c r="E470" s="220">
        <v>248</v>
      </c>
      <c r="F470" s="221" t="s">
        <v>781</v>
      </c>
      <c r="G470" s="222" t="s">
        <v>879</v>
      </c>
      <c r="H470" s="223"/>
      <c r="I470" s="222"/>
      <c r="J470" s="222"/>
      <c r="K470" s="222"/>
      <c r="L470" s="28"/>
    </row>
    <row r="471" spans="4:12" x14ac:dyDescent="0.25">
      <c r="D471" s="231"/>
      <c r="E471" s="220">
        <v>249</v>
      </c>
      <c r="F471" s="221" t="s">
        <v>781</v>
      </c>
      <c r="G471" s="222" t="s">
        <v>879</v>
      </c>
      <c r="H471" s="223"/>
      <c r="I471" s="222"/>
      <c r="J471" s="222"/>
      <c r="K471" s="222"/>
      <c r="L471" s="28"/>
    </row>
    <row r="472" spans="4:12" x14ac:dyDescent="0.25">
      <c r="D472" s="231"/>
      <c r="E472" s="220">
        <v>250</v>
      </c>
      <c r="F472" s="221" t="s">
        <v>781</v>
      </c>
      <c r="G472" s="222" t="s">
        <v>879</v>
      </c>
      <c r="H472" s="223"/>
      <c r="I472" s="222"/>
      <c r="J472" s="222"/>
      <c r="K472" s="222"/>
      <c r="L472" s="28"/>
    </row>
    <row r="473" spans="4:12" x14ac:dyDescent="0.25">
      <c r="D473" s="231"/>
      <c r="E473" s="220">
        <v>251</v>
      </c>
      <c r="F473" s="221" t="s">
        <v>781</v>
      </c>
      <c r="G473" s="222" t="s">
        <v>879</v>
      </c>
      <c r="H473" s="223"/>
      <c r="I473" s="222"/>
      <c r="J473" s="222"/>
      <c r="K473" s="222"/>
      <c r="L473" s="28"/>
    </row>
    <row r="474" spans="4:12" x14ac:dyDescent="0.25">
      <c r="D474" s="231"/>
      <c r="E474" s="220">
        <v>252</v>
      </c>
      <c r="F474" s="221" t="s">
        <v>781</v>
      </c>
      <c r="G474" s="222" t="s">
        <v>879</v>
      </c>
      <c r="H474" s="223"/>
      <c r="I474" s="222"/>
      <c r="J474" s="222"/>
      <c r="K474" s="222"/>
      <c r="L474" s="28"/>
    </row>
    <row r="475" spans="4:12" x14ac:dyDescent="0.25">
      <c r="D475" s="231"/>
      <c r="E475" s="220">
        <v>253</v>
      </c>
      <c r="F475" s="221" t="s">
        <v>781</v>
      </c>
      <c r="G475" s="222" t="s">
        <v>879</v>
      </c>
      <c r="H475" s="223"/>
      <c r="I475" s="222"/>
      <c r="J475" s="222"/>
      <c r="K475" s="222"/>
      <c r="L475" s="28"/>
    </row>
    <row r="476" spans="4:12" x14ac:dyDescent="0.25">
      <c r="D476" s="231"/>
      <c r="E476" s="31">
        <v>254</v>
      </c>
      <c r="F476" s="23" t="s">
        <v>782</v>
      </c>
      <c r="G476" s="25" t="s">
        <v>899</v>
      </c>
      <c r="H476" s="24"/>
      <c r="I476" s="25"/>
      <c r="J476" s="25"/>
      <c r="K476" s="25"/>
      <c r="L476" s="28"/>
    </row>
    <row r="477" spans="4:12" x14ac:dyDescent="0.25">
      <c r="D477" s="231"/>
      <c r="E477" s="31">
        <v>255</v>
      </c>
      <c r="F477" s="23" t="s">
        <v>782</v>
      </c>
      <c r="G477" s="25" t="s">
        <v>899</v>
      </c>
      <c r="H477" s="24"/>
      <c r="I477" s="25"/>
      <c r="J477" s="25"/>
      <c r="K477" s="25"/>
      <c r="L477" s="28"/>
    </row>
    <row r="478" spans="4:12" x14ac:dyDescent="0.25">
      <c r="D478" s="231"/>
      <c r="E478" s="31">
        <v>256</v>
      </c>
      <c r="F478" s="23" t="s">
        <v>782</v>
      </c>
      <c r="G478" s="25" t="s">
        <v>899</v>
      </c>
      <c r="H478" s="24"/>
      <c r="I478" s="25"/>
      <c r="J478" s="25"/>
      <c r="K478" s="25"/>
      <c r="L478" s="28"/>
    </row>
    <row r="479" spans="4:12" x14ac:dyDescent="0.25">
      <c r="D479" s="231"/>
      <c r="E479" s="31">
        <v>257</v>
      </c>
      <c r="F479" s="23" t="s">
        <v>782</v>
      </c>
      <c r="G479" s="25" t="s">
        <v>899</v>
      </c>
      <c r="H479" s="24"/>
      <c r="I479" s="25"/>
      <c r="J479" s="25"/>
      <c r="K479" s="25"/>
      <c r="L479" s="28"/>
    </row>
    <row r="480" spans="4:12" x14ac:dyDescent="0.25">
      <c r="D480" s="231"/>
      <c r="E480" s="31">
        <v>258</v>
      </c>
      <c r="F480" s="23" t="s">
        <v>782</v>
      </c>
      <c r="G480" s="25" t="s">
        <v>899</v>
      </c>
      <c r="H480" s="24"/>
      <c r="I480" s="25"/>
      <c r="J480" s="25"/>
      <c r="K480" s="25"/>
      <c r="L480" s="28"/>
    </row>
    <row r="481" spans="4:12" x14ac:dyDescent="0.25">
      <c r="D481" s="231"/>
      <c r="E481" s="31">
        <v>259</v>
      </c>
      <c r="F481" s="23" t="s">
        <v>782</v>
      </c>
      <c r="G481" s="25" t="s">
        <v>899</v>
      </c>
      <c r="H481" s="24"/>
      <c r="I481" s="25"/>
      <c r="J481" s="25"/>
      <c r="K481" s="25"/>
      <c r="L481" s="28"/>
    </row>
    <row r="482" spans="4:12" x14ac:dyDescent="0.25">
      <c r="D482" s="231"/>
      <c r="E482" s="31">
        <v>260</v>
      </c>
      <c r="F482" s="23" t="s">
        <v>782</v>
      </c>
      <c r="G482" s="25" t="s">
        <v>899</v>
      </c>
      <c r="H482" s="24"/>
      <c r="I482" s="25"/>
      <c r="J482" s="25"/>
      <c r="K482" s="25"/>
      <c r="L482" s="28"/>
    </row>
    <row r="483" spans="4:12" x14ac:dyDescent="0.25">
      <c r="D483" s="231"/>
      <c r="E483" s="31">
        <v>261</v>
      </c>
      <c r="F483" s="23" t="s">
        <v>782</v>
      </c>
      <c r="G483" s="25" t="s">
        <v>899</v>
      </c>
      <c r="H483" s="24"/>
      <c r="I483" s="25"/>
      <c r="J483" s="25"/>
      <c r="K483" s="25"/>
      <c r="L483" s="28"/>
    </row>
    <row r="484" spans="4:12" x14ac:dyDescent="0.25">
      <c r="D484" s="231"/>
      <c r="E484" s="31">
        <v>262</v>
      </c>
      <c r="F484" s="23" t="s">
        <v>782</v>
      </c>
      <c r="G484" s="25" t="s">
        <v>899</v>
      </c>
      <c r="H484" s="24"/>
      <c r="I484" s="25"/>
      <c r="J484" s="25"/>
      <c r="K484" s="25"/>
      <c r="L484" s="28"/>
    </row>
    <row r="485" spans="4:12" x14ac:dyDescent="0.25">
      <c r="D485" s="231"/>
      <c r="E485" s="31">
        <v>263</v>
      </c>
      <c r="F485" s="23" t="s">
        <v>782</v>
      </c>
      <c r="G485" s="25" t="s">
        <v>899</v>
      </c>
      <c r="H485" s="24"/>
      <c r="I485" s="25"/>
      <c r="J485" s="25"/>
      <c r="K485" s="25"/>
      <c r="L485" s="28"/>
    </row>
    <row r="486" spans="4:12" x14ac:dyDescent="0.25">
      <c r="D486" s="231"/>
      <c r="E486" s="31">
        <v>264</v>
      </c>
      <c r="F486" s="23" t="s">
        <v>782</v>
      </c>
      <c r="G486" s="25" t="s">
        <v>899</v>
      </c>
      <c r="H486" s="24"/>
      <c r="I486" s="25"/>
      <c r="J486" s="25"/>
      <c r="K486" s="25"/>
      <c r="L486" s="28"/>
    </row>
    <row r="487" spans="4:12" x14ac:dyDescent="0.25">
      <c r="D487" s="231"/>
      <c r="E487" s="31">
        <v>265</v>
      </c>
      <c r="F487" s="23" t="s">
        <v>782</v>
      </c>
      <c r="G487" s="25" t="s">
        <v>899</v>
      </c>
      <c r="H487" s="24"/>
      <c r="I487" s="25"/>
      <c r="J487" s="25"/>
      <c r="K487" s="25"/>
      <c r="L487" s="28"/>
    </row>
    <row r="488" spans="4:12" x14ac:dyDescent="0.25">
      <c r="D488" s="231"/>
      <c r="E488" s="31">
        <v>266</v>
      </c>
      <c r="F488" s="23" t="s">
        <v>782</v>
      </c>
      <c r="G488" s="25" t="s">
        <v>899</v>
      </c>
      <c r="H488" s="24"/>
      <c r="I488" s="25"/>
      <c r="J488" s="25"/>
      <c r="K488" s="25"/>
      <c r="L488" s="28"/>
    </row>
    <row r="489" spans="4:12" x14ac:dyDescent="0.25">
      <c r="D489" s="231"/>
      <c r="E489" s="31">
        <v>267</v>
      </c>
      <c r="F489" s="23" t="s">
        <v>782</v>
      </c>
      <c r="G489" s="25" t="s">
        <v>899</v>
      </c>
      <c r="H489" s="24"/>
      <c r="I489" s="25"/>
      <c r="J489" s="25"/>
      <c r="K489" s="25"/>
      <c r="L489" s="28"/>
    </row>
    <row r="490" spans="4:12" x14ac:dyDescent="0.25">
      <c r="D490" s="231"/>
      <c r="E490" s="31">
        <v>268</v>
      </c>
      <c r="F490" s="23" t="s">
        <v>782</v>
      </c>
      <c r="G490" s="25" t="s">
        <v>899</v>
      </c>
      <c r="H490" s="24"/>
      <c r="I490" s="25"/>
      <c r="J490" s="25"/>
      <c r="K490" s="25"/>
      <c r="L490" s="28"/>
    </row>
    <row r="491" spans="4:12" x14ac:dyDescent="0.25">
      <c r="D491" s="231"/>
      <c r="E491" s="31">
        <v>269</v>
      </c>
      <c r="F491" s="23" t="s">
        <v>782</v>
      </c>
      <c r="G491" s="25" t="s">
        <v>899</v>
      </c>
      <c r="H491" s="24"/>
      <c r="I491" s="25"/>
      <c r="J491" s="25"/>
      <c r="K491" s="25"/>
      <c r="L491" s="28"/>
    </row>
    <row r="492" spans="4:12" x14ac:dyDescent="0.25">
      <c r="D492" s="231"/>
      <c r="E492" s="31">
        <v>270</v>
      </c>
      <c r="F492" s="23" t="s">
        <v>782</v>
      </c>
      <c r="G492" s="25" t="s">
        <v>899</v>
      </c>
      <c r="H492" s="24"/>
      <c r="I492" s="25"/>
      <c r="J492" s="25"/>
      <c r="K492" s="25"/>
      <c r="L492" s="28"/>
    </row>
    <row r="493" spans="4:12" x14ac:dyDescent="0.25">
      <c r="D493" s="231"/>
      <c r="E493" s="31">
        <v>271</v>
      </c>
      <c r="F493" s="23" t="s">
        <v>782</v>
      </c>
      <c r="G493" s="25" t="s">
        <v>899</v>
      </c>
      <c r="H493" s="24"/>
      <c r="I493" s="25"/>
      <c r="J493" s="25"/>
      <c r="K493" s="25"/>
      <c r="L493" s="28"/>
    </row>
    <row r="494" spans="4:12" x14ac:dyDescent="0.25">
      <c r="D494" s="231"/>
      <c r="E494" s="31">
        <v>272</v>
      </c>
      <c r="F494" s="23" t="s">
        <v>782</v>
      </c>
      <c r="G494" s="25" t="s">
        <v>899</v>
      </c>
      <c r="H494" s="24"/>
      <c r="I494" s="25"/>
      <c r="J494" s="25"/>
      <c r="K494" s="25"/>
      <c r="L494" s="28"/>
    </row>
    <row r="495" spans="4:12" x14ac:dyDescent="0.25">
      <c r="D495" s="231"/>
      <c r="E495" s="31">
        <v>273</v>
      </c>
      <c r="F495" s="23" t="s">
        <v>782</v>
      </c>
      <c r="G495" s="25" t="s">
        <v>899</v>
      </c>
      <c r="H495" s="24"/>
      <c r="I495" s="25"/>
      <c r="J495" s="25"/>
      <c r="K495" s="25"/>
      <c r="L495" s="28"/>
    </row>
    <row r="496" spans="4:12" x14ac:dyDescent="0.25">
      <c r="D496" s="231"/>
      <c r="E496" s="31">
        <v>274</v>
      </c>
      <c r="F496" s="23" t="s">
        <v>782</v>
      </c>
      <c r="G496" s="25" t="s">
        <v>899</v>
      </c>
      <c r="H496" s="24"/>
      <c r="I496" s="25"/>
      <c r="J496" s="25"/>
      <c r="K496" s="25"/>
      <c r="L496" s="28"/>
    </row>
    <row r="497" spans="4:12" x14ac:dyDescent="0.25">
      <c r="D497" s="231"/>
      <c r="E497" s="31">
        <v>275</v>
      </c>
      <c r="F497" s="23" t="s">
        <v>782</v>
      </c>
      <c r="G497" s="25" t="s">
        <v>899</v>
      </c>
      <c r="H497" s="24"/>
      <c r="I497" s="25"/>
      <c r="J497" s="25"/>
      <c r="K497" s="25"/>
      <c r="L497" s="28"/>
    </row>
    <row r="498" spans="4:12" x14ac:dyDescent="0.25">
      <c r="D498" s="231"/>
      <c r="E498" s="31">
        <v>276</v>
      </c>
      <c r="F498" s="23" t="s">
        <v>782</v>
      </c>
      <c r="G498" s="25" t="s">
        <v>899</v>
      </c>
      <c r="H498" s="24"/>
      <c r="I498" s="25"/>
      <c r="J498" s="25"/>
      <c r="K498" s="25"/>
      <c r="L498" s="28"/>
    </row>
    <row r="499" spans="4:12" x14ac:dyDescent="0.25">
      <c r="D499" s="231"/>
      <c r="E499" s="220">
        <v>277</v>
      </c>
      <c r="F499" s="221" t="s">
        <v>783</v>
      </c>
      <c r="G499" s="222" t="s">
        <v>900</v>
      </c>
      <c r="H499" s="223"/>
      <c r="I499" s="222"/>
      <c r="J499" s="222"/>
      <c r="K499" s="222"/>
      <c r="L499" s="28"/>
    </row>
    <row r="500" spans="4:12" x14ac:dyDescent="0.25">
      <c r="D500" s="231"/>
      <c r="E500" s="220">
        <v>278</v>
      </c>
      <c r="F500" s="221" t="s">
        <v>783</v>
      </c>
      <c r="G500" s="222" t="s">
        <v>900</v>
      </c>
      <c r="H500" s="223"/>
      <c r="I500" s="222"/>
      <c r="J500" s="222"/>
      <c r="K500" s="222"/>
      <c r="L500" s="28"/>
    </row>
    <row r="501" spans="4:12" x14ac:dyDescent="0.25">
      <c r="D501" s="231"/>
      <c r="E501" s="220">
        <v>279</v>
      </c>
      <c r="F501" s="221" t="s">
        <v>783</v>
      </c>
      <c r="G501" s="222" t="s">
        <v>900</v>
      </c>
      <c r="H501" s="223"/>
      <c r="I501" s="222"/>
      <c r="J501" s="222"/>
      <c r="K501" s="222"/>
      <c r="L501" s="28"/>
    </row>
    <row r="502" spans="4:12" x14ac:dyDescent="0.25">
      <c r="D502" s="231"/>
      <c r="E502" s="220">
        <v>280</v>
      </c>
      <c r="F502" s="221" t="s">
        <v>783</v>
      </c>
      <c r="G502" s="222" t="s">
        <v>900</v>
      </c>
      <c r="H502" s="223"/>
      <c r="I502" s="222"/>
      <c r="J502" s="222"/>
      <c r="K502" s="222"/>
      <c r="L502" s="28"/>
    </row>
    <row r="503" spans="4:12" x14ac:dyDescent="0.25">
      <c r="D503" s="231"/>
      <c r="E503" s="220">
        <v>281</v>
      </c>
      <c r="F503" s="221" t="s">
        <v>783</v>
      </c>
      <c r="G503" s="222" t="s">
        <v>900</v>
      </c>
      <c r="H503" s="223"/>
      <c r="I503" s="222"/>
      <c r="J503" s="222"/>
      <c r="K503" s="222"/>
      <c r="L503" s="28"/>
    </row>
    <row r="504" spans="4:12" x14ac:dyDescent="0.25">
      <c r="D504" s="231"/>
      <c r="E504" s="220">
        <v>282</v>
      </c>
      <c r="F504" s="221" t="s">
        <v>783</v>
      </c>
      <c r="G504" s="222" t="s">
        <v>900</v>
      </c>
      <c r="H504" s="223"/>
      <c r="I504" s="222"/>
      <c r="J504" s="222"/>
      <c r="K504" s="222"/>
      <c r="L504" s="28"/>
    </row>
    <row r="505" spans="4:12" x14ac:dyDescent="0.25">
      <c r="D505" s="231"/>
      <c r="E505" s="220">
        <v>283</v>
      </c>
      <c r="F505" s="221" t="s">
        <v>783</v>
      </c>
      <c r="G505" s="222" t="s">
        <v>900</v>
      </c>
      <c r="H505" s="223"/>
      <c r="I505" s="222"/>
      <c r="J505" s="222"/>
      <c r="K505" s="222"/>
      <c r="L505" s="28"/>
    </row>
    <row r="506" spans="4:12" x14ac:dyDescent="0.25">
      <c r="D506" s="231"/>
      <c r="E506" s="220">
        <v>284</v>
      </c>
      <c r="F506" s="221" t="s">
        <v>783</v>
      </c>
      <c r="G506" s="222" t="s">
        <v>900</v>
      </c>
      <c r="H506" s="223"/>
      <c r="I506" s="222"/>
      <c r="J506" s="222"/>
      <c r="K506" s="222"/>
      <c r="L506" s="28"/>
    </row>
    <row r="507" spans="4:12" x14ac:dyDescent="0.25">
      <c r="D507" s="231"/>
      <c r="E507" s="220">
        <v>285</v>
      </c>
      <c r="F507" s="221" t="s">
        <v>783</v>
      </c>
      <c r="G507" s="222" t="s">
        <v>900</v>
      </c>
      <c r="H507" s="223"/>
      <c r="I507" s="222"/>
      <c r="J507" s="222"/>
      <c r="K507" s="222"/>
      <c r="L507" s="28"/>
    </row>
    <row r="508" spans="4:12" x14ac:dyDescent="0.25">
      <c r="D508" s="231"/>
      <c r="E508" s="220">
        <v>286</v>
      </c>
      <c r="F508" s="221" t="s">
        <v>783</v>
      </c>
      <c r="G508" s="222" t="s">
        <v>900</v>
      </c>
      <c r="H508" s="223"/>
      <c r="I508" s="222"/>
      <c r="J508" s="222"/>
      <c r="K508" s="222"/>
      <c r="L508" s="28"/>
    </row>
    <row r="509" spans="4:12" x14ac:dyDescent="0.25">
      <c r="D509" s="231"/>
      <c r="E509" s="220">
        <v>287</v>
      </c>
      <c r="F509" s="221" t="s">
        <v>783</v>
      </c>
      <c r="G509" s="222" t="s">
        <v>900</v>
      </c>
      <c r="H509" s="223"/>
      <c r="I509" s="222"/>
      <c r="J509" s="222"/>
      <c r="K509" s="222"/>
      <c r="L509" s="28"/>
    </row>
    <row r="510" spans="4:12" x14ac:dyDescent="0.25">
      <c r="D510" s="231"/>
      <c r="E510" s="220">
        <v>288</v>
      </c>
      <c r="F510" s="221" t="s">
        <v>783</v>
      </c>
      <c r="G510" s="222" t="s">
        <v>900</v>
      </c>
      <c r="H510" s="223"/>
      <c r="I510" s="222"/>
      <c r="J510" s="222"/>
      <c r="K510" s="222"/>
      <c r="L510" s="28"/>
    </row>
    <row r="511" spans="4:12" x14ac:dyDescent="0.25">
      <c r="D511" s="231"/>
      <c r="E511" s="220">
        <v>289</v>
      </c>
      <c r="F511" s="221" t="s">
        <v>783</v>
      </c>
      <c r="G511" s="222" t="s">
        <v>900</v>
      </c>
      <c r="H511" s="223"/>
      <c r="I511" s="222"/>
      <c r="J511" s="222"/>
      <c r="K511" s="222"/>
      <c r="L511" s="28"/>
    </row>
    <row r="512" spans="4:12" x14ac:dyDescent="0.25">
      <c r="D512" s="231"/>
      <c r="E512" s="220">
        <v>290</v>
      </c>
      <c r="F512" s="221" t="s">
        <v>783</v>
      </c>
      <c r="G512" s="222" t="s">
        <v>900</v>
      </c>
      <c r="H512" s="223"/>
      <c r="I512" s="222"/>
      <c r="J512" s="222"/>
      <c r="K512" s="222"/>
      <c r="L512" s="28"/>
    </row>
    <row r="513" spans="4:12" x14ac:dyDescent="0.25">
      <c r="D513" s="231"/>
      <c r="E513" s="220">
        <v>291</v>
      </c>
      <c r="F513" s="221" t="s">
        <v>783</v>
      </c>
      <c r="G513" s="222" t="s">
        <v>900</v>
      </c>
      <c r="H513" s="223"/>
      <c r="I513" s="222"/>
      <c r="J513" s="222"/>
      <c r="K513" s="222"/>
      <c r="L513" s="28"/>
    </row>
    <row r="514" spans="4:12" x14ac:dyDescent="0.25">
      <c r="D514" s="231"/>
      <c r="E514" s="220">
        <v>292</v>
      </c>
      <c r="F514" s="221" t="s">
        <v>783</v>
      </c>
      <c r="G514" s="222" t="s">
        <v>900</v>
      </c>
      <c r="H514" s="223"/>
      <c r="I514" s="222"/>
      <c r="J514" s="222"/>
      <c r="K514" s="222"/>
      <c r="L514" s="28"/>
    </row>
    <row r="515" spans="4:12" x14ac:dyDescent="0.25">
      <c r="D515" s="231"/>
      <c r="E515" s="220">
        <v>293</v>
      </c>
      <c r="F515" s="221" t="s">
        <v>783</v>
      </c>
      <c r="G515" s="222" t="s">
        <v>900</v>
      </c>
      <c r="H515" s="223"/>
      <c r="I515" s="222"/>
      <c r="J515" s="222"/>
      <c r="K515" s="222"/>
      <c r="L515" s="28"/>
    </row>
    <row r="516" spans="4:12" x14ac:dyDescent="0.25">
      <c r="D516" s="231"/>
      <c r="E516" s="220">
        <v>294</v>
      </c>
      <c r="F516" s="221" t="s">
        <v>783</v>
      </c>
      <c r="G516" s="222" t="s">
        <v>900</v>
      </c>
      <c r="H516" s="223"/>
      <c r="I516" s="222"/>
      <c r="J516" s="222"/>
      <c r="K516" s="222"/>
      <c r="L516" s="28"/>
    </row>
    <row r="517" spans="4:12" x14ac:dyDescent="0.25">
      <c r="D517" s="231"/>
      <c r="E517" s="220">
        <v>295</v>
      </c>
      <c r="F517" s="221" t="s">
        <v>783</v>
      </c>
      <c r="G517" s="222" t="s">
        <v>900</v>
      </c>
      <c r="H517" s="223"/>
      <c r="I517" s="222"/>
      <c r="J517" s="222"/>
      <c r="K517" s="222"/>
      <c r="L517" s="28"/>
    </row>
    <row r="518" spans="4:12" x14ac:dyDescent="0.25">
      <c r="D518" s="231"/>
      <c r="E518" s="220">
        <v>296</v>
      </c>
      <c r="F518" s="221" t="s">
        <v>783</v>
      </c>
      <c r="G518" s="222" t="s">
        <v>900</v>
      </c>
      <c r="H518" s="223"/>
      <c r="I518" s="222"/>
      <c r="J518" s="222"/>
      <c r="K518" s="222"/>
      <c r="L518" s="28"/>
    </row>
    <row r="519" spans="4:12" x14ac:dyDescent="0.25">
      <c r="D519" s="231"/>
      <c r="E519" s="220">
        <v>297</v>
      </c>
      <c r="F519" s="221" t="s">
        <v>783</v>
      </c>
      <c r="G519" s="222" t="s">
        <v>900</v>
      </c>
      <c r="H519" s="223"/>
      <c r="I519" s="222"/>
      <c r="J519" s="222"/>
      <c r="K519" s="222"/>
      <c r="L519" s="28"/>
    </row>
    <row r="520" spans="4:12" x14ac:dyDescent="0.25">
      <c r="D520" s="231"/>
      <c r="E520" s="220">
        <v>298</v>
      </c>
      <c r="F520" s="221" t="s">
        <v>783</v>
      </c>
      <c r="G520" s="222" t="s">
        <v>900</v>
      </c>
      <c r="H520" s="223"/>
      <c r="I520" s="222"/>
      <c r="J520" s="222"/>
      <c r="K520" s="222"/>
      <c r="L520" s="28"/>
    </row>
    <row r="521" spans="4:12" x14ac:dyDescent="0.25">
      <c r="D521" s="231"/>
      <c r="E521" s="220">
        <v>299</v>
      </c>
      <c r="F521" s="221" t="s">
        <v>783</v>
      </c>
      <c r="G521" s="222" t="s">
        <v>900</v>
      </c>
      <c r="H521" s="223"/>
      <c r="I521" s="222"/>
      <c r="J521" s="222"/>
      <c r="K521" s="222"/>
      <c r="L521" s="28"/>
    </row>
    <row r="522" spans="4:12" x14ac:dyDescent="0.25">
      <c r="D522" s="231"/>
      <c r="E522" s="220">
        <v>300</v>
      </c>
      <c r="F522" s="221" t="s">
        <v>783</v>
      </c>
      <c r="G522" s="222" t="s">
        <v>900</v>
      </c>
      <c r="H522" s="223"/>
      <c r="I522" s="222"/>
      <c r="J522" s="222"/>
      <c r="K522" s="222"/>
      <c r="L522" s="28"/>
    </row>
    <row r="523" spans="4:12" x14ac:dyDescent="0.25">
      <c r="D523" s="231"/>
      <c r="E523" s="31">
        <v>301</v>
      </c>
      <c r="F523" s="23" t="s">
        <v>784</v>
      </c>
      <c r="G523" s="25" t="s">
        <v>901</v>
      </c>
      <c r="H523" s="24"/>
      <c r="I523" s="25"/>
      <c r="J523" s="25"/>
      <c r="K523" s="25"/>
      <c r="L523" s="28"/>
    </row>
    <row r="524" spans="4:12" x14ac:dyDescent="0.25">
      <c r="D524" s="231"/>
      <c r="E524" s="31">
        <v>302</v>
      </c>
      <c r="F524" s="23" t="s">
        <v>784</v>
      </c>
      <c r="G524" s="25" t="s">
        <v>901</v>
      </c>
      <c r="H524" s="24"/>
      <c r="I524" s="25"/>
      <c r="J524" s="25"/>
      <c r="K524" s="25"/>
      <c r="L524" s="28"/>
    </row>
    <row r="525" spans="4:12" x14ac:dyDescent="0.25">
      <c r="D525" s="231"/>
      <c r="E525" s="31">
        <v>303</v>
      </c>
      <c r="F525" s="23" t="s">
        <v>784</v>
      </c>
      <c r="G525" s="25" t="s">
        <v>901</v>
      </c>
      <c r="H525" s="24"/>
      <c r="I525" s="25"/>
      <c r="J525" s="25"/>
      <c r="K525" s="25"/>
      <c r="L525" s="28"/>
    </row>
    <row r="526" spans="4:12" x14ac:dyDescent="0.25">
      <c r="D526" s="231"/>
      <c r="E526" s="31">
        <v>304</v>
      </c>
      <c r="F526" s="23" t="s">
        <v>784</v>
      </c>
      <c r="G526" s="25" t="s">
        <v>901</v>
      </c>
      <c r="H526" s="24"/>
      <c r="I526" s="25"/>
      <c r="J526" s="25"/>
      <c r="K526" s="25"/>
      <c r="L526" s="28"/>
    </row>
    <row r="527" spans="4:12" x14ac:dyDescent="0.25">
      <c r="D527" s="231"/>
      <c r="E527" s="31">
        <v>305</v>
      </c>
      <c r="F527" s="23" t="s">
        <v>784</v>
      </c>
      <c r="G527" s="25" t="s">
        <v>901</v>
      </c>
      <c r="H527" s="24"/>
      <c r="I527" s="25"/>
      <c r="J527" s="25"/>
      <c r="K527" s="25"/>
      <c r="L527" s="28"/>
    </row>
    <row r="528" spans="4:12" x14ac:dyDescent="0.25">
      <c r="D528" s="231"/>
      <c r="E528" s="31">
        <v>306</v>
      </c>
      <c r="F528" s="23" t="s">
        <v>784</v>
      </c>
      <c r="G528" s="25" t="s">
        <v>901</v>
      </c>
      <c r="H528" s="24"/>
      <c r="I528" s="25"/>
      <c r="J528" s="25"/>
      <c r="K528" s="25"/>
      <c r="L528" s="28"/>
    </row>
    <row r="529" spans="4:12" x14ac:dyDescent="0.25">
      <c r="D529" s="231"/>
      <c r="E529" s="31">
        <v>307</v>
      </c>
      <c r="F529" s="23" t="s">
        <v>784</v>
      </c>
      <c r="G529" s="25" t="s">
        <v>901</v>
      </c>
      <c r="H529" s="24"/>
      <c r="I529" s="25"/>
      <c r="J529" s="25"/>
      <c r="K529" s="25"/>
      <c r="L529" s="28"/>
    </row>
    <row r="530" spans="4:12" x14ac:dyDescent="0.25">
      <c r="D530" s="231"/>
      <c r="E530" s="31">
        <v>308</v>
      </c>
      <c r="F530" s="23" t="s">
        <v>784</v>
      </c>
      <c r="G530" s="25" t="s">
        <v>901</v>
      </c>
      <c r="H530" s="24"/>
      <c r="I530" s="25"/>
      <c r="J530" s="25"/>
      <c r="K530" s="25"/>
      <c r="L530" s="28"/>
    </row>
    <row r="531" spans="4:12" x14ac:dyDescent="0.25">
      <c r="D531" s="231"/>
      <c r="E531" s="31">
        <v>309</v>
      </c>
      <c r="F531" s="23" t="s">
        <v>784</v>
      </c>
      <c r="G531" s="25" t="s">
        <v>901</v>
      </c>
      <c r="H531" s="24"/>
      <c r="I531" s="25"/>
      <c r="J531" s="25"/>
      <c r="K531" s="25"/>
      <c r="L531" s="28"/>
    </row>
    <row r="532" spans="4:12" x14ac:dyDescent="0.25">
      <c r="D532" s="231"/>
      <c r="E532" s="31">
        <v>310</v>
      </c>
      <c r="F532" s="23" t="s">
        <v>784</v>
      </c>
      <c r="G532" s="25" t="s">
        <v>901</v>
      </c>
      <c r="H532" s="24"/>
      <c r="I532" s="25"/>
      <c r="J532" s="25"/>
      <c r="K532" s="25"/>
      <c r="L532" s="28"/>
    </row>
    <row r="533" spans="4:12" x14ac:dyDescent="0.25">
      <c r="D533" s="231"/>
      <c r="E533" s="31">
        <v>311</v>
      </c>
      <c r="F533" s="23" t="s">
        <v>784</v>
      </c>
      <c r="G533" s="25" t="s">
        <v>901</v>
      </c>
      <c r="H533" s="24"/>
      <c r="I533" s="25"/>
      <c r="J533" s="25"/>
      <c r="K533" s="25"/>
      <c r="L533" s="28"/>
    </row>
    <row r="534" spans="4:12" x14ac:dyDescent="0.25">
      <c r="D534" s="231"/>
      <c r="E534" s="31">
        <v>312</v>
      </c>
      <c r="F534" s="23" t="s">
        <v>784</v>
      </c>
      <c r="G534" s="25" t="s">
        <v>901</v>
      </c>
      <c r="H534" s="24"/>
      <c r="I534" s="25"/>
      <c r="J534" s="25"/>
      <c r="K534" s="25"/>
      <c r="L534" s="28"/>
    </row>
    <row r="535" spans="4:12" x14ac:dyDescent="0.25">
      <c r="D535" s="231"/>
      <c r="E535" s="31">
        <v>313</v>
      </c>
      <c r="F535" s="23" t="s">
        <v>784</v>
      </c>
      <c r="G535" s="25" t="s">
        <v>901</v>
      </c>
      <c r="H535" s="24"/>
      <c r="I535" s="25"/>
      <c r="J535" s="25"/>
      <c r="K535" s="25"/>
      <c r="L535" s="28"/>
    </row>
    <row r="536" spans="4:12" x14ac:dyDescent="0.25">
      <c r="D536" s="231"/>
      <c r="E536" s="31">
        <v>314</v>
      </c>
      <c r="F536" s="23" t="s">
        <v>784</v>
      </c>
      <c r="G536" s="25" t="s">
        <v>901</v>
      </c>
      <c r="H536" s="24"/>
      <c r="I536" s="25"/>
      <c r="J536" s="25"/>
      <c r="K536" s="25"/>
      <c r="L536" s="28"/>
    </row>
    <row r="537" spans="4:12" x14ac:dyDescent="0.25">
      <c r="D537" s="231"/>
      <c r="E537" s="31">
        <v>315</v>
      </c>
      <c r="F537" s="23" t="s">
        <v>784</v>
      </c>
      <c r="G537" s="25" t="s">
        <v>901</v>
      </c>
      <c r="H537" s="24"/>
      <c r="I537" s="25"/>
      <c r="J537" s="25"/>
      <c r="K537" s="25"/>
      <c r="L537" s="28"/>
    </row>
    <row r="538" spans="4:12" x14ac:dyDescent="0.25">
      <c r="D538" s="231"/>
      <c r="E538" s="31">
        <v>316</v>
      </c>
      <c r="F538" s="23" t="s">
        <v>784</v>
      </c>
      <c r="G538" s="25" t="s">
        <v>901</v>
      </c>
      <c r="H538" s="24"/>
      <c r="I538" s="25"/>
      <c r="J538" s="25"/>
      <c r="K538" s="25"/>
      <c r="L538" s="28"/>
    </row>
    <row r="539" spans="4:12" x14ac:dyDescent="0.25">
      <c r="D539" s="231"/>
      <c r="E539" s="31">
        <v>317</v>
      </c>
      <c r="F539" s="23" t="s">
        <v>784</v>
      </c>
      <c r="G539" s="25" t="s">
        <v>901</v>
      </c>
      <c r="H539" s="24"/>
      <c r="I539" s="25"/>
      <c r="J539" s="25"/>
      <c r="K539" s="25"/>
      <c r="L539" s="28"/>
    </row>
    <row r="540" spans="4:12" x14ac:dyDescent="0.25">
      <c r="D540" s="231"/>
      <c r="E540" s="31">
        <v>318</v>
      </c>
      <c r="F540" s="23" t="s">
        <v>784</v>
      </c>
      <c r="G540" s="25" t="s">
        <v>901</v>
      </c>
      <c r="H540" s="24"/>
      <c r="I540" s="25"/>
      <c r="J540" s="25"/>
      <c r="K540" s="25"/>
      <c r="L540" s="28"/>
    </row>
    <row r="541" spans="4:12" x14ac:dyDescent="0.25">
      <c r="D541" s="231"/>
      <c r="E541" s="31">
        <v>319</v>
      </c>
      <c r="F541" s="23" t="s">
        <v>784</v>
      </c>
      <c r="G541" s="25" t="s">
        <v>901</v>
      </c>
      <c r="H541" s="24"/>
      <c r="I541" s="25"/>
      <c r="J541" s="25"/>
      <c r="K541" s="25"/>
      <c r="L541" s="28"/>
    </row>
    <row r="542" spans="4:12" x14ac:dyDescent="0.25">
      <c r="D542" s="231"/>
      <c r="E542" s="31">
        <v>320</v>
      </c>
      <c r="F542" s="23" t="s">
        <v>784</v>
      </c>
      <c r="G542" s="25" t="s">
        <v>901</v>
      </c>
      <c r="H542" s="24"/>
      <c r="I542" s="25"/>
      <c r="J542" s="25"/>
      <c r="K542" s="25"/>
      <c r="L542" s="28"/>
    </row>
    <row r="543" spans="4:12" x14ac:dyDescent="0.25">
      <c r="D543" s="231"/>
      <c r="E543" s="31">
        <v>321</v>
      </c>
      <c r="F543" s="23" t="s">
        <v>784</v>
      </c>
      <c r="G543" s="25" t="s">
        <v>901</v>
      </c>
      <c r="H543" s="24"/>
      <c r="I543" s="25"/>
      <c r="J543" s="25"/>
      <c r="K543" s="25"/>
      <c r="L543" s="28"/>
    </row>
    <row r="544" spans="4:12" x14ac:dyDescent="0.25">
      <c r="D544" s="231"/>
      <c r="E544" s="31">
        <v>322</v>
      </c>
      <c r="F544" s="23" t="s">
        <v>784</v>
      </c>
      <c r="G544" s="25" t="s">
        <v>901</v>
      </c>
      <c r="H544" s="24"/>
      <c r="I544" s="25"/>
      <c r="J544" s="25"/>
      <c r="K544" s="25"/>
      <c r="L544" s="28"/>
    </row>
    <row r="545" spans="3:12" x14ac:dyDescent="0.25">
      <c r="D545" s="231"/>
      <c r="E545" s="31">
        <v>323</v>
      </c>
      <c r="F545" s="23" t="s">
        <v>784</v>
      </c>
      <c r="G545" s="25" t="s">
        <v>901</v>
      </c>
      <c r="H545" s="24"/>
      <c r="I545" s="25"/>
      <c r="J545" s="25"/>
      <c r="K545" s="25"/>
      <c r="L545" s="28"/>
    </row>
    <row r="546" spans="3:12" x14ac:dyDescent="0.25">
      <c r="D546" s="231"/>
      <c r="E546" s="31">
        <v>324</v>
      </c>
      <c r="F546" s="23" t="s">
        <v>784</v>
      </c>
      <c r="G546" s="25" t="s">
        <v>901</v>
      </c>
      <c r="H546" s="24"/>
      <c r="I546" s="25"/>
      <c r="J546" s="25"/>
      <c r="K546" s="25"/>
      <c r="L546" s="28"/>
    </row>
    <row r="547" spans="3:12" x14ac:dyDescent="0.25">
      <c r="D547" s="232"/>
      <c r="E547" s="31">
        <v>325</v>
      </c>
      <c r="F547" s="23" t="s">
        <v>784</v>
      </c>
      <c r="G547" s="25" t="s">
        <v>901</v>
      </c>
      <c r="H547" s="24"/>
      <c r="I547" s="25"/>
      <c r="J547" s="25"/>
      <c r="K547" s="25"/>
      <c r="L547" s="28"/>
    </row>
    <row r="549" spans="3:12" ht="15.75" thickBot="1" x14ac:dyDescent="0.3"/>
    <row r="550" spans="3:12" x14ac:dyDescent="0.25">
      <c r="C550" s="224" t="s">
        <v>919</v>
      </c>
    </row>
    <row r="551" spans="3:12" x14ac:dyDescent="0.25">
      <c r="C551" s="225"/>
    </row>
    <row r="552" spans="3:12" ht="15.75" thickBot="1" x14ac:dyDescent="0.3">
      <c r="C552" s="226"/>
    </row>
  </sheetData>
  <mergeCells count="181">
    <mergeCell ref="B48:B50"/>
    <mergeCell ref="C48:C50"/>
    <mergeCell ref="B54:B56"/>
    <mergeCell ref="C54:C56"/>
    <mergeCell ref="B178:B180"/>
    <mergeCell ref="C178:C180"/>
    <mergeCell ref="B184:B186"/>
    <mergeCell ref="C184:C186"/>
    <mergeCell ref="Y49:Y50"/>
    <mergeCell ref="O185:O186"/>
    <mergeCell ref="T185:T186"/>
    <mergeCell ref="U185:U186"/>
    <mergeCell ref="V185:V186"/>
    <mergeCell ref="W185:W186"/>
    <mergeCell ref="X185:X186"/>
    <mergeCell ref="Y185:Y186"/>
    <mergeCell ref="E184:E186"/>
    <mergeCell ref="X54:AA54"/>
    <mergeCell ref="AA55:AA56"/>
    <mergeCell ref="P54:S54"/>
    <mergeCell ref="T54:W54"/>
    <mergeCell ref="X49:X50"/>
    <mergeCell ref="O49:O50"/>
    <mergeCell ref="G49:G50"/>
    <mergeCell ref="AB54:AD54"/>
    <mergeCell ref="P184:S184"/>
    <mergeCell ref="AB184:AD184"/>
    <mergeCell ref="E220:E222"/>
    <mergeCell ref="F220:K220"/>
    <mergeCell ref="F221:F222"/>
    <mergeCell ref="G221:G222"/>
    <mergeCell ref="H221:H222"/>
    <mergeCell ref="I221:I222"/>
    <mergeCell ref="J221:J222"/>
    <mergeCell ref="K221:K222"/>
    <mergeCell ref="AD185:AD186"/>
    <mergeCell ref="E214:E216"/>
    <mergeCell ref="F214:K214"/>
    <mergeCell ref="F215:F216"/>
    <mergeCell ref="G215:G216"/>
    <mergeCell ref="H215:H216"/>
    <mergeCell ref="I215:I216"/>
    <mergeCell ref="J215:J216"/>
    <mergeCell ref="K215:K216"/>
    <mergeCell ref="AB185:AB186"/>
    <mergeCell ref="AC185:AC186"/>
    <mergeCell ref="T184:W184"/>
    <mergeCell ref="X184:AA184"/>
    <mergeCell ref="Z185:Z186"/>
    <mergeCell ref="AA185:AA186"/>
    <mergeCell ref="F185:F186"/>
    <mergeCell ref="K179:K180"/>
    <mergeCell ref="L179:L180"/>
    <mergeCell ref="M179:M180"/>
    <mergeCell ref="P185:P186"/>
    <mergeCell ref="Q185:Q186"/>
    <mergeCell ref="R185:R186"/>
    <mergeCell ref="S185:S186"/>
    <mergeCell ref="F184:J184"/>
    <mergeCell ref="G185:G186"/>
    <mergeCell ref="H185:H186"/>
    <mergeCell ref="I185:I186"/>
    <mergeCell ref="J185:J186"/>
    <mergeCell ref="K185:K186"/>
    <mergeCell ref="L185:L186"/>
    <mergeCell ref="M185:M186"/>
    <mergeCell ref="N185:N186"/>
    <mergeCell ref="X179:X180"/>
    <mergeCell ref="R179:R180"/>
    <mergeCell ref="S179:S180"/>
    <mergeCell ref="T179:T180"/>
    <mergeCell ref="U179:U180"/>
    <mergeCell ref="AD55:AD56"/>
    <mergeCell ref="AB55:AB56"/>
    <mergeCell ref="AC55:AC56"/>
    <mergeCell ref="F55:F56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S55:S56"/>
    <mergeCell ref="T55:T56"/>
    <mergeCell ref="U55:U56"/>
    <mergeCell ref="V55:V56"/>
    <mergeCell ref="W55:W56"/>
    <mergeCell ref="X55:X56"/>
    <mergeCell ref="Y55:Y56"/>
    <mergeCell ref="Z55:Z56"/>
    <mergeCell ref="E42:E44"/>
    <mergeCell ref="F42:H42"/>
    <mergeCell ref="C1:F1"/>
    <mergeCell ref="C2:F2"/>
    <mergeCell ref="C3:F3"/>
    <mergeCell ref="C4:F4"/>
    <mergeCell ref="C5:F5"/>
    <mergeCell ref="L43:L44"/>
    <mergeCell ref="E54:E56"/>
    <mergeCell ref="F54:J54"/>
    <mergeCell ref="F43:F44"/>
    <mergeCell ref="G43:G44"/>
    <mergeCell ref="H43:H44"/>
    <mergeCell ref="E48:E50"/>
    <mergeCell ref="L48:M48"/>
    <mergeCell ref="F49:F50"/>
    <mergeCell ref="I42:M42"/>
    <mergeCell ref="I43:I44"/>
    <mergeCell ref="J43:J44"/>
    <mergeCell ref="K43:K44"/>
    <mergeCell ref="M43:M44"/>
    <mergeCell ref="D42:D45"/>
    <mergeCell ref="C42:C44"/>
    <mergeCell ref="F48:K48"/>
    <mergeCell ref="T49:T50"/>
    <mergeCell ref="U49:U50"/>
    <mergeCell ref="P49:P50"/>
    <mergeCell ref="Q49:Q50"/>
    <mergeCell ref="V49:V50"/>
    <mergeCell ref="W49:W50"/>
    <mergeCell ref="E60:E62"/>
    <mergeCell ref="F60:K60"/>
    <mergeCell ref="K61:K62"/>
    <mergeCell ref="H49:H50"/>
    <mergeCell ref="I49:I50"/>
    <mergeCell ref="J49:J50"/>
    <mergeCell ref="K49:K50"/>
    <mergeCell ref="L49:L50"/>
    <mergeCell ref="M49:M50"/>
    <mergeCell ref="N49:N50"/>
    <mergeCell ref="R49:R50"/>
    <mergeCell ref="S49:S50"/>
    <mergeCell ref="F61:F62"/>
    <mergeCell ref="W179:W180"/>
    <mergeCell ref="P179:P180"/>
    <mergeCell ref="Q179:Q180"/>
    <mergeCell ref="N179:N180"/>
    <mergeCell ref="O179:O180"/>
    <mergeCell ref="F122:K122"/>
    <mergeCell ref="K184:O184"/>
    <mergeCell ref="K54:O54"/>
    <mergeCell ref="E178:E180"/>
    <mergeCell ref="F178:K178"/>
    <mergeCell ref="L178:M178"/>
    <mergeCell ref="F179:F180"/>
    <mergeCell ref="G179:G180"/>
    <mergeCell ref="H179:H180"/>
    <mergeCell ref="I179:I180"/>
    <mergeCell ref="J179:J180"/>
    <mergeCell ref="E128:E130"/>
    <mergeCell ref="F128:K128"/>
    <mergeCell ref="C550:C552"/>
    <mergeCell ref="B42:B44"/>
    <mergeCell ref="D48:D175"/>
    <mergeCell ref="D178:D547"/>
    <mergeCell ref="N48:Y48"/>
    <mergeCell ref="N178:X178"/>
    <mergeCell ref="F129:F130"/>
    <mergeCell ref="G129:G130"/>
    <mergeCell ref="H129:H130"/>
    <mergeCell ref="I129:I130"/>
    <mergeCell ref="J129:J130"/>
    <mergeCell ref="J123:J124"/>
    <mergeCell ref="K123:K124"/>
    <mergeCell ref="G61:G62"/>
    <mergeCell ref="H61:H62"/>
    <mergeCell ref="I61:I62"/>
    <mergeCell ref="J61:J62"/>
    <mergeCell ref="K129:K130"/>
    <mergeCell ref="E122:E124"/>
    <mergeCell ref="F123:F124"/>
    <mergeCell ref="G123:G124"/>
    <mergeCell ref="H123:H124"/>
    <mergeCell ref="I123:I124"/>
    <mergeCell ref="V179:V180"/>
  </mergeCells>
  <phoneticPr fontId="12" type="noConversion"/>
  <conditionalFormatting sqref="C31:C38 M45 AB57:AC57 P57">
    <cfRule type="containsBlanks" dxfId="448" priority="111">
      <formula>LEN(TRIM(C31))=0</formula>
    </cfRule>
  </conditionalFormatting>
  <conditionalFormatting sqref="C16:C18 C10:C14 C20:C29">
    <cfRule type="containsBlanks" dxfId="447" priority="110">
      <formula>LEN(TRIM(C10))=0</formula>
    </cfRule>
  </conditionalFormatting>
  <conditionalFormatting sqref="F45 L45 V181 V51 F125:F127 G57:H57 F63:F119 F217 F187:H211 F223:F547">
    <cfRule type="expression" dxfId="446" priority="107">
      <formula>$E45=""</formula>
    </cfRule>
    <cfRule type="containsBlanks" dxfId="445" priority="108">
      <formula>LEN(TRIM(F45))=0</formula>
    </cfRule>
  </conditionalFormatting>
  <conditionalFormatting sqref="P51:Q51 T51:U51">
    <cfRule type="containsBlanks" dxfId="444" priority="102">
      <formula>LEN(TRIM(P51))=0</formula>
    </cfRule>
  </conditionalFormatting>
  <conditionalFormatting sqref="G51">
    <cfRule type="containsBlanks" dxfId="443" priority="101">
      <formula>LEN(TRIM(G51))=0</formula>
    </cfRule>
  </conditionalFormatting>
  <conditionalFormatting sqref="W181 W51">
    <cfRule type="expression" dxfId="442" priority="100">
      <formula>V51="ATU Summary"</formula>
    </cfRule>
  </conditionalFormatting>
  <conditionalFormatting sqref="X51">
    <cfRule type="expression" dxfId="441" priority="99">
      <formula>V51="Outlet Sheet"</formula>
    </cfRule>
  </conditionalFormatting>
  <conditionalFormatting sqref="W181:X181 W51:X51">
    <cfRule type="expression" dxfId="440" priority="98">
      <formula>V51="N/A"</formula>
    </cfRule>
  </conditionalFormatting>
  <conditionalFormatting sqref="R51">
    <cfRule type="containsBlanks" dxfId="439" priority="97">
      <formula>LEN(TRIM(R51))=0</formula>
    </cfRule>
  </conditionalFormatting>
  <conditionalFormatting sqref="S51">
    <cfRule type="containsBlanks" dxfId="438" priority="96">
      <formula>LEN(TRIM(S51))=0</formula>
    </cfRule>
  </conditionalFormatting>
  <conditionalFormatting sqref="X57:AA57 X187:AA211">
    <cfRule type="expression" dxfId="437" priority="125">
      <formula>OR($G57="Single Duct VAV",$G57="Supply Air Valve",$G57="Return Air Valve",$G57="Exhaust Air Valve",$G57="Double Duct VAV", $G57="Series FPB", $G57="Parallel FPB")</formula>
    </cfRule>
  </conditionalFormatting>
  <conditionalFormatting sqref="T57:W57 T187:W211">
    <cfRule type="expression" dxfId="436" priority="126">
      <formula>OR($G57="Single Duct VAV",$G57="Supply Air Valve",$G57="Return Air Valve",$G57="Exhaust Air Valve",$G57="Double Duct VAV")</formula>
    </cfRule>
  </conditionalFormatting>
  <conditionalFormatting sqref="S57 S187:S211">
    <cfRule type="expression" dxfId="435" priority="127">
      <formula>OR($G57="Series FPB",$G57="Return Air Valve", $G57="Exhaust Air Valve", $G57="Parallel FPB", $G57="Series FPB w/ OA.")</formula>
    </cfRule>
  </conditionalFormatting>
  <conditionalFormatting sqref="R57 R187:R211">
    <cfRule type="expression" dxfId="434" priority="128">
      <formula>OR($G57="Return Air Valve", $G57="Exhaust Air Valve")</formula>
    </cfRule>
  </conditionalFormatting>
  <conditionalFormatting sqref="AB187:AB211">
    <cfRule type="containsBlanks" dxfId="433" priority="53">
      <formula>LEN(TRIM(AB187))=0</formula>
    </cfRule>
  </conditionalFormatting>
  <conditionalFormatting sqref="AC187:AC211">
    <cfRule type="containsBlanks" dxfId="432" priority="52">
      <formula>LEN(TRIM(AC187))=0</formula>
    </cfRule>
  </conditionalFormatting>
  <conditionalFormatting sqref="P187:P211">
    <cfRule type="containsBlanks" dxfId="431" priority="45">
      <formula>LEN(TRIM(P187))=0</formula>
    </cfRule>
  </conditionalFormatting>
  <conditionalFormatting sqref="Y51">
    <cfRule type="expression" dxfId="430" priority="43">
      <formula>$AF39="N/A"</formula>
    </cfRule>
  </conditionalFormatting>
  <conditionalFormatting sqref="P181:Q181 T181:U181">
    <cfRule type="containsBlanks" dxfId="429" priority="9">
      <formula>LEN(TRIM(P181))=0</formula>
    </cfRule>
  </conditionalFormatting>
  <conditionalFormatting sqref="G181">
    <cfRule type="containsBlanks" dxfId="428" priority="8">
      <formula>LEN(TRIM(G181))=0</formula>
    </cfRule>
  </conditionalFormatting>
  <conditionalFormatting sqref="X181">
    <cfRule type="expression" dxfId="427" priority="6">
      <formula>V181="Inlet Sheet"</formula>
    </cfRule>
  </conditionalFormatting>
  <conditionalFormatting sqref="R181">
    <cfRule type="containsBlanks" dxfId="426" priority="4">
      <formula>LEN(TRIM(R181))=0</formula>
    </cfRule>
  </conditionalFormatting>
  <conditionalFormatting sqref="S181">
    <cfRule type="containsBlanks" dxfId="425" priority="3">
      <formula>LEN(TRIM(S181))=0</formula>
    </cfRule>
  </conditionalFormatting>
  <conditionalFormatting sqref="Y181">
    <cfRule type="expression" dxfId="424" priority="2">
      <formula>#REF!="N/A"</formula>
    </cfRule>
  </conditionalFormatting>
  <conditionalFormatting sqref="M45">
    <cfRule type="expression" dxfId="423" priority="1">
      <formula>L45="Single"</formula>
    </cfRule>
  </conditionalFormatting>
  <dataValidations disablePrompts="1" count="16">
    <dataValidation type="list" allowBlank="1" showInputMessage="1" showErrorMessage="1" sqref="C29" xr:uid="{8D625FD0-F952-47E3-81B6-9E049B442C65}">
      <formula1>"Standard, Diagnostic"</formula1>
    </dataValidation>
    <dataValidation type="list" allowBlank="1" showInputMessage="1" showErrorMessage="1" sqref="C28" xr:uid="{B6D2CDCD-BB59-47D8-A34B-D437CFE9C296}">
      <formula1>"Dallas, Ft. Worth, Houston, El Paso"</formula1>
    </dataValidation>
    <dataValidation type="textLength" operator="lessThan" allowBlank="1" showInputMessage="1" showErrorMessage="1" errorTitle="Project Name To Long" error="Please shorten the project name. to 35 characters or less. Note: spaces and dashes count as a character." sqref="C10" xr:uid="{0E06B018-1BBC-4F74-BF65-AEA2829C3C40}">
      <formula1>35</formula1>
    </dataValidation>
    <dataValidation type="list" allowBlank="1" showInputMessage="1" sqref="K120:K121 J45" xr:uid="{18467E14-1BA1-4541-B01A-453E26EC1AEE}">
      <formula1>"HDT,HBT,VBT,VDT"</formula1>
    </dataValidation>
    <dataValidation type="list" allowBlank="1" showInputMessage="1" showErrorMessage="1" sqref="AA182 V51" xr:uid="{AB1507BE-D32B-4B7B-8F97-6CED2FBBD3B7}">
      <formula1>"Outlet Sheet, ATU Summary, N/A"</formula1>
    </dataValidation>
    <dataValidation type="list" allowBlank="1" showInputMessage="1" showErrorMessage="1" sqref="N51 N181:O182" xr:uid="{3F265CBE-0B30-4D96-BCEE-BDB851CF9F00}">
      <formula1>" Yes,No"</formula1>
    </dataValidation>
    <dataValidation type="list" allowBlank="1" showInputMessage="1" showErrorMessage="1" sqref="AB57:AC57 P51:U51 AB187:AC211 P181:U181 U182:Z182" xr:uid="{E52BD5FC-F8AF-4D17-8314-46923EB12A62}">
      <formula1>"Yes, No"</formula1>
    </dataValidation>
    <dataValidation type="list" allowBlank="1" showInputMessage="1" showErrorMessage="1" sqref="O51 O181 P182:T182" xr:uid="{522A326F-DCD6-4D31-894F-2022779FBC58}">
      <formula1>"ALL,STD. VEL., STD. PTO., STD. VEL. &amp; STD. PTO., RND. PTO., No"</formula1>
    </dataValidation>
    <dataValidation allowBlank="1" showInputMessage="1" sqref="I217 I63:I119 AD57 AD187:AD211" xr:uid="{3D4E2A10-7EA1-4C5D-B2DE-67FE00302E4A}"/>
    <dataValidation type="list" allowBlank="1" showInputMessage="1" showErrorMessage="1" sqref="L57 L187:L211" xr:uid="{BD752E7F-D1AC-47B9-9972-4C661D7D8061}">
      <formula1>"Round, Oval, Rectangle"</formula1>
    </dataValidation>
    <dataValidation type="list" allowBlank="1" showInputMessage="1" showErrorMessage="1" sqref="N57 N187:N211" xr:uid="{356CCC96-6234-418D-B63F-283060AD3723}">
      <formula1>"VAV,DDVAV,FPB,Air Valve"</formula1>
    </dataValidation>
    <dataValidation type="list" allowBlank="1" showInputMessage="1" showErrorMessage="1" sqref="G57 G187:G211" xr:uid="{2C8F4AF9-B9B6-441A-B0EE-DF0406ECFA5B}">
      <formula1>"Single Duct VAV, Double Duct VAV, Series FPB, , Series FPB w/ OA., Parallel FPB,Supply Air Valve,Return Air Valve, Exhaust Air Valve"</formula1>
    </dataValidation>
    <dataValidation type="list" allowBlank="1" showInputMessage="1" showErrorMessage="1" sqref="AA57 AA187:AA211" xr:uid="{FDA2094C-FC6D-49C4-A84F-4E5876CA3B3B}">
      <formula1>"Round, Oval"</formula1>
    </dataValidation>
    <dataValidation type="list" allowBlank="1" showInputMessage="1" showErrorMessage="1" sqref="L45" xr:uid="{EE5E824E-7C7E-45C7-846D-F7CDAC9C69D9}">
      <formula1>"Single,Dual"</formula1>
    </dataValidation>
    <dataValidation type="list" allowBlank="1" showInputMessage="1" showErrorMessage="1" sqref="M45" xr:uid="{149433BC-EA80-4A21-8807-B14B63E62D10}">
      <formula1>"Return,Relief,Outside Air, Exhaust"</formula1>
    </dataValidation>
    <dataValidation type="list" allowBlank="1" showInputMessage="1" showErrorMessage="1" sqref="V181" xr:uid="{E2EDB365-3D12-4FFB-9C56-4823BD8AE860}">
      <formula1>"Inlet Sheet, ATU Summary, N/A"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6756-2FB4-4B0C-90EF-526229730CF8}">
  <sheetPr codeName="Sheet58">
    <pageSetUpPr fitToPage="1"/>
  </sheetPr>
  <dimension ref="A1:BV62"/>
  <sheetViews>
    <sheetView zoomScaleNormal="100" workbookViewId="0">
      <selection activeCell="N3" sqref="N3"/>
    </sheetView>
  </sheetViews>
  <sheetFormatPr defaultColWidth="0" defaultRowHeight="12" customHeight="1" zeroHeight="1" x14ac:dyDescent="0.2"/>
  <cols>
    <col min="1" max="6" width="2.7109375" style="12" customWidth="1"/>
    <col min="7" max="7" width="0.85546875" style="12" customWidth="1"/>
    <col min="8" max="34" width="2.7109375" style="12" customWidth="1"/>
    <col min="35" max="35" width="4.28515625" style="12" customWidth="1"/>
    <col min="36" max="74" width="2.7109375" style="12" hidden="1" customWidth="1"/>
    <col min="75" max="16384" width="9.140625" style="12" hidden="1"/>
  </cols>
  <sheetData>
    <row r="1" spans="1:71" x14ac:dyDescent="0.2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</row>
    <row r="2" spans="1:71" x14ac:dyDescent="0.2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</row>
    <row r="3" spans="1:71" x14ac:dyDescent="0.2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</row>
    <row r="4" spans="1:71" ht="9.75" customHeight="1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</row>
    <row r="5" spans="1:71" ht="8.1" customHeight="1" x14ac:dyDescent="0.2">
      <c r="A5" s="277"/>
      <c r="B5" s="277"/>
      <c r="C5" s="277"/>
      <c r="D5" s="277"/>
      <c r="E5" s="277"/>
      <c r="F5" s="277"/>
      <c r="G5" s="78"/>
      <c r="H5" s="277"/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7"/>
      <c r="V5" s="277"/>
      <c r="W5" s="277"/>
      <c r="X5" s="277"/>
      <c r="Y5" s="277"/>
      <c r="Z5" s="277"/>
      <c r="AA5" s="277"/>
      <c r="AB5" s="277"/>
      <c r="AC5" s="277"/>
      <c r="AD5" s="277"/>
      <c r="AE5" s="277"/>
      <c r="AF5" s="277"/>
      <c r="AG5" s="277"/>
      <c r="AH5" s="277"/>
      <c r="AI5" s="277"/>
      <c r="AN5" s="86"/>
      <c r="AO5" s="86"/>
      <c r="AP5" s="86"/>
    </row>
    <row r="6" spans="1:71" ht="15" customHeight="1" x14ac:dyDescent="0.2">
      <c r="A6" s="278"/>
      <c r="B6" s="279"/>
      <c r="C6" s="279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279"/>
      <c r="AG6" s="279"/>
      <c r="AH6" s="279"/>
      <c r="AI6" s="279"/>
      <c r="AN6" s="86"/>
      <c r="AO6" s="86"/>
      <c r="AP6" s="86"/>
    </row>
    <row r="7" spans="1:71" ht="13.5" customHeight="1" x14ac:dyDescent="0.2">
      <c r="A7" s="279"/>
      <c r="B7" s="279"/>
      <c r="C7" s="279"/>
      <c r="D7" s="279"/>
      <c r="E7" s="279"/>
      <c r="F7" s="279"/>
      <c r="G7" s="279"/>
      <c r="H7" s="279"/>
      <c r="I7" s="279"/>
      <c r="J7" s="279"/>
      <c r="K7" s="279"/>
      <c r="L7" s="279"/>
      <c r="M7" s="279"/>
      <c r="N7" s="279"/>
      <c r="O7" s="279"/>
      <c r="P7" s="279"/>
      <c r="Q7" s="279"/>
      <c r="R7" s="279"/>
      <c r="S7" s="279"/>
      <c r="T7" s="279"/>
      <c r="U7" s="279"/>
      <c r="V7" s="279"/>
      <c r="W7" s="279"/>
      <c r="X7" s="279"/>
      <c r="Y7" s="279"/>
      <c r="Z7" s="279"/>
      <c r="AA7" s="279"/>
      <c r="AB7" s="279"/>
      <c r="AC7" s="279"/>
      <c r="AD7" s="279"/>
      <c r="AE7" s="279"/>
      <c r="AF7" s="279"/>
      <c r="AG7" s="279"/>
      <c r="AH7" s="279"/>
      <c r="AI7" s="279"/>
      <c r="AN7" s="86"/>
      <c r="AO7" s="86"/>
      <c r="AP7" s="86"/>
    </row>
    <row r="8" spans="1:71" ht="12" customHeight="1" x14ac:dyDescent="0.2">
      <c r="A8" s="279"/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279"/>
      <c r="Q8" s="279"/>
      <c r="R8" s="279"/>
      <c r="S8" s="279"/>
      <c r="T8" s="279"/>
      <c r="U8" s="279"/>
      <c r="V8" s="279"/>
      <c r="W8" s="279"/>
      <c r="X8" s="279"/>
      <c r="Y8" s="279"/>
      <c r="Z8" s="279"/>
      <c r="AA8" s="279"/>
      <c r="AB8" s="279"/>
      <c r="AC8" s="279"/>
      <c r="AD8" s="279"/>
      <c r="AE8" s="279"/>
      <c r="AF8" s="279"/>
      <c r="AG8" s="279"/>
      <c r="AH8" s="279"/>
      <c r="AI8" s="279"/>
      <c r="AN8" s="86"/>
      <c r="AO8" s="86"/>
      <c r="AP8" s="86"/>
      <c r="AQ8" s="87"/>
      <c r="AR8" s="87"/>
      <c r="AS8" s="87"/>
    </row>
    <row r="9" spans="1:71" ht="12" customHeight="1" x14ac:dyDescent="0.2">
      <c r="A9" s="279"/>
      <c r="B9" s="279"/>
      <c r="C9" s="279"/>
      <c r="D9" s="279"/>
      <c r="E9" s="279"/>
      <c r="F9" s="279"/>
      <c r="G9" s="279"/>
      <c r="H9" s="279"/>
      <c r="I9" s="279"/>
      <c r="J9" s="279"/>
      <c r="K9" s="279"/>
      <c r="L9" s="279"/>
      <c r="M9" s="279"/>
      <c r="N9" s="279"/>
      <c r="O9" s="279"/>
      <c r="P9" s="279"/>
      <c r="Q9" s="279"/>
      <c r="R9" s="279"/>
      <c r="S9" s="279"/>
      <c r="T9" s="279"/>
      <c r="U9" s="279"/>
      <c r="V9" s="279"/>
      <c r="W9" s="279"/>
      <c r="X9" s="279"/>
      <c r="Y9" s="279"/>
      <c r="Z9" s="279"/>
      <c r="AA9" s="279"/>
      <c r="AB9" s="279"/>
      <c r="AC9" s="279"/>
      <c r="AD9" s="279"/>
      <c r="AE9" s="279"/>
      <c r="AF9" s="279"/>
      <c r="AG9" s="279"/>
      <c r="AH9" s="279"/>
      <c r="AI9" s="279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</row>
    <row r="10" spans="1:71" ht="12" customHeight="1" x14ac:dyDescent="0.2">
      <c r="A10" s="279"/>
      <c r="B10" s="279"/>
      <c r="C10" s="279"/>
      <c r="D10" s="279"/>
      <c r="E10" s="279"/>
      <c r="F10" s="279"/>
      <c r="G10" s="279"/>
      <c r="H10" s="279"/>
      <c r="I10" s="279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79"/>
      <c r="U10" s="279"/>
      <c r="V10" s="279"/>
      <c r="W10" s="279"/>
      <c r="X10" s="279"/>
      <c r="Y10" s="279"/>
      <c r="Z10" s="279"/>
      <c r="AA10" s="279"/>
      <c r="AB10" s="279"/>
      <c r="AC10" s="279"/>
      <c r="AD10" s="279"/>
      <c r="AE10" s="279"/>
      <c r="AF10" s="279"/>
      <c r="AG10" s="279"/>
      <c r="AH10" s="279"/>
      <c r="AI10" s="279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</row>
    <row r="11" spans="1:71" ht="14.25" customHeight="1" x14ac:dyDescent="0.2">
      <c r="A11" s="279"/>
      <c r="B11" s="279"/>
      <c r="C11" s="279"/>
      <c r="D11" s="279"/>
      <c r="E11" s="279"/>
      <c r="F11" s="279"/>
      <c r="G11" s="279"/>
      <c r="H11" s="279"/>
      <c r="I11" s="279"/>
      <c r="J11" s="279"/>
      <c r="K11" s="279"/>
      <c r="L11" s="279"/>
      <c r="M11" s="279"/>
      <c r="N11" s="279"/>
      <c r="O11" s="279"/>
      <c r="P11" s="279"/>
      <c r="Q11" s="279"/>
      <c r="R11" s="279"/>
      <c r="S11" s="279"/>
      <c r="T11" s="279"/>
      <c r="U11" s="279"/>
      <c r="V11" s="279"/>
      <c r="W11" s="279"/>
      <c r="X11" s="279"/>
      <c r="Y11" s="279"/>
      <c r="Z11" s="279"/>
      <c r="AA11" s="279"/>
      <c r="AB11" s="279"/>
      <c r="AC11" s="279"/>
      <c r="AD11" s="279"/>
      <c r="AE11" s="279"/>
      <c r="AF11" s="279"/>
      <c r="AG11" s="279"/>
      <c r="AH11" s="279"/>
      <c r="AI11" s="279"/>
    </row>
    <row r="12" spans="1:71" ht="12.75" customHeight="1" x14ac:dyDescent="0.2">
      <c r="A12" s="279"/>
      <c r="B12" s="279"/>
      <c r="C12" s="279"/>
      <c r="D12" s="279"/>
      <c r="E12" s="279"/>
      <c r="F12" s="279"/>
      <c r="G12" s="279"/>
      <c r="H12" s="279"/>
      <c r="I12" s="279"/>
      <c r="J12" s="279"/>
      <c r="K12" s="279"/>
      <c r="L12" s="279"/>
      <c r="M12" s="279"/>
      <c r="N12" s="279"/>
      <c r="O12" s="279"/>
      <c r="P12" s="279"/>
      <c r="Q12" s="279"/>
      <c r="R12" s="279"/>
      <c r="S12" s="279"/>
      <c r="T12" s="279"/>
      <c r="U12" s="279"/>
      <c r="V12" s="279"/>
      <c r="W12" s="279"/>
      <c r="X12" s="279"/>
      <c r="Y12" s="279"/>
      <c r="Z12" s="279"/>
      <c r="AA12" s="279"/>
      <c r="AB12" s="279"/>
      <c r="AC12" s="279"/>
      <c r="AD12" s="279"/>
      <c r="AE12" s="279"/>
      <c r="AF12" s="279"/>
      <c r="AG12" s="279"/>
      <c r="AH12" s="279"/>
      <c r="AI12" s="279"/>
    </row>
    <row r="13" spans="1:71" ht="12.75" customHeight="1" x14ac:dyDescent="0.2">
      <c r="A13" s="279"/>
      <c r="B13" s="279"/>
      <c r="C13" s="279"/>
      <c r="D13" s="279"/>
      <c r="E13" s="279"/>
      <c r="F13" s="279"/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79"/>
      <c r="S13" s="279"/>
      <c r="T13" s="279"/>
      <c r="U13" s="279"/>
      <c r="V13" s="279"/>
      <c r="W13" s="279"/>
      <c r="X13" s="279"/>
      <c r="Y13" s="279"/>
      <c r="Z13" s="279"/>
      <c r="AA13" s="279"/>
      <c r="AB13" s="279"/>
      <c r="AC13" s="279"/>
      <c r="AD13" s="279"/>
      <c r="AE13" s="279"/>
      <c r="AF13" s="279"/>
      <c r="AG13" s="279"/>
      <c r="AH13" s="279"/>
      <c r="AI13" s="27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</row>
    <row r="14" spans="1:71" ht="12.75" customHeight="1" x14ac:dyDescent="0.2">
      <c r="A14" s="279"/>
      <c r="B14" s="279"/>
      <c r="C14" s="279"/>
      <c r="D14" s="279"/>
      <c r="E14" s="279"/>
      <c r="F14" s="279"/>
      <c r="G14" s="279"/>
      <c r="H14" s="279"/>
      <c r="I14" s="279"/>
      <c r="J14" s="279"/>
      <c r="K14" s="279"/>
      <c r="L14" s="279"/>
      <c r="M14" s="279"/>
      <c r="N14" s="279"/>
      <c r="O14" s="279"/>
      <c r="P14" s="279"/>
      <c r="Q14" s="279"/>
      <c r="R14" s="279"/>
      <c r="S14" s="279"/>
      <c r="T14" s="279"/>
      <c r="U14" s="279"/>
      <c r="V14" s="279"/>
      <c r="W14" s="279"/>
      <c r="X14" s="279"/>
      <c r="Y14" s="279"/>
      <c r="Z14" s="279"/>
      <c r="AA14" s="279"/>
      <c r="AB14" s="279"/>
      <c r="AC14" s="279"/>
      <c r="AD14" s="279"/>
      <c r="AE14" s="279"/>
      <c r="AF14" s="279"/>
      <c r="AG14" s="279"/>
      <c r="AH14" s="279"/>
      <c r="AI14" s="279"/>
      <c r="AT14" s="89"/>
      <c r="AU14" s="89"/>
      <c r="AV14" s="89"/>
      <c r="AW14" s="89"/>
    </row>
    <row r="15" spans="1:71" ht="12" customHeight="1" x14ac:dyDescent="0.2">
      <c r="A15" s="279"/>
      <c r="B15" s="279"/>
      <c r="C15" s="279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N15" s="279"/>
      <c r="O15" s="279"/>
      <c r="P15" s="279"/>
      <c r="Q15" s="279"/>
      <c r="R15" s="279"/>
      <c r="S15" s="279"/>
      <c r="T15" s="279"/>
      <c r="U15" s="279"/>
      <c r="V15" s="279"/>
      <c r="W15" s="279"/>
      <c r="X15" s="279"/>
      <c r="Y15" s="279"/>
      <c r="Z15" s="279"/>
      <c r="AA15" s="279"/>
      <c r="AB15" s="279"/>
      <c r="AC15" s="279"/>
      <c r="AD15" s="279"/>
      <c r="AE15" s="279"/>
      <c r="AF15" s="279"/>
      <c r="AG15" s="279"/>
      <c r="AH15" s="279"/>
      <c r="AI15" s="279"/>
      <c r="AT15" s="90"/>
      <c r="AU15" s="90"/>
      <c r="AV15" s="90"/>
      <c r="AW15" s="90"/>
    </row>
    <row r="16" spans="1:71" ht="12.75" customHeight="1" x14ac:dyDescent="0.2">
      <c r="A16" s="279"/>
      <c r="B16" s="279"/>
      <c r="C16" s="279"/>
      <c r="D16" s="279"/>
      <c r="E16" s="279"/>
      <c r="F16" s="279"/>
      <c r="G16" s="279"/>
      <c r="H16" s="279"/>
      <c r="I16" s="279"/>
      <c r="J16" s="279"/>
      <c r="K16" s="279"/>
      <c r="L16" s="279"/>
      <c r="M16" s="279"/>
      <c r="N16" s="279"/>
      <c r="O16" s="279"/>
      <c r="P16" s="279"/>
      <c r="Q16" s="279"/>
      <c r="R16" s="279"/>
      <c r="S16" s="279"/>
      <c r="T16" s="279"/>
      <c r="U16" s="279"/>
      <c r="V16" s="279"/>
      <c r="W16" s="279"/>
      <c r="X16" s="279"/>
      <c r="Y16" s="279"/>
      <c r="Z16" s="279"/>
      <c r="AA16" s="279"/>
      <c r="AB16" s="279"/>
      <c r="AC16" s="279"/>
      <c r="AD16" s="279"/>
      <c r="AE16" s="279"/>
      <c r="AF16" s="279"/>
      <c r="AG16" s="279"/>
      <c r="AH16" s="279"/>
      <c r="AI16" s="279"/>
      <c r="AT16" s="87"/>
      <c r="AU16" s="87"/>
      <c r="AV16" s="87"/>
      <c r="AW16" s="87"/>
    </row>
    <row r="17" spans="1:35" ht="12" customHeight="1" x14ac:dyDescent="0.2">
      <c r="A17" s="279"/>
      <c r="B17" s="279"/>
      <c r="C17" s="279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279"/>
      <c r="S17" s="279"/>
      <c r="T17" s="279"/>
      <c r="U17" s="279"/>
      <c r="V17" s="279"/>
      <c r="W17" s="279"/>
      <c r="X17" s="279"/>
      <c r="Y17" s="279"/>
      <c r="Z17" s="279"/>
      <c r="AA17" s="279"/>
      <c r="AB17" s="279"/>
      <c r="AC17" s="279"/>
      <c r="AD17" s="279"/>
      <c r="AE17" s="279"/>
      <c r="AF17" s="279"/>
      <c r="AG17" s="279"/>
      <c r="AH17" s="279"/>
      <c r="AI17" s="279"/>
    </row>
    <row r="18" spans="1:35" ht="12" customHeight="1" x14ac:dyDescent="0.2">
      <c r="A18" s="279"/>
      <c r="B18" s="279"/>
      <c r="C18" s="279"/>
      <c r="D18" s="279"/>
      <c r="E18" s="279"/>
      <c r="F18" s="279"/>
      <c r="G18" s="279"/>
      <c r="H18" s="279"/>
      <c r="I18" s="279"/>
      <c r="J18" s="279"/>
      <c r="K18" s="279"/>
      <c r="L18" s="279"/>
      <c r="M18" s="279"/>
      <c r="N18" s="279"/>
      <c r="O18" s="279"/>
      <c r="P18" s="279"/>
      <c r="Q18" s="279"/>
      <c r="R18" s="279"/>
      <c r="S18" s="279"/>
      <c r="T18" s="279"/>
      <c r="U18" s="279"/>
      <c r="V18" s="279"/>
      <c r="W18" s="279"/>
      <c r="X18" s="279"/>
      <c r="Y18" s="279"/>
      <c r="Z18" s="279"/>
      <c r="AA18" s="279"/>
      <c r="AB18" s="279"/>
      <c r="AC18" s="279"/>
      <c r="AD18" s="279"/>
      <c r="AE18" s="279"/>
      <c r="AF18" s="279"/>
      <c r="AG18" s="279"/>
      <c r="AH18" s="279"/>
      <c r="AI18" s="279"/>
    </row>
    <row r="19" spans="1:35" ht="12" customHeight="1" x14ac:dyDescent="0.2">
      <c r="A19" s="279"/>
      <c r="B19" s="279"/>
      <c r="C19" s="279"/>
      <c r="D19" s="279"/>
      <c r="E19" s="279"/>
      <c r="F19" s="279"/>
      <c r="G19" s="279"/>
      <c r="H19" s="279"/>
      <c r="I19" s="279"/>
      <c r="J19" s="279"/>
      <c r="K19" s="279"/>
      <c r="L19" s="279"/>
      <c r="M19" s="279"/>
      <c r="N19" s="279"/>
      <c r="O19" s="279"/>
      <c r="P19" s="279"/>
      <c r="Q19" s="279"/>
      <c r="R19" s="279"/>
      <c r="S19" s="279"/>
      <c r="T19" s="279"/>
      <c r="U19" s="279"/>
      <c r="V19" s="279"/>
      <c r="W19" s="279"/>
      <c r="X19" s="279"/>
      <c r="Y19" s="279"/>
      <c r="Z19" s="279"/>
      <c r="AA19" s="279"/>
      <c r="AB19" s="279"/>
      <c r="AC19" s="279"/>
      <c r="AD19" s="279"/>
      <c r="AE19" s="279"/>
      <c r="AF19" s="279"/>
      <c r="AG19" s="279"/>
      <c r="AH19" s="279"/>
      <c r="AI19" s="279"/>
    </row>
    <row r="20" spans="1:35" ht="12" customHeight="1" x14ac:dyDescent="0.2">
      <c r="A20" s="279"/>
      <c r="B20" s="279"/>
      <c r="C20" s="279"/>
      <c r="D20" s="279"/>
      <c r="E20" s="279"/>
      <c r="F20" s="279"/>
      <c r="G20" s="279"/>
      <c r="H20" s="279"/>
      <c r="I20" s="279"/>
      <c r="J20" s="279"/>
      <c r="K20" s="279"/>
      <c r="L20" s="279"/>
      <c r="M20" s="279"/>
      <c r="N20" s="279"/>
      <c r="O20" s="279"/>
      <c r="P20" s="279"/>
      <c r="Q20" s="279"/>
      <c r="R20" s="279"/>
      <c r="S20" s="279"/>
      <c r="T20" s="279"/>
      <c r="U20" s="279"/>
      <c r="V20" s="279"/>
      <c r="W20" s="279"/>
      <c r="X20" s="279"/>
      <c r="Y20" s="279"/>
      <c r="Z20" s="279"/>
      <c r="AA20" s="279"/>
      <c r="AB20" s="279"/>
      <c r="AC20" s="279"/>
      <c r="AD20" s="279"/>
      <c r="AE20" s="279"/>
      <c r="AF20" s="279"/>
      <c r="AG20" s="279"/>
      <c r="AH20" s="279"/>
      <c r="AI20" s="279"/>
    </row>
    <row r="21" spans="1:35" ht="12" customHeight="1" x14ac:dyDescent="0.2">
      <c r="A21" s="279"/>
      <c r="B21" s="279"/>
      <c r="C21" s="279"/>
      <c r="D21" s="279"/>
      <c r="E21" s="279"/>
      <c r="F21" s="279"/>
      <c r="G21" s="279"/>
      <c r="H21" s="279"/>
      <c r="I21" s="279"/>
      <c r="J21" s="279"/>
      <c r="K21" s="279"/>
      <c r="L21" s="279"/>
      <c r="M21" s="279"/>
      <c r="N21" s="279"/>
      <c r="O21" s="279"/>
      <c r="P21" s="279"/>
      <c r="Q21" s="279"/>
      <c r="R21" s="279"/>
      <c r="S21" s="279"/>
      <c r="T21" s="279"/>
      <c r="U21" s="279"/>
      <c r="V21" s="279"/>
      <c r="W21" s="279"/>
      <c r="X21" s="279"/>
      <c r="Y21" s="279"/>
      <c r="Z21" s="279"/>
      <c r="AA21" s="279"/>
      <c r="AB21" s="279"/>
      <c r="AC21" s="279"/>
      <c r="AD21" s="279"/>
      <c r="AE21" s="279"/>
      <c r="AF21" s="279"/>
      <c r="AG21" s="279"/>
      <c r="AH21" s="279"/>
      <c r="AI21" s="279"/>
    </row>
    <row r="22" spans="1:35" ht="12" customHeight="1" x14ac:dyDescent="0.2">
      <c r="A22" s="279"/>
      <c r="B22" s="279"/>
      <c r="C22" s="279"/>
      <c r="D22" s="279"/>
      <c r="E22" s="279"/>
      <c r="F22" s="279"/>
      <c r="G22" s="279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  <c r="V22" s="279"/>
      <c r="W22" s="279"/>
      <c r="X22" s="279"/>
      <c r="Y22" s="279"/>
      <c r="Z22" s="279"/>
      <c r="AA22" s="279"/>
      <c r="AB22" s="279"/>
      <c r="AC22" s="279"/>
      <c r="AD22" s="279"/>
      <c r="AE22" s="279"/>
      <c r="AF22" s="279"/>
      <c r="AG22" s="279"/>
      <c r="AH22" s="279"/>
      <c r="AI22" s="279"/>
    </row>
    <row r="23" spans="1:35" ht="12" customHeight="1" x14ac:dyDescent="0.2">
      <c r="A23" s="279"/>
      <c r="B23" s="279"/>
      <c r="C23" s="279"/>
      <c r="D23" s="279"/>
      <c r="E23" s="279"/>
      <c r="F23" s="279"/>
      <c r="G23" s="279"/>
      <c r="H23" s="279"/>
      <c r="I23" s="279"/>
      <c r="J23" s="279"/>
      <c r="K23" s="279"/>
      <c r="L23" s="279"/>
      <c r="M23" s="279"/>
      <c r="N23" s="279"/>
      <c r="O23" s="279"/>
      <c r="P23" s="279"/>
      <c r="Q23" s="279"/>
      <c r="R23" s="279"/>
      <c r="S23" s="279"/>
      <c r="T23" s="279"/>
      <c r="U23" s="279"/>
      <c r="V23" s="279"/>
      <c r="W23" s="279"/>
      <c r="X23" s="279"/>
      <c r="Y23" s="279"/>
      <c r="Z23" s="279"/>
      <c r="AA23" s="279"/>
      <c r="AB23" s="279"/>
      <c r="AC23" s="279"/>
      <c r="AD23" s="279"/>
      <c r="AE23" s="279"/>
      <c r="AF23" s="279"/>
      <c r="AG23" s="279"/>
      <c r="AH23" s="279"/>
      <c r="AI23" s="279"/>
    </row>
    <row r="24" spans="1:35" ht="12" customHeight="1" x14ac:dyDescent="0.2">
      <c r="A24" s="279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279"/>
      <c r="N24" s="279"/>
      <c r="O24" s="279"/>
      <c r="P24" s="279"/>
      <c r="Q24" s="279"/>
      <c r="R24" s="279"/>
      <c r="S24" s="279"/>
      <c r="T24" s="279"/>
      <c r="U24" s="279"/>
      <c r="V24" s="279"/>
      <c r="W24" s="279"/>
      <c r="X24" s="279"/>
      <c r="Y24" s="279"/>
      <c r="Z24" s="279"/>
      <c r="AA24" s="279"/>
      <c r="AB24" s="279"/>
      <c r="AC24" s="279"/>
      <c r="AD24" s="279"/>
      <c r="AE24" s="279"/>
      <c r="AF24" s="279"/>
      <c r="AG24" s="279"/>
      <c r="AH24" s="279"/>
      <c r="AI24" s="279"/>
    </row>
    <row r="25" spans="1:35" ht="12" customHeight="1" x14ac:dyDescent="0.2">
      <c r="A25" s="279"/>
      <c r="B25" s="279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79"/>
      <c r="N25" s="279"/>
      <c r="O25" s="279"/>
      <c r="P25" s="279"/>
      <c r="Q25" s="279"/>
      <c r="R25" s="279"/>
      <c r="S25" s="279"/>
      <c r="T25" s="279"/>
      <c r="U25" s="279"/>
      <c r="V25" s="279"/>
      <c r="W25" s="279"/>
      <c r="X25" s="279"/>
      <c r="Y25" s="279"/>
      <c r="Z25" s="279"/>
      <c r="AA25" s="279"/>
      <c r="AB25" s="279"/>
      <c r="AC25" s="279"/>
      <c r="AD25" s="279"/>
      <c r="AE25" s="279"/>
      <c r="AF25" s="279"/>
      <c r="AG25" s="279"/>
      <c r="AH25" s="279"/>
      <c r="AI25" s="279"/>
    </row>
    <row r="26" spans="1:35" ht="12" customHeight="1" x14ac:dyDescent="0.2">
      <c r="A26" s="279"/>
      <c r="B26" s="279"/>
      <c r="C26" s="279"/>
      <c r="D26" s="279"/>
      <c r="E26" s="279"/>
      <c r="F26" s="279"/>
      <c r="G26" s="279"/>
      <c r="H26" s="279"/>
      <c r="I26" s="279"/>
      <c r="J26" s="279"/>
      <c r="K26" s="279"/>
      <c r="L26" s="279"/>
      <c r="M26" s="279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79"/>
      <c r="Y26" s="279"/>
      <c r="Z26" s="279"/>
      <c r="AA26" s="279"/>
      <c r="AB26" s="279"/>
      <c r="AC26" s="279"/>
      <c r="AD26" s="279"/>
      <c r="AE26" s="279"/>
      <c r="AF26" s="279"/>
      <c r="AG26" s="279"/>
      <c r="AH26" s="279"/>
      <c r="AI26" s="279"/>
    </row>
    <row r="27" spans="1:35" ht="12" customHeight="1" x14ac:dyDescent="0.2">
      <c r="A27" s="279"/>
      <c r="B27" s="279"/>
      <c r="C27" s="279"/>
      <c r="D27" s="279"/>
      <c r="E27" s="279"/>
      <c r="F27" s="279"/>
      <c r="G27" s="279"/>
      <c r="H27" s="279"/>
      <c r="I27" s="279"/>
      <c r="J27" s="279"/>
      <c r="K27" s="279"/>
      <c r="L27" s="279"/>
      <c r="M27" s="279"/>
      <c r="N27" s="279"/>
      <c r="O27" s="279"/>
      <c r="P27" s="279"/>
      <c r="Q27" s="279"/>
      <c r="R27" s="279"/>
      <c r="S27" s="279"/>
      <c r="T27" s="279"/>
      <c r="U27" s="279"/>
      <c r="V27" s="279"/>
      <c r="W27" s="279"/>
      <c r="X27" s="279"/>
      <c r="Y27" s="279"/>
      <c r="Z27" s="279"/>
      <c r="AA27" s="279"/>
      <c r="AB27" s="279"/>
      <c r="AC27" s="279"/>
      <c r="AD27" s="279"/>
      <c r="AE27" s="279"/>
      <c r="AF27" s="279"/>
      <c r="AG27" s="279"/>
      <c r="AH27" s="279"/>
      <c r="AI27" s="279"/>
    </row>
    <row r="28" spans="1:35" ht="12" customHeight="1" x14ac:dyDescent="0.2">
      <c r="A28" s="279"/>
      <c r="B28" s="279"/>
      <c r="C28" s="279"/>
      <c r="D28" s="279"/>
      <c r="E28" s="279"/>
      <c r="F28" s="279"/>
      <c r="G28" s="279"/>
      <c r="H28" s="279"/>
      <c r="I28" s="279"/>
      <c r="J28" s="279"/>
      <c r="K28" s="279"/>
      <c r="L28" s="279"/>
      <c r="M28" s="279"/>
      <c r="N28" s="279"/>
      <c r="O28" s="279"/>
      <c r="P28" s="279"/>
      <c r="Q28" s="279"/>
      <c r="R28" s="279"/>
      <c r="S28" s="279"/>
      <c r="T28" s="279"/>
      <c r="U28" s="279"/>
      <c r="V28" s="279"/>
      <c r="W28" s="279"/>
      <c r="X28" s="279"/>
      <c r="Y28" s="279"/>
      <c r="Z28" s="279"/>
      <c r="AA28" s="279"/>
      <c r="AB28" s="279"/>
      <c r="AC28" s="279"/>
      <c r="AD28" s="279"/>
      <c r="AE28" s="279"/>
      <c r="AF28" s="279"/>
      <c r="AG28" s="279"/>
      <c r="AH28" s="279"/>
      <c r="AI28" s="279"/>
    </row>
    <row r="29" spans="1:35" ht="12" customHeight="1" x14ac:dyDescent="0.2">
      <c r="A29" s="279"/>
      <c r="B29" s="279"/>
      <c r="C29" s="279"/>
      <c r="D29" s="279"/>
      <c r="E29" s="279"/>
      <c r="F29" s="279"/>
      <c r="G29" s="279"/>
      <c r="H29" s="279"/>
      <c r="I29" s="279"/>
      <c r="J29" s="279"/>
      <c r="K29" s="279"/>
      <c r="L29" s="279"/>
      <c r="M29" s="279"/>
      <c r="N29" s="279"/>
      <c r="O29" s="279"/>
      <c r="P29" s="279"/>
      <c r="Q29" s="279"/>
      <c r="R29" s="279"/>
      <c r="S29" s="279"/>
      <c r="T29" s="279"/>
      <c r="U29" s="279"/>
      <c r="V29" s="279"/>
      <c r="W29" s="279"/>
      <c r="X29" s="279"/>
      <c r="Y29" s="279"/>
      <c r="Z29" s="279"/>
      <c r="AA29" s="279"/>
      <c r="AB29" s="279"/>
      <c r="AC29" s="279"/>
      <c r="AD29" s="279"/>
      <c r="AE29" s="279"/>
      <c r="AF29" s="279"/>
      <c r="AG29" s="279"/>
      <c r="AH29" s="279"/>
      <c r="AI29" s="279"/>
    </row>
    <row r="30" spans="1:35" ht="12" customHeight="1" x14ac:dyDescent="0.2">
      <c r="A30" s="279"/>
      <c r="B30" s="279"/>
      <c r="C30" s="279"/>
      <c r="D30" s="279"/>
      <c r="E30" s="279"/>
      <c r="F30" s="279"/>
      <c r="G30" s="279"/>
      <c r="H30" s="279"/>
      <c r="I30" s="279"/>
      <c r="J30" s="279"/>
      <c r="K30" s="279"/>
      <c r="L30" s="279"/>
      <c r="M30" s="279"/>
      <c r="N30" s="279"/>
      <c r="O30" s="279"/>
      <c r="P30" s="279"/>
      <c r="Q30" s="279"/>
      <c r="R30" s="279"/>
      <c r="S30" s="279"/>
      <c r="T30" s="279"/>
      <c r="U30" s="279"/>
      <c r="V30" s="279"/>
      <c r="W30" s="279"/>
      <c r="X30" s="279"/>
      <c r="Y30" s="279"/>
      <c r="Z30" s="279"/>
      <c r="AA30" s="279"/>
      <c r="AB30" s="279"/>
      <c r="AC30" s="279"/>
      <c r="AD30" s="279"/>
      <c r="AE30" s="279"/>
      <c r="AF30" s="279"/>
      <c r="AG30" s="279"/>
      <c r="AH30" s="279"/>
      <c r="AI30" s="279"/>
    </row>
    <row r="31" spans="1:35" ht="12" customHeight="1" x14ac:dyDescent="0.2">
      <c r="A31" s="279"/>
      <c r="B31" s="279"/>
      <c r="C31" s="279"/>
      <c r="D31" s="279"/>
      <c r="E31" s="279"/>
      <c r="F31" s="279"/>
      <c r="G31" s="279"/>
      <c r="H31" s="279"/>
      <c r="I31" s="279"/>
      <c r="J31" s="279"/>
      <c r="K31" s="279"/>
      <c r="L31" s="279"/>
      <c r="M31" s="279"/>
      <c r="N31" s="279"/>
      <c r="O31" s="279"/>
      <c r="P31" s="279"/>
      <c r="Q31" s="279"/>
      <c r="R31" s="279"/>
      <c r="S31" s="279"/>
      <c r="T31" s="279"/>
      <c r="U31" s="279"/>
      <c r="V31" s="279"/>
      <c r="W31" s="279"/>
      <c r="X31" s="279"/>
      <c r="Y31" s="279"/>
      <c r="Z31" s="279"/>
      <c r="AA31" s="279"/>
      <c r="AB31" s="279"/>
      <c r="AC31" s="279"/>
      <c r="AD31" s="279"/>
      <c r="AE31" s="279"/>
      <c r="AF31" s="279"/>
      <c r="AG31" s="279"/>
      <c r="AH31" s="279"/>
      <c r="AI31" s="279"/>
    </row>
    <row r="32" spans="1:35" ht="12" customHeight="1" x14ac:dyDescent="0.2">
      <c r="A32" s="279"/>
      <c r="B32" s="279"/>
      <c r="C32" s="279"/>
      <c r="D32" s="279"/>
      <c r="E32" s="279"/>
      <c r="F32" s="279"/>
      <c r="G32" s="279"/>
      <c r="H32" s="279"/>
      <c r="I32" s="279"/>
      <c r="J32" s="279"/>
      <c r="K32" s="279"/>
      <c r="L32" s="279"/>
      <c r="M32" s="279"/>
      <c r="N32" s="279"/>
      <c r="O32" s="279"/>
      <c r="P32" s="279"/>
      <c r="Q32" s="279"/>
      <c r="R32" s="279"/>
      <c r="S32" s="279"/>
      <c r="T32" s="279"/>
      <c r="U32" s="279"/>
      <c r="V32" s="279"/>
      <c r="W32" s="279"/>
      <c r="X32" s="279"/>
      <c r="Y32" s="279"/>
      <c r="Z32" s="279"/>
      <c r="AA32" s="279"/>
      <c r="AB32" s="279"/>
      <c r="AC32" s="279"/>
      <c r="AD32" s="279"/>
      <c r="AE32" s="279"/>
      <c r="AF32" s="279"/>
      <c r="AG32" s="279"/>
      <c r="AH32" s="279"/>
      <c r="AI32" s="279"/>
    </row>
    <row r="33" spans="1:35" ht="12" customHeight="1" x14ac:dyDescent="0.2">
      <c r="A33" s="279"/>
      <c r="B33" s="279"/>
      <c r="C33" s="279"/>
      <c r="D33" s="279"/>
      <c r="E33" s="279"/>
      <c r="F33" s="279"/>
      <c r="G33" s="279"/>
      <c r="H33" s="279"/>
      <c r="I33" s="279"/>
      <c r="J33" s="279"/>
      <c r="K33" s="279"/>
      <c r="L33" s="279"/>
      <c r="M33" s="279"/>
      <c r="N33" s="279"/>
      <c r="O33" s="279"/>
      <c r="P33" s="279"/>
      <c r="Q33" s="279"/>
      <c r="R33" s="279"/>
      <c r="S33" s="279"/>
      <c r="T33" s="279"/>
      <c r="U33" s="279"/>
      <c r="V33" s="279"/>
      <c r="W33" s="279"/>
      <c r="X33" s="279"/>
      <c r="Y33" s="279"/>
      <c r="Z33" s="279"/>
      <c r="AA33" s="279"/>
      <c r="AB33" s="279"/>
      <c r="AC33" s="279"/>
      <c r="AD33" s="279"/>
      <c r="AE33" s="279"/>
      <c r="AF33" s="279"/>
      <c r="AG33" s="279"/>
      <c r="AH33" s="279"/>
      <c r="AI33" s="279"/>
    </row>
    <row r="34" spans="1:35" ht="15" customHeight="1" x14ac:dyDescent="0.2">
      <c r="A34" s="280"/>
      <c r="B34" s="280"/>
      <c r="C34" s="280"/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  <c r="P34" s="280"/>
      <c r="Q34" s="280"/>
      <c r="R34" s="280"/>
      <c r="S34" s="280"/>
      <c r="T34" s="280"/>
      <c r="U34" s="280"/>
      <c r="V34" s="280"/>
      <c r="W34" s="280"/>
      <c r="X34" s="280"/>
      <c r="Y34" s="280"/>
      <c r="Z34" s="280"/>
      <c r="AA34" s="280"/>
      <c r="AB34" s="280"/>
      <c r="AC34" s="280"/>
      <c r="AD34" s="280"/>
      <c r="AE34" s="280"/>
      <c r="AF34" s="280"/>
      <c r="AG34" s="280"/>
      <c r="AH34" s="280"/>
      <c r="AI34" s="280"/>
    </row>
    <row r="35" spans="1:35" x14ac:dyDescent="0.2">
      <c r="A35" s="280"/>
      <c r="B35" s="280"/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  <c r="Z35" s="280"/>
      <c r="AA35" s="280"/>
      <c r="AB35" s="280"/>
      <c r="AC35" s="280"/>
      <c r="AD35" s="280"/>
      <c r="AE35" s="280"/>
      <c r="AF35" s="280"/>
      <c r="AG35" s="280"/>
      <c r="AH35" s="280"/>
      <c r="AI35" s="280"/>
    </row>
    <row r="36" spans="1:35" x14ac:dyDescent="0.2">
      <c r="A36" s="280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280"/>
      <c r="T36" s="280"/>
      <c r="U36" s="280"/>
      <c r="V36" s="280"/>
      <c r="W36" s="280"/>
      <c r="X36" s="280"/>
      <c r="Y36" s="280"/>
      <c r="Z36" s="280"/>
      <c r="AA36" s="280"/>
      <c r="AB36" s="280"/>
      <c r="AC36" s="280"/>
      <c r="AD36" s="280"/>
      <c r="AE36" s="280"/>
      <c r="AF36" s="280"/>
      <c r="AG36" s="280"/>
      <c r="AH36" s="280"/>
      <c r="AI36" s="280"/>
    </row>
    <row r="37" spans="1:35" x14ac:dyDescent="0.2">
      <c r="A37" s="280"/>
      <c r="B37" s="280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280"/>
      <c r="T37" s="280"/>
      <c r="U37" s="280"/>
      <c r="V37" s="280"/>
      <c r="W37" s="280"/>
      <c r="X37" s="280"/>
      <c r="Y37" s="280"/>
      <c r="Z37" s="280"/>
      <c r="AA37" s="280"/>
      <c r="AB37" s="280"/>
      <c r="AC37" s="280"/>
      <c r="AD37" s="280"/>
      <c r="AE37" s="280"/>
      <c r="AF37" s="280"/>
      <c r="AG37" s="280"/>
      <c r="AH37" s="280"/>
      <c r="AI37" s="280"/>
    </row>
    <row r="38" spans="1:35" x14ac:dyDescent="0.2">
      <c r="A38" s="280"/>
      <c r="B38" s="280"/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  <c r="P38" s="280"/>
      <c r="Q38" s="280"/>
      <c r="R38" s="280"/>
      <c r="S38" s="280"/>
      <c r="T38" s="280"/>
      <c r="U38" s="280"/>
      <c r="V38" s="280"/>
      <c r="W38" s="280"/>
      <c r="X38" s="280"/>
      <c r="Y38" s="280"/>
      <c r="Z38" s="280"/>
      <c r="AA38" s="280"/>
      <c r="AB38" s="280"/>
      <c r="AC38" s="280"/>
      <c r="AD38" s="280"/>
      <c r="AE38" s="280"/>
      <c r="AF38" s="280"/>
      <c r="AG38" s="280"/>
      <c r="AH38" s="280"/>
      <c r="AI38" s="280"/>
    </row>
    <row r="39" spans="1:35" ht="15.75" customHeight="1" x14ac:dyDescent="0.2">
      <c r="A39" s="280"/>
      <c r="B39" s="280"/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0"/>
      <c r="N39" s="280"/>
      <c r="O39" s="280"/>
      <c r="P39" s="280"/>
      <c r="Q39" s="280"/>
      <c r="R39" s="280"/>
      <c r="S39" s="280"/>
      <c r="T39" s="280"/>
      <c r="U39" s="280"/>
      <c r="V39" s="280"/>
      <c r="W39" s="280"/>
      <c r="X39" s="280"/>
      <c r="Y39" s="280"/>
      <c r="Z39" s="280"/>
      <c r="AA39" s="280"/>
      <c r="AB39" s="280"/>
      <c r="AC39" s="280"/>
      <c r="AD39" s="280"/>
      <c r="AE39" s="280"/>
      <c r="AF39" s="280"/>
      <c r="AG39" s="280"/>
      <c r="AH39" s="280"/>
      <c r="AI39" s="280"/>
    </row>
    <row r="40" spans="1:35" x14ac:dyDescent="0.2">
      <c r="A40" s="280"/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280"/>
      <c r="T40" s="280"/>
      <c r="U40" s="280"/>
      <c r="V40" s="280"/>
      <c r="W40" s="280"/>
      <c r="X40" s="280"/>
      <c r="Y40" s="280"/>
      <c r="Z40" s="280"/>
      <c r="AA40" s="280"/>
      <c r="AB40" s="280"/>
      <c r="AC40" s="280"/>
      <c r="AD40" s="280"/>
      <c r="AE40" s="280"/>
      <c r="AF40" s="280"/>
      <c r="AG40" s="280"/>
      <c r="AH40" s="280"/>
      <c r="AI40" s="280"/>
    </row>
    <row r="41" spans="1:35" x14ac:dyDescent="0.2">
      <c r="A41" s="280"/>
      <c r="B41" s="280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0"/>
      <c r="N41" s="280"/>
      <c r="O41" s="280"/>
      <c r="P41" s="280"/>
      <c r="Q41" s="280"/>
      <c r="R41" s="280"/>
      <c r="S41" s="280"/>
      <c r="T41" s="280"/>
      <c r="U41" s="280"/>
      <c r="V41" s="280"/>
      <c r="W41" s="280"/>
      <c r="X41" s="280"/>
      <c r="Y41" s="280"/>
      <c r="Z41" s="280"/>
      <c r="AA41" s="280"/>
      <c r="AB41" s="280"/>
      <c r="AC41" s="280"/>
      <c r="AD41" s="280"/>
      <c r="AE41" s="280"/>
      <c r="AF41" s="280"/>
      <c r="AG41" s="280"/>
      <c r="AH41" s="280"/>
      <c r="AI41" s="280"/>
    </row>
    <row r="42" spans="1:35" x14ac:dyDescent="0.2">
      <c r="A42" s="280"/>
      <c r="B42" s="280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  <c r="P42" s="280"/>
      <c r="Q42" s="280"/>
      <c r="R42" s="280"/>
      <c r="S42" s="280"/>
      <c r="T42" s="280"/>
      <c r="U42" s="280"/>
      <c r="V42" s="280"/>
      <c r="W42" s="280"/>
      <c r="X42" s="280"/>
      <c r="Y42" s="280"/>
      <c r="Z42" s="280"/>
      <c r="AA42" s="280"/>
      <c r="AB42" s="280"/>
      <c r="AC42" s="280"/>
      <c r="AD42" s="280"/>
      <c r="AE42" s="280"/>
      <c r="AF42" s="280"/>
      <c r="AG42" s="280"/>
      <c r="AH42" s="280"/>
      <c r="AI42" s="280"/>
    </row>
    <row r="43" spans="1:35" x14ac:dyDescent="0.2">
      <c r="A43" s="280"/>
      <c r="B43" s="280"/>
      <c r="C43" s="280"/>
      <c r="D43" s="280"/>
      <c r="E43" s="280"/>
      <c r="F43" s="280"/>
      <c r="G43" s="280"/>
      <c r="H43" s="280"/>
      <c r="I43" s="280"/>
      <c r="J43" s="280"/>
      <c r="K43" s="280"/>
      <c r="L43" s="280"/>
      <c r="M43" s="280"/>
      <c r="N43" s="280"/>
      <c r="O43" s="280"/>
      <c r="P43" s="280"/>
      <c r="Q43" s="280"/>
      <c r="R43" s="280"/>
      <c r="S43" s="280"/>
      <c r="T43" s="280"/>
      <c r="U43" s="280"/>
      <c r="V43" s="280"/>
      <c r="W43" s="280"/>
      <c r="X43" s="280"/>
      <c r="Y43" s="280"/>
      <c r="Z43" s="280"/>
      <c r="AA43" s="280"/>
      <c r="AB43" s="280"/>
      <c r="AC43" s="280"/>
      <c r="AD43" s="280"/>
      <c r="AE43" s="280"/>
      <c r="AF43" s="280"/>
      <c r="AG43" s="280"/>
      <c r="AH43" s="280"/>
      <c r="AI43" s="280"/>
    </row>
    <row r="44" spans="1:35" x14ac:dyDescent="0.2">
      <c r="A44" s="280"/>
      <c r="B44" s="280"/>
      <c r="C44" s="280"/>
      <c r="D44" s="280"/>
      <c r="E44" s="280"/>
      <c r="F44" s="280"/>
      <c r="G44" s="280"/>
      <c r="H44" s="280"/>
      <c r="I44" s="280"/>
      <c r="J44" s="280"/>
      <c r="K44" s="280"/>
      <c r="L44" s="280"/>
      <c r="M44" s="280"/>
      <c r="N44" s="280"/>
      <c r="O44" s="280"/>
      <c r="P44" s="280"/>
      <c r="Q44" s="280"/>
      <c r="R44" s="280"/>
      <c r="S44" s="280"/>
      <c r="T44" s="280"/>
      <c r="U44" s="280"/>
      <c r="V44" s="280"/>
      <c r="W44" s="280"/>
      <c r="X44" s="280"/>
      <c r="Y44" s="280"/>
      <c r="Z44" s="280"/>
      <c r="AA44" s="280"/>
      <c r="AB44" s="280"/>
      <c r="AC44" s="280"/>
      <c r="AD44" s="280"/>
      <c r="AE44" s="280"/>
      <c r="AF44" s="280"/>
      <c r="AG44" s="280"/>
      <c r="AH44" s="280"/>
      <c r="AI44" s="280"/>
    </row>
    <row r="45" spans="1:35" x14ac:dyDescent="0.2">
      <c r="A45" s="280"/>
      <c r="B45" s="280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/>
      <c r="R45" s="280"/>
      <c r="S45" s="280"/>
      <c r="T45" s="280"/>
      <c r="U45" s="280"/>
      <c r="V45" s="280"/>
      <c r="W45" s="280"/>
      <c r="X45" s="280"/>
      <c r="Y45" s="280"/>
      <c r="Z45" s="280"/>
      <c r="AA45" s="280"/>
      <c r="AB45" s="280"/>
      <c r="AC45" s="280"/>
      <c r="AD45" s="280"/>
      <c r="AE45" s="280"/>
      <c r="AF45" s="280"/>
      <c r="AG45" s="280"/>
      <c r="AH45" s="280"/>
      <c r="AI45" s="280"/>
    </row>
    <row r="46" spans="1:35" x14ac:dyDescent="0.2">
      <c r="A46" s="280"/>
      <c r="B46" s="280"/>
      <c r="C46" s="280"/>
      <c r="D46" s="280"/>
      <c r="E46" s="280"/>
      <c r="F46" s="280"/>
      <c r="G46" s="280"/>
      <c r="H46" s="280"/>
      <c r="I46" s="280"/>
      <c r="J46" s="280"/>
      <c r="K46" s="280"/>
      <c r="L46" s="280"/>
      <c r="M46" s="280"/>
      <c r="N46" s="280"/>
      <c r="O46" s="280"/>
      <c r="P46" s="280"/>
      <c r="Q46" s="280"/>
      <c r="R46" s="280"/>
      <c r="S46" s="280"/>
      <c r="T46" s="280"/>
      <c r="U46" s="280"/>
      <c r="V46" s="280"/>
      <c r="W46" s="280"/>
      <c r="X46" s="280"/>
      <c r="Y46" s="280"/>
      <c r="Z46" s="280"/>
      <c r="AA46" s="280"/>
      <c r="AB46" s="280"/>
      <c r="AC46" s="280"/>
      <c r="AD46" s="280"/>
      <c r="AE46" s="280"/>
      <c r="AF46" s="280"/>
      <c r="AG46" s="280"/>
      <c r="AH46" s="280"/>
      <c r="AI46" s="280"/>
    </row>
    <row r="47" spans="1:35" x14ac:dyDescent="0.2">
      <c r="A47" s="280"/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  <c r="P47" s="280"/>
      <c r="Q47" s="280"/>
      <c r="R47" s="280"/>
      <c r="S47" s="280"/>
      <c r="T47" s="280"/>
      <c r="U47" s="280"/>
      <c r="V47" s="280"/>
      <c r="W47" s="280"/>
      <c r="X47" s="280"/>
      <c r="Y47" s="280"/>
      <c r="Z47" s="280"/>
      <c r="AA47" s="280"/>
      <c r="AB47" s="280"/>
      <c r="AC47" s="280"/>
      <c r="AD47" s="280"/>
      <c r="AE47" s="280"/>
      <c r="AF47" s="280"/>
      <c r="AG47" s="280"/>
      <c r="AH47" s="280"/>
      <c r="AI47" s="280"/>
    </row>
    <row r="48" spans="1:35" ht="12.75" customHeight="1" x14ac:dyDescent="0.2">
      <c r="A48" s="280"/>
      <c r="B48" s="280"/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  <c r="Z48" s="280"/>
      <c r="AA48" s="280"/>
      <c r="AB48" s="280"/>
      <c r="AC48" s="280"/>
      <c r="AD48" s="280"/>
      <c r="AE48" s="280"/>
      <c r="AF48" s="280"/>
      <c r="AG48" s="280"/>
      <c r="AH48" s="280"/>
      <c r="AI48" s="280"/>
    </row>
    <row r="49" spans="1:35" x14ac:dyDescent="0.2">
      <c r="A49" s="280"/>
      <c r="B49" s="280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  <c r="Z49" s="280"/>
      <c r="AA49" s="280"/>
      <c r="AB49" s="280"/>
      <c r="AC49" s="280"/>
      <c r="AD49" s="280"/>
      <c r="AE49" s="280"/>
      <c r="AF49" s="280"/>
      <c r="AG49" s="280"/>
      <c r="AH49" s="280"/>
      <c r="AI49" s="280"/>
    </row>
    <row r="50" spans="1:35" x14ac:dyDescent="0.2">
      <c r="A50" s="280"/>
      <c r="B50" s="280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  <c r="P50" s="280"/>
      <c r="Q50" s="280"/>
      <c r="R50" s="280"/>
      <c r="S50" s="280"/>
      <c r="T50" s="280"/>
      <c r="U50" s="280"/>
      <c r="V50" s="280"/>
      <c r="W50" s="280"/>
      <c r="X50" s="280"/>
      <c r="Y50" s="280"/>
      <c r="Z50" s="280"/>
      <c r="AA50" s="280"/>
      <c r="AB50" s="280"/>
      <c r="AC50" s="280"/>
      <c r="AD50" s="280"/>
      <c r="AE50" s="280"/>
      <c r="AF50" s="280"/>
      <c r="AG50" s="280"/>
      <c r="AH50" s="280"/>
      <c r="AI50" s="280"/>
    </row>
    <row r="51" spans="1:35" x14ac:dyDescent="0.2">
      <c r="A51" s="280"/>
      <c r="B51" s="280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  <c r="P51" s="280"/>
      <c r="Q51" s="280"/>
      <c r="R51" s="280"/>
      <c r="S51" s="280"/>
      <c r="T51" s="280"/>
      <c r="U51" s="280"/>
      <c r="V51" s="280"/>
      <c r="W51" s="280"/>
      <c r="X51" s="280"/>
      <c r="Y51" s="280"/>
      <c r="Z51" s="280"/>
      <c r="AA51" s="280"/>
      <c r="AB51" s="280"/>
      <c r="AC51" s="280"/>
      <c r="AD51" s="280"/>
      <c r="AE51" s="280"/>
      <c r="AF51" s="280"/>
      <c r="AG51" s="280"/>
      <c r="AH51" s="280"/>
      <c r="AI51" s="280"/>
    </row>
    <row r="52" spans="1:35" x14ac:dyDescent="0.2">
      <c r="A52" s="280"/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  <c r="P52" s="280"/>
      <c r="Q52" s="280"/>
      <c r="R52" s="280"/>
      <c r="S52" s="280"/>
      <c r="T52" s="280"/>
      <c r="U52" s="280"/>
      <c r="V52" s="280"/>
      <c r="W52" s="280"/>
      <c r="X52" s="280"/>
      <c r="Y52" s="280"/>
      <c r="Z52" s="280"/>
      <c r="AA52" s="280"/>
      <c r="AB52" s="280"/>
      <c r="AC52" s="280"/>
      <c r="AD52" s="280"/>
      <c r="AE52" s="280"/>
      <c r="AF52" s="280"/>
      <c r="AG52" s="280"/>
      <c r="AH52" s="280"/>
      <c r="AI52" s="280"/>
    </row>
    <row r="53" spans="1:35" x14ac:dyDescent="0.2">
      <c r="A53" s="280"/>
      <c r="B53" s="280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  <c r="N53" s="280"/>
      <c r="O53" s="280"/>
      <c r="P53" s="280"/>
      <c r="Q53" s="280"/>
      <c r="R53" s="280"/>
      <c r="S53" s="280"/>
      <c r="T53" s="280"/>
      <c r="U53" s="280"/>
      <c r="V53" s="280"/>
      <c r="W53" s="280"/>
      <c r="X53" s="280"/>
      <c r="Y53" s="280"/>
      <c r="Z53" s="280"/>
      <c r="AA53" s="280"/>
      <c r="AB53" s="280"/>
      <c r="AC53" s="280"/>
      <c r="AD53" s="280"/>
      <c r="AE53" s="280"/>
      <c r="AF53" s="280"/>
      <c r="AG53" s="280"/>
      <c r="AH53" s="280"/>
      <c r="AI53" s="280"/>
    </row>
    <row r="54" spans="1:35" x14ac:dyDescent="0.2">
      <c r="A54" s="280"/>
      <c r="B54" s="280"/>
      <c r="C54" s="280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280"/>
      <c r="O54" s="280"/>
      <c r="P54" s="280"/>
      <c r="Q54" s="280"/>
      <c r="R54" s="280"/>
      <c r="S54" s="280"/>
      <c r="T54" s="280"/>
      <c r="U54" s="280"/>
      <c r="V54" s="280"/>
      <c r="W54" s="280"/>
      <c r="X54" s="280"/>
      <c r="Y54" s="280"/>
      <c r="Z54" s="280"/>
      <c r="AA54" s="280"/>
      <c r="AB54" s="280"/>
      <c r="AC54" s="280"/>
      <c r="AD54" s="280"/>
      <c r="AE54" s="280"/>
      <c r="AF54" s="280"/>
      <c r="AG54" s="280"/>
      <c r="AH54" s="280"/>
      <c r="AI54" s="280"/>
    </row>
    <row r="55" spans="1:35" x14ac:dyDescent="0.2">
      <c r="A55" s="280"/>
      <c r="B55" s="280"/>
      <c r="C55" s="280"/>
      <c r="D55" s="280"/>
      <c r="E55" s="280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280"/>
      <c r="T55" s="280"/>
      <c r="U55" s="280"/>
      <c r="V55" s="280"/>
      <c r="W55" s="280"/>
      <c r="X55" s="280"/>
      <c r="Y55" s="280"/>
      <c r="Z55" s="280"/>
      <c r="AA55" s="280"/>
      <c r="AB55" s="280"/>
      <c r="AC55" s="280"/>
      <c r="AD55" s="280"/>
      <c r="AE55" s="280"/>
      <c r="AF55" s="280"/>
      <c r="AG55" s="280"/>
      <c r="AH55" s="280"/>
      <c r="AI55" s="280"/>
    </row>
    <row r="56" spans="1:35" x14ac:dyDescent="0.2">
      <c r="A56" s="280"/>
      <c r="B56" s="280"/>
      <c r="C56" s="280"/>
      <c r="D56" s="280"/>
      <c r="E56" s="280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280"/>
      <c r="T56" s="280"/>
      <c r="U56" s="280"/>
      <c r="V56" s="280"/>
      <c r="W56" s="280"/>
      <c r="X56" s="280"/>
      <c r="Y56" s="280"/>
      <c r="Z56" s="280"/>
      <c r="AA56" s="280"/>
      <c r="AB56" s="280"/>
      <c r="AC56" s="280"/>
      <c r="AD56" s="280"/>
      <c r="AE56" s="280"/>
      <c r="AF56" s="280"/>
      <c r="AG56" s="280"/>
      <c r="AH56" s="280"/>
      <c r="AI56" s="280"/>
    </row>
    <row r="57" spans="1:35" x14ac:dyDescent="0.2">
      <c r="A57" s="280"/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280"/>
      <c r="T57" s="280"/>
      <c r="U57" s="280"/>
      <c r="V57" s="280"/>
      <c r="W57" s="280"/>
      <c r="X57" s="280"/>
      <c r="Y57" s="280"/>
      <c r="Z57" s="280"/>
      <c r="AA57" s="280"/>
      <c r="AB57" s="280"/>
      <c r="AC57" s="280"/>
      <c r="AD57" s="280"/>
      <c r="AE57" s="280"/>
      <c r="AF57" s="280"/>
      <c r="AG57" s="280"/>
      <c r="AH57" s="280"/>
      <c r="AI57" s="280"/>
    </row>
    <row r="58" spans="1:35" x14ac:dyDescent="0.2">
      <c r="A58" s="280"/>
      <c r="B58" s="280"/>
      <c r="C58" s="280"/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280"/>
      <c r="T58" s="280"/>
      <c r="U58" s="280"/>
      <c r="V58" s="280"/>
      <c r="W58" s="280"/>
      <c r="X58" s="280"/>
      <c r="Y58" s="280"/>
      <c r="Z58" s="280"/>
      <c r="AA58" s="280"/>
      <c r="AB58" s="280"/>
      <c r="AC58" s="280"/>
      <c r="AD58" s="280"/>
      <c r="AE58" s="280"/>
      <c r="AF58" s="280"/>
      <c r="AG58" s="280"/>
      <c r="AH58" s="280"/>
      <c r="AI58" s="280"/>
    </row>
    <row r="59" spans="1:35" x14ac:dyDescent="0.2">
      <c r="A59" s="280"/>
      <c r="B59" s="280"/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280"/>
      <c r="T59" s="280"/>
      <c r="U59" s="280"/>
      <c r="V59" s="280"/>
      <c r="W59" s="280"/>
      <c r="X59" s="280"/>
      <c r="Y59" s="280"/>
      <c r="Z59" s="280"/>
      <c r="AA59" s="280"/>
      <c r="AB59" s="280"/>
      <c r="AC59" s="280"/>
      <c r="AD59" s="280"/>
      <c r="AE59" s="280"/>
      <c r="AF59" s="280"/>
      <c r="AG59" s="280"/>
      <c r="AH59" s="280"/>
      <c r="AI59" s="280"/>
    </row>
    <row r="60" spans="1:35" x14ac:dyDescent="0.2">
      <c r="A60" s="280"/>
      <c r="B60" s="280"/>
      <c r="C60" s="280"/>
      <c r="D60" s="280"/>
      <c r="E60" s="280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280"/>
      <c r="T60" s="280"/>
      <c r="U60" s="280"/>
      <c r="V60" s="280"/>
      <c r="W60" s="280"/>
      <c r="X60" s="280"/>
      <c r="Y60" s="280"/>
      <c r="Z60" s="280"/>
      <c r="AA60" s="280"/>
      <c r="AB60" s="280"/>
      <c r="AC60" s="280"/>
      <c r="AD60" s="280"/>
      <c r="AE60" s="280"/>
      <c r="AF60" s="280"/>
      <c r="AG60" s="280"/>
      <c r="AH60" s="280"/>
      <c r="AI60" s="280"/>
    </row>
    <row r="61" spans="1:35" x14ac:dyDescent="0.2">
      <c r="A61" s="280"/>
      <c r="B61" s="280"/>
      <c r="C61" s="280"/>
      <c r="D61" s="280"/>
      <c r="E61" s="280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280"/>
      <c r="T61" s="280"/>
      <c r="U61" s="280"/>
      <c r="V61" s="280"/>
      <c r="W61" s="280"/>
      <c r="X61" s="280"/>
      <c r="Y61" s="280"/>
      <c r="Z61" s="280"/>
      <c r="AA61" s="280"/>
      <c r="AB61" s="280"/>
      <c r="AC61" s="280"/>
      <c r="AD61" s="280"/>
      <c r="AE61" s="280"/>
      <c r="AF61" s="280"/>
      <c r="AG61" s="280"/>
      <c r="AH61" s="280"/>
      <c r="AI61" s="280"/>
    </row>
    <row r="62" spans="1:35" x14ac:dyDescent="0.2">
      <c r="A62" s="280"/>
      <c r="B62" s="280"/>
      <c r="C62" s="280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280"/>
      <c r="T62" s="280"/>
      <c r="U62" s="280"/>
      <c r="V62" s="280"/>
      <c r="W62" s="280"/>
      <c r="X62" s="280"/>
      <c r="Y62" s="280"/>
      <c r="Z62" s="280"/>
      <c r="AA62" s="280"/>
      <c r="AB62" s="280"/>
      <c r="AC62" s="280"/>
      <c r="AD62" s="280"/>
      <c r="AE62" s="280"/>
      <c r="AF62" s="280"/>
      <c r="AG62" s="280"/>
      <c r="AH62" s="280"/>
      <c r="AI62" s="280"/>
    </row>
  </sheetData>
  <sheetProtection selectLockedCells="1" selectUnlockedCells="1"/>
  <mergeCells count="4">
    <mergeCell ref="A5:F5"/>
    <mergeCell ref="H5:AI5"/>
    <mergeCell ref="A6:AI33"/>
    <mergeCell ref="A34:AI62"/>
  </mergeCell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B8C75-DCE9-4A97-AD86-AA496E3E00CE}">
  <sheetPr codeName="Sheet2"/>
  <dimension ref="A1:FW62"/>
  <sheetViews>
    <sheetView topLeftCell="A14" zoomScaleNormal="100" workbookViewId="0">
      <selection activeCell="Z15" sqref="Z15:AD15"/>
    </sheetView>
  </sheetViews>
  <sheetFormatPr defaultColWidth="0" defaultRowHeight="11.45" customHeight="1" zeroHeight="1" x14ac:dyDescent="0.2"/>
  <cols>
    <col min="1" max="80" width="2.7109375" style="12" customWidth="1"/>
    <col min="81" max="179" width="2.7109375" style="12" hidden="1" customWidth="1"/>
    <col min="180" max="180" width="9.140625" style="12" hidden="1" customWidth="1"/>
    <col min="181" max="16384" width="9.140625" style="12" hidden="1"/>
  </cols>
  <sheetData>
    <row r="1" spans="1:109" ht="12" customHeight="1" x14ac:dyDescent="0.2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546" t="s">
        <v>159</v>
      </c>
      <c r="AK1" s="546"/>
      <c r="AL1" s="546"/>
      <c r="AM1" s="546"/>
      <c r="AN1" s="546"/>
      <c r="AO1" s="546"/>
      <c r="AP1" s="546"/>
      <c r="AQ1" s="546"/>
      <c r="AR1" s="546"/>
      <c r="AS1" s="546"/>
      <c r="AT1" s="546"/>
      <c r="AU1" s="546"/>
      <c r="AV1" s="546"/>
      <c r="AW1" s="546"/>
      <c r="AX1" s="546"/>
      <c r="AY1" s="546"/>
      <c r="AZ1" s="546"/>
      <c r="BA1" s="546"/>
      <c r="BB1" s="546"/>
      <c r="BC1" s="546"/>
      <c r="BD1" s="546"/>
      <c r="BE1" s="546"/>
      <c r="BF1" s="546"/>
      <c r="BG1" s="546"/>
      <c r="BH1" s="546"/>
      <c r="BI1" s="546"/>
      <c r="BJ1" s="546"/>
      <c r="BK1" s="546"/>
      <c r="BL1" s="546"/>
      <c r="BM1" s="546"/>
      <c r="BN1" s="546"/>
      <c r="BO1" s="546"/>
      <c r="BP1" s="546"/>
      <c r="BQ1" s="546"/>
      <c r="BR1" s="546"/>
      <c r="BS1" s="546"/>
      <c r="BT1" s="546"/>
      <c r="BU1" s="546"/>
      <c r="BV1" s="546"/>
      <c r="BW1" s="546"/>
      <c r="BX1" s="546"/>
      <c r="BY1" s="546"/>
      <c r="BZ1" s="546"/>
      <c r="CA1" s="546"/>
      <c r="CB1" s="546"/>
    </row>
    <row r="2" spans="1:109" ht="12" customHeight="1" thickBo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</row>
    <row r="3" spans="1:109" ht="12" customHeight="1" thickBo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4"/>
      <c r="AK3" s="471" t="s">
        <v>160</v>
      </c>
      <c r="AL3" s="472"/>
      <c r="AM3" s="472"/>
      <c r="AN3" s="472"/>
      <c r="AO3" s="472"/>
      <c r="AP3" s="472"/>
      <c r="AQ3" s="472"/>
      <c r="AR3" s="472"/>
      <c r="AS3" s="472"/>
      <c r="AT3" s="472"/>
      <c r="AU3" s="472"/>
      <c r="AV3" s="472"/>
      <c r="AW3" s="472"/>
      <c r="AX3" s="472"/>
      <c r="AY3" s="473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</row>
    <row r="4" spans="1:109" ht="12" customHeight="1" thickTop="1" x14ac:dyDescent="0.2">
      <c r="A4" s="48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4"/>
      <c r="AK4" s="324"/>
      <c r="AL4" s="547"/>
      <c r="AM4" s="547"/>
      <c r="AN4" s="547"/>
      <c r="AO4" s="325"/>
      <c r="AP4" s="548"/>
      <c r="AQ4" s="547"/>
      <c r="AR4" s="547"/>
      <c r="AS4" s="547"/>
      <c r="AT4" s="325"/>
      <c r="AU4" s="548"/>
      <c r="AV4" s="547"/>
      <c r="AW4" s="547"/>
      <c r="AX4" s="547"/>
      <c r="AY4" s="549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</row>
    <row r="5" spans="1:109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44"/>
      <c r="AK5" s="521"/>
      <c r="AL5" s="522"/>
      <c r="AM5" s="522"/>
      <c r="AN5" s="522"/>
      <c r="AO5" s="523"/>
      <c r="AP5" s="524"/>
      <c r="AQ5" s="522"/>
      <c r="AR5" s="522"/>
      <c r="AS5" s="522"/>
      <c r="AT5" s="523"/>
      <c r="AU5" s="524"/>
      <c r="AV5" s="522"/>
      <c r="AW5" s="522"/>
      <c r="AX5" s="522"/>
      <c r="AY5" s="525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</row>
    <row r="6" spans="1:109" ht="12" customHeight="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4"/>
      <c r="AK6" s="521"/>
      <c r="AL6" s="522"/>
      <c r="AM6" s="522"/>
      <c r="AN6" s="522"/>
      <c r="AO6" s="523"/>
      <c r="AP6" s="524"/>
      <c r="AQ6" s="522"/>
      <c r="AR6" s="522"/>
      <c r="AS6" s="522"/>
      <c r="AT6" s="523"/>
      <c r="AU6" s="524"/>
      <c r="AV6" s="522"/>
      <c r="AW6" s="522"/>
      <c r="AX6" s="522"/>
      <c r="AY6" s="525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</row>
    <row r="7" spans="1:109" ht="12" customHeight="1" x14ac:dyDescent="0.2">
      <c r="A7" s="526" t="s">
        <v>161</v>
      </c>
      <c r="B7" s="526"/>
      <c r="C7" s="526"/>
      <c r="D7" s="526"/>
      <c r="E7" s="526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42"/>
      <c r="R7" s="42"/>
      <c r="S7" s="42"/>
      <c r="T7" s="526" t="s">
        <v>162</v>
      </c>
      <c r="U7" s="526"/>
      <c r="V7" s="526"/>
      <c r="W7" s="526"/>
      <c r="X7" s="526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44"/>
      <c r="AK7" s="521"/>
      <c r="AL7" s="522"/>
      <c r="AM7" s="522"/>
      <c r="AN7" s="522"/>
      <c r="AO7" s="523"/>
      <c r="AP7" s="524"/>
      <c r="AQ7" s="522"/>
      <c r="AR7" s="522"/>
      <c r="AS7" s="522"/>
      <c r="AT7" s="523"/>
      <c r="AU7" s="524"/>
      <c r="AV7" s="522"/>
      <c r="AW7" s="522"/>
      <c r="AX7" s="522"/>
      <c r="AY7" s="525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</row>
    <row r="8" spans="1:109" ht="12" customHeight="1" x14ac:dyDescent="0.2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4"/>
      <c r="AK8" s="521"/>
      <c r="AL8" s="522"/>
      <c r="AM8" s="522"/>
      <c r="AN8" s="522"/>
      <c r="AO8" s="523"/>
      <c r="AP8" s="524"/>
      <c r="AQ8" s="522"/>
      <c r="AR8" s="522"/>
      <c r="AS8" s="522"/>
      <c r="AT8" s="523"/>
      <c r="AU8" s="524"/>
      <c r="AV8" s="522"/>
      <c r="AW8" s="522"/>
      <c r="AX8" s="522"/>
      <c r="AY8" s="525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</row>
    <row r="9" spans="1:109" ht="12" customHeight="1" thickBot="1" x14ac:dyDescent="0.25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526" t="s">
        <v>164</v>
      </c>
      <c r="U9" s="526"/>
      <c r="V9" s="526"/>
      <c r="W9" s="526"/>
      <c r="X9" s="526"/>
      <c r="Y9" s="527"/>
      <c r="Z9" s="527"/>
      <c r="AA9" s="527"/>
      <c r="AB9" s="527"/>
      <c r="AC9" s="527"/>
      <c r="AD9" s="527"/>
      <c r="AE9" s="527"/>
      <c r="AF9" s="527"/>
      <c r="AG9" s="527"/>
      <c r="AH9" s="527"/>
      <c r="AI9" s="527"/>
      <c r="AJ9" s="44"/>
      <c r="AK9" s="528"/>
      <c r="AL9" s="529"/>
      <c r="AM9" s="529"/>
      <c r="AN9" s="529"/>
      <c r="AO9" s="530"/>
      <c r="AP9" s="531"/>
      <c r="AQ9" s="529"/>
      <c r="AR9" s="529"/>
      <c r="AS9" s="529"/>
      <c r="AT9" s="530"/>
      <c r="AU9" s="531"/>
      <c r="AV9" s="529"/>
      <c r="AW9" s="529"/>
      <c r="AX9" s="529"/>
      <c r="AY9" s="532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</row>
    <row r="10" spans="1:109" ht="12" customHeight="1" thickBo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</row>
    <row r="11" spans="1:109" ht="12.75" thickBot="1" x14ac:dyDescent="0.25">
      <c r="A11" s="314" t="s">
        <v>165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6"/>
      <c r="Q11" s="42"/>
      <c r="R11" s="42"/>
      <c r="S11" s="42"/>
      <c r="T11" s="314" t="s">
        <v>166</v>
      </c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6"/>
      <c r="AJ11" s="44"/>
      <c r="AK11" s="533" t="s">
        <v>167</v>
      </c>
      <c r="AL11" s="534"/>
      <c r="AM11" s="534"/>
      <c r="AN11" s="534"/>
      <c r="AO11" s="534"/>
      <c r="AP11" s="534"/>
      <c r="AQ11" s="534"/>
      <c r="AR11" s="534"/>
      <c r="AS11" s="534"/>
      <c r="AT11" s="534"/>
      <c r="AU11" s="534"/>
      <c r="AV11" s="534"/>
      <c r="AW11" s="534"/>
      <c r="AX11" s="534"/>
      <c r="AY11" s="534"/>
      <c r="AZ11" s="534"/>
      <c r="BA11" s="534"/>
      <c r="BB11" s="534"/>
      <c r="BC11" s="534"/>
      <c r="BD11" s="534"/>
      <c r="BE11" s="534"/>
      <c r="BF11" s="534"/>
      <c r="BG11" s="534"/>
      <c r="BH11" s="534"/>
      <c r="BI11" s="534"/>
      <c r="BJ11" s="534"/>
      <c r="BK11" s="534"/>
      <c r="BL11" s="534"/>
      <c r="BM11" s="534"/>
      <c r="BN11" s="534"/>
      <c r="BO11" s="535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L11" s="49"/>
      <c r="CM11" s="49"/>
      <c r="CN11" s="49"/>
      <c r="CO11" s="49"/>
      <c r="CP11" s="49"/>
      <c r="CQ11" s="49"/>
      <c r="CR11" s="49"/>
      <c r="CS11" s="49"/>
      <c r="CT11" s="49"/>
      <c r="CU11" s="49"/>
      <c r="CV11" s="49"/>
      <c r="CW11" s="49"/>
      <c r="CX11" s="49"/>
      <c r="CY11" s="49"/>
      <c r="CZ11" s="49"/>
      <c r="DA11" s="49"/>
      <c r="DB11" s="49"/>
      <c r="DC11" s="49"/>
      <c r="DD11" s="49"/>
    </row>
    <row r="12" spans="1:109" ht="12" customHeight="1" thickTop="1" x14ac:dyDescent="0.2">
      <c r="A12" s="536" t="s">
        <v>168</v>
      </c>
      <c r="B12" s="537"/>
      <c r="C12" s="537"/>
      <c r="D12" s="537"/>
      <c r="E12" s="537"/>
      <c r="F12" s="538"/>
      <c r="G12" s="362"/>
      <c r="H12" s="362"/>
      <c r="I12" s="362"/>
      <c r="J12" s="362"/>
      <c r="K12" s="362"/>
      <c r="L12" s="362"/>
      <c r="M12" s="362"/>
      <c r="N12" s="362"/>
      <c r="O12" s="362"/>
      <c r="P12" s="364"/>
      <c r="Q12" s="42"/>
      <c r="R12" s="42"/>
      <c r="S12" s="42"/>
      <c r="T12" s="539" t="s">
        <v>169</v>
      </c>
      <c r="U12" s="540"/>
      <c r="V12" s="540"/>
      <c r="W12" s="540"/>
      <c r="X12" s="540"/>
      <c r="Y12" s="541"/>
      <c r="Z12" s="362"/>
      <c r="AA12" s="362"/>
      <c r="AB12" s="362"/>
      <c r="AC12" s="362"/>
      <c r="AD12" s="362"/>
      <c r="AE12" s="441"/>
      <c r="AF12" s="442"/>
      <c r="AG12" s="442"/>
      <c r="AH12" s="442"/>
      <c r="AI12" s="443"/>
      <c r="AJ12" s="44"/>
      <c r="AK12" s="542"/>
      <c r="AL12" s="543"/>
      <c r="AM12" s="544"/>
      <c r="AN12" s="296" t="s">
        <v>170</v>
      </c>
      <c r="AO12" s="296"/>
      <c r="AP12" s="296"/>
      <c r="AQ12" s="296" t="s">
        <v>171</v>
      </c>
      <c r="AR12" s="296"/>
      <c r="AS12" s="296"/>
      <c r="AT12" s="296"/>
      <c r="AU12" s="296"/>
      <c r="AV12" s="296"/>
      <c r="AW12" s="296"/>
      <c r="AX12" s="296"/>
      <c r="AY12" s="515"/>
      <c r="AZ12" s="296" t="s">
        <v>172</v>
      </c>
      <c r="BA12" s="296"/>
      <c r="BB12" s="296"/>
      <c r="BC12" s="296"/>
      <c r="BD12" s="296"/>
      <c r="BE12" s="296"/>
      <c r="BF12" s="296"/>
      <c r="BG12" s="296"/>
      <c r="BH12" s="515" t="s">
        <v>173</v>
      </c>
      <c r="BI12" s="516"/>
      <c r="BJ12" s="516"/>
      <c r="BK12" s="516"/>
      <c r="BL12" s="516"/>
      <c r="BM12" s="516"/>
      <c r="BN12" s="516"/>
      <c r="BO12" s="517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</row>
    <row r="13" spans="1:109" ht="12" customHeight="1" x14ac:dyDescent="0.2">
      <c r="A13" s="406" t="s">
        <v>174</v>
      </c>
      <c r="B13" s="407"/>
      <c r="C13" s="407"/>
      <c r="D13" s="407"/>
      <c r="E13" s="407"/>
      <c r="F13" s="408"/>
      <c r="G13" s="400"/>
      <c r="H13" s="400"/>
      <c r="I13" s="400"/>
      <c r="J13" s="400"/>
      <c r="K13" s="400"/>
      <c r="L13" s="400"/>
      <c r="M13" s="400"/>
      <c r="N13" s="400"/>
      <c r="O13" s="400"/>
      <c r="P13" s="401"/>
      <c r="Q13" s="42"/>
      <c r="R13" s="42"/>
      <c r="S13" s="42"/>
      <c r="T13" s="333" t="s">
        <v>175</v>
      </c>
      <c r="U13" s="334"/>
      <c r="V13" s="334"/>
      <c r="W13" s="334"/>
      <c r="X13" s="334"/>
      <c r="Y13" s="334"/>
      <c r="Z13" s="400"/>
      <c r="AA13" s="400"/>
      <c r="AB13" s="400"/>
      <c r="AC13" s="400"/>
      <c r="AD13" s="400"/>
      <c r="AE13" s="413"/>
      <c r="AF13" s="414"/>
      <c r="AG13" s="414"/>
      <c r="AH13" s="414"/>
      <c r="AI13" s="415"/>
      <c r="AJ13" s="44"/>
      <c r="AK13" s="457" t="s">
        <v>176</v>
      </c>
      <c r="AL13" s="289"/>
      <c r="AM13" s="289"/>
      <c r="AN13" s="520"/>
      <c r="AO13" s="520"/>
      <c r="AP13" s="520"/>
      <c r="AQ13" s="505"/>
      <c r="AR13" s="505"/>
      <c r="AS13" s="505"/>
      <c r="AT13" s="490" t="s">
        <v>177</v>
      </c>
      <c r="AU13" s="490"/>
      <c r="AV13" s="490"/>
      <c r="AW13" s="490"/>
      <c r="AX13" s="490"/>
      <c r="AY13" s="491"/>
      <c r="AZ13" s="518" t="str">
        <f>IF(AN13="","",IF(100*(ABS(AN13-$AN$16)/$AN$16)&gt;10,"T1 Exceeds 10% by "&amp;ROUND(100*(ABS(AN13-$AN$16)/$AN$16)-10,1)&amp;"%",""))</f>
        <v/>
      </c>
      <c r="BA13" s="518"/>
      <c r="BB13" s="518"/>
      <c r="BC13" s="518"/>
      <c r="BD13" s="518"/>
      <c r="BE13" s="518"/>
      <c r="BF13" s="518"/>
      <c r="BG13" s="518"/>
      <c r="BH13" s="518" t="str">
        <f>IF(AQ13="","",IF(100*(ABS(AQ13-$AQ$16)/$AQ$16)&gt;2,"T1 Exceeds 2% by "&amp;ROUND(100*(ABS(AQ13-$AQ$16)/$AQ$16)-2,1)&amp;"%",""))</f>
        <v/>
      </c>
      <c r="BI13" s="518"/>
      <c r="BJ13" s="518"/>
      <c r="BK13" s="518"/>
      <c r="BL13" s="518"/>
      <c r="BM13" s="518"/>
      <c r="BN13" s="518"/>
      <c r="BO13" s="519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</row>
    <row r="14" spans="1:109" ht="12" customHeight="1" x14ac:dyDescent="0.2">
      <c r="A14" s="406" t="s">
        <v>178</v>
      </c>
      <c r="B14" s="407"/>
      <c r="C14" s="407"/>
      <c r="D14" s="407"/>
      <c r="E14" s="407"/>
      <c r="F14" s="408"/>
      <c r="G14" s="400"/>
      <c r="H14" s="400"/>
      <c r="I14" s="400"/>
      <c r="J14" s="400"/>
      <c r="K14" s="400"/>
      <c r="L14" s="400"/>
      <c r="M14" s="400"/>
      <c r="N14" s="400"/>
      <c r="O14" s="400"/>
      <c r="P14" s="401"/>
      <c r="Q14" s="42"/>
      <c r="R14" s="42"/>
      <c r="S14" s="42"/>
      <c r="T14" s="333" t="s">
        <v>179</v>
      </c>
      <c r="U14" s="334"/>
      <c r="V14" s="334"/>
      <c r="W14" s="334"/>
      <c r="X14" s="334"/>
      <c r="Y14" s="334"/>
      <c r="Z14" s="400"/>
      <c r="AA14" s="400"/>
      <c r="AB14" s="400"/>
      <c r="AC14" s="400"/>
      <c r="AD14" s="400"/>
      <c r="AE14" s="413"/>
      <c r="AF14" s="414"/>
      <c r="AG14" s="414"/>
      <c r="AH14" s="414"/>
      <c r="AI14" s="415"/>
      <c r="AJ14" s="44"/>
      <c r="AK14" s="457" t="s">
        <v>180</v>
      </c>
      <c r="AL14" s="289"/>
      <c r="AM14" s="289"/>
      <c r="AN14" s="520"/>
      <c r="AO14" s="520"/>
      <c r="AP14" s="520"/>
      <c r="AQ14" s="505"/>
      <c r="AR14" s="505"/>
      <c r="AS14" s="505"/>
      <c r="AT14" s="505"/>
      <c r="AU14" s="505"/>
      <c r="AV14" s="505"/>
      <c r="AW14" s="505"/>
      <c r="AX14" s="505"/>
      <c r="AY14" s="506"/>
      <c r="AZ14" s="518" t="str">
        <f>IF(AN14="","",IF(100*(ABS(AN14-$AN$16)/$AN$16)&gt;10,"T2 Exceeds 10% by "&amp;ROUND(100*(ABS(AN14-$AN$16)/$AN$16)-10,1)&amp;"%",""))</f>
        <v/>
      </c>
      <c r="BA14" s="518"/>
      <c r="BB14" s="518"/>
      <c r="BC14" s="518"/>
      <c r="BD14" s="518"/>
      <c r="BE14" s="518"/>
      <c r="BF14" s="518"/>
      <c r="BG14" s="518"/>
      <c r="BH14" s="518" t="str">
        <f>IF(AQ14="","",IF(100*(ABS(AQ14-$AQ$16)/$AQ$16)&gt;2,"T2 Exceeds 2% by "&amp;ROUND(100*(ABS(AQ14-$AQ$16)/$AQ$16)-2,1)&amp;"%",""))</f>
        <v/>
      </c>
      <c r="BI14" s="518"/>
      <c r="BJ14" s="518"/>
      <c r="BK14" s="518"/>
      <c r="BL14" s="518"/>
      <c r="BM14" s="518"/>
      <c r="BN14" s="518"/>
      <c r="BO14" s="519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2"/>
    </row>
    <row r="15" spans="1:109" ht="12" customHeight="1" x14ac:dyDescent="0.2">
      <c r="A15" s="406" t="s">
        <v>181</v>
      </c>
      <c r="B15" s="407"/>
      <c r="C15" s="407"/>
      <c r="D15" s="407"/>
      <c r="E15" s="407"/>
      <c r="F15" s="408"/>
      <c r="G15" s="513"/>
      <c r="H15" s="513"/>
      <c r="I15" s="513"/>
      <c r="J15" s="513"/>
      <c r="K15" s="513"/>
      <c r="L15" s="513"/>
      <c r="M15" s="513"/>
      <c r="N15" s="513"/>
      <c r="O15" s="513"/>
      <c r="P15" s="514"/>
      <c r="Q15" s="42"/>
      <c r="R15" s="42"/>
      <c r="S15" s="42"/>
      <c r="T15" s="333" t="s">
        <v>174</v>
      </c>
      <c r="U15" s="334"/>
      <c r="V15" s="334"/>
      <c r="W15" s="334"/>
      <c r="X15" s="334"/>
      <c r="Y15" s="334"/>
      <c r="Z15" s="400"/>
      <c r="AA15" s="400"/>
      <c r="AB15" s="400"/>
      <c r="AC15" s="400"/>
      <c r="AD15" s="400"/>
      <c r="AE15" s="413"/>
      <c r="AF15" s="414"/>
      <c r="AG15" s="414"/>
      <c r="AH15" s="414"/>
      <c r="AI15" s="415"/>
      <c r="AJ15" s="44"/>
      <c r="AK15" s="457" t="s">
        <v>183</v>
      </c>
      <c r="AL15" s="289"/>
      <c r="AM15" s="289"/>
      <c r="AN15" s="520"/>
      <c r="AO15" s="520"/>
      <c r="AP15" s="520"/>
      <c r="AQ15" s="505"/>
      <c r="AR15" s="505"/>
      <c r="AS15" s="505"/>
      <c r="AT15" s="490" t="s">
        <v>184</v>
      </c>
      <c r="AU15" s="490"/>
      <c r="AV15" s="490"/>
      <c r="AW15" s="490"/>
      <c r="AX15" s="490"/>
      <c r="AY15" s="491"/>
      <c r="AZ15" s="518" t="str">
        <f>IF(AN15="","",IF(100*(ABS(AN15-$AN$16)/$AN$16)&gt;10,"T3 Exceeds 10% by "&amp;ROUND(100*(ABS(AN15-$AN$16)/$AN$16)-10,1)&amp;"%",""))</f>
        <v/>
      </c>
      <c r="BA15" s="518"/>
      <c r="BB15" s="518"/>
      <c r="BC15" s="518"/>
      <c r="BD15" s="518"/>
      <c r="BE15" s="518"/>
      <c r="BF15" s="518"/>
      <c r="BG15" s="518"/>
      <c r="BH15" s="518" t="str">
        <f>IF(AQ15="","",IF(100*(ABS(AQ15-$AQ$16)/$AQ$16)&gt;2,"T3 Exceeds 2% by "&amp;ROUND(100*(ABS(AQ15-$AQ$16)/$AQ$16)-2,1)&amp;"%",""))</f>
        <v/>
      </c>
      <c r="BI15" s="518"/>
      <c r="BJ15" s="518"/>
      <c r="BK15" s="518"/>
      <c r="BL15" s="518"/>
      <c r="BM15" s="518"/>
      <c r="BN15" s="518"/>
      <c r="BO15" s="519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2"/>
    </row>
    <row r="16" spans="1:109" ht="12" customHeight="1" thickBot="1" x14ac:dyDescent="0.25">
      <c r="A16" s="426" t="s">
        <v>185</v>
      </c>
      <c r="B16" s="427"/>
      <c r="C16" s="427"/>
      <c r="D16" s="427"/>
      <c r="E16" s="427"/>
      <c r="F16" s="428"/>
      <c r="G16" s="349"/>
      <c r="H16" s="349"/>
      <c r="I16" s="349"/>
      <c r="J16" s="349"/>
      <c r="K16" s="349"/>
      <c r="L16" s="349"/>
      <c r="M16" s="349"/>
      <c r="N16" s="349"/>
      <c r="O16" s="349"/>
      <c r="P16" s="469"/>
      <c r="Q16" s="42"/>
      <c r="R16" s="42"/>
      <c r="S16" s="42"/>
      <c r="T16" s="333" t="s">
        <v>186</v>
      </c>
      <c r="U16" s="334"/>
      <c r="V16" s="334"/>
      <c r="W16" s="334"/>
      <c r="X16" s="334"/>
      <c r="Y16" s="334"/>
      <c r="Z16" s="501"/>
      <c r="AA16" s="502"/>
      <c r="AB16" s="502"/>
      <c r="AC16" s="418" t="s">
        <v>187</v>
      </c>
      <c r="AD16" s="512"/>
      <c r="AE16" s="501"/>
      <c r="AF16" s="502"/>
      <c r="AG16" s="502"/>
      <c r="AH16" s="418" t="s">
        <v>187</v>
      </c>
      <c r="AI16" s="503"/>
      <c r="AJ16" s="44"/>
      <c r="AK16" s="457" t="s">
        <v>188</v>
      </c>
      <c r="AL16" s="289"/>
      <c r="AM16" s="289"/>
      <c r="AN16" s="504" t="str">
        <f>IFERROR(AVERAGE(AN13:AP15),"")</f>
        <v/>
      </c>
      <c r="AO16" s="504"/>
      <c r="AP16" s="504"/>
      <c r="AQ16" s="458" t="str">
        <f>IFERROR(AVERAGE(AQ13:AS15),"")</f>
        <v/>
      </c>
      <c r="AR16" s="458"/>
      <c r="AS16" s="458"/>
      <c r="AT16" s="505"/>
      <c r="AU16" s="505"/>
      <c r="AV16" s="505"/>
      <c r="AW16" s="505"/>
      <c r="AX16" s="505"/>
      <c r="AY16" s="506"/>
      <c r="AZ16" s="478" t="s">
        <v>189</v>
      </c>
      <c r="BA16" s="479"/>
      <c r="BB16" s="479"/>
      <c r="BC16" s="479"/>
      <c r="BD16" s="479"/>
      <c r="BE16" s="479"/>
      <c r="BF16" s="479"/>
      <c r="BG16" s="479"/>
      <c r="BH16" s="479"/>
      <c r="BI16" s="479"/>
      <c r="BJ16" s="479"/>
      <c r="BK16" s="479"/>
      <c r="BL16" s="479"/>
      <c r="BM16" s="479"/>
      <c r="BN16" s="479"/>
      <c r="BO16" s="480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2"/>
    </row>
    <row r="17" spans="1:109" ht="12" customHeight="1" thickBo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347" t="s">
        <v>190</v>
      </c>
      <c r="U17" s="348"/>
      <c r="V17" s="348"/>
      <c r="W17" s="348"/>
      <c r="X17" s="348"/>
      <c r="Y17" s="348"/>
      <c r="Z17" s="349"/>
      <c r="AA17" s="349"/>
      <c r="AB17" s="349"/>
      <c r="AC17" s="349"/>
      <c r="AD17" s="349"/>
      <c r="AE17" s="481"/>
      <c r="AF17" s="482"/>
      <c r="AG17" s="482"/>
      <c r="AH17" s="482"/>
      <c r="AI17" s="483"/>
      <c r="AJ17" s="44"/>
      <c r="AK17" s="484"/>
      <c r="AL17" s="485"/>
      <c r="AM17" s="485"/>
      <c r="AN17" s="485"/>
      <c r="AO17" s="485"/>
      <c r="AP17" s="485"/>
      <c r="AQ17" s="485"/>
      <c r="AR17" s="485"/>
      <c r="AS17" s="486"/>
      <c r="AT17" s="490" t="s">
        <v>191</v>
      </c>
      <c r="AU17" s="490"/>
      <c r="AV17" s="490"/>
      <c r="AW17" s="490"/>
      <c r="AX17" s="490"/>
      <c r="AY17" s="491"/>
      <c r="AZ17" s="492" t="s">
        <v>192</v>
      </c>
      <c r="BA17" s="493"/>
      <c r="BB17" s="493"/>
      <c r="BC17" s="493"/>
      <c r="BD17" s="493"/>
      <c r="BE17" s="493"/>
      <c r="BF17" s="493"/>
      <c r="BG17" s="493"/>
      <c r="BH17" s="493"/>
      <c r="BI17" s="493"/>
      <c r="BJ17" s="493"/>
      <c r="BK17" s="493"/>
      <c r="BL17" s="493"/>
      <c r="BM17" s="493"/>
      <c r="BN17" s="493"/>
      <c r="BO17" s="49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2"/>
    </row>
    <row r="18" spans="1:109" ht="12" customHeight="1" thickBo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4"/>
      <c r="AK18" s="487"/>
      <c r="AL18" s="488"/>
      <c r="AM18" s="488"/>
      <c r="AN18" s="488"/>
      <c r="AO18" s="488"/>
      <c r="AP18" s="488"/>
      <c r="AQ18" s="488"/>
      <c r="AR18" s="488"/>
      <c r="AS18" s="489"/>
      <c r="AT18" s="498"/>
      <c r="AU18" s="499"/>
      <c r="AV18" s="499"/>
      <c r="AW18" s="499"/>
      <c r="AX18" s="499"/>
      <c r="AY18" s="500"/>
      <c r="AZ18" s="495"/>
      <c r="BA18" s="496"/>
      <c r="BB18" s="496"/>
      <c r="BC18" s="496"/>
      <c r="BD18" s="496"/>
      <c r="BE18" s="496"/>
      <c r="BF18" s="496"/>
      <c r="BG18" s="496"/>
      <c r="BH18" s="496"/>
      <c r="BI18" s="496"/>
      <c r="BJ18" s="496"/>
      <c r="BK18" s="496"/>
      <c r="BL18" s="496"/>
      <c r="BM18" s="496"/>
      <c r="BN18" s="496"/>
      <c r="BO18" s="497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2"/>
    </row>
    <row r="19" spans="1:109" ht="12.75" thickBot="1" x14ac:dyDescent="0.25">
      <c r="A19" s="314" t="s">
        <v>193</v>
      </c>
      <c r="B19" s="315"/>
      <c r="C19" s="315"/>
      <c r="D19" s="315"/>
      <c r="E19" s="315"/>
      <c r="F19" s="315"/>
      <c r="G19" s="315"/>
      <c r="H19" s="315"/>
      <c r="I19" s="315"/>
      <c r="J19" s="315"/>
      <c r="K19" s="315"/>
      <c r="L19" s="315"/>
      <c r="M19" s="315"/>
      <c r="N19" s="315"/>
      <c r="O19" s="315"/>
      <c r="P19" s="315"/>
      <c r="Q19" s="315"/>
      <c r="R19" s="315"/>
      <c r="S19" s="315"/>
      <c r="T19" s="315"/>
      <c r="U19" s="315"/>
      <c r="V19" s="316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2"/>
    </row>
    <row r="20" spans="1:109" ht="12" customHeight="1" thickTop="1" thickBot="1" x14ac:dyDescent="0.25">
      <c r="A20" s="360"/>
      <c r="B20" s="361"/>
      <c r="C20" s="361"/>
      <c r="D20" s="507" t="s">
        <v>56</v>
      </c>
      <c r="E20" s="507"/>
      <c r="F20" s="507"/>
      <c r="G20" s="507" t="s">
        <v>57</v>
      </c>
      <c r="H20" s="507"/>
      <c r="I20" s="507"/>
      <c r="J20" s="507" t="s">
        <v>58</v>
      </c>
      <c r="K20" s="507"/>
      <c r="L20" s="507"/>
      <c r="M20" s="507" t="s">
        <v>59</v>
      </c>
      <c r="N20" s="507"/>
      <c r="O20" s="507"/>
      <c r="P20" s="507" t="s">
        <v>60</v>
      </c>
      <c r="Q20" s="507"/>
      <c r="R20" s="437"/>
      <c r="S20" s="507" t="s">
        <v>194</v>
      </c>
      <c r="T20" s="507"/>
      <c r="U20" s="507"/>
      <c r="V20" s="508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4"/>
      <c r="AK20" s="509" t="s">
        <v>195</v>
      </c>
      <c r="AL20" s="510"/>
      <c r="AM20" s="510"/>
      <c r="AN20" s="510"/>
      <c r="AO20" s="510"/>
      <c r="AP20" s="510"/>
      <c r="AQ20" s="510"/>
      <c r="AR20" s="510"/>
      <c r="AS20" s="510"/>
      <c r="AT20" s="510"/>
      <c r="AU20" s="510"/>
      <c r="AV20" s="510"/>
      <c r="AW20" s="511"/>
      <c r="AX20" s="470"/>
      <c r="AY20" s="470"/>
      <c r="AZ20" s="470"/>
      <c r="BA20" s="470"/>
      <c r="BB20" s="44"/>
      <c r="BC20" s="471" t="s">
        <v>196</v>
      </c>
      <c r="BD20" s="472"/>
      <c r="BE20" s="472"/>
      <c r="BF20" s="472"/>
      <c r="BG20" s="472"/>
      <c r="BH20" s="472"/>
      <c r="BI20" s="472"/>
      <c r="BJ20" s="472"/>
      <c r="BK20" s="472"/>
      <c r="BL20" s="472"/>
      <c r="BM20" s="472"/>
      <c r="BN20" s="472"/>
      <c r="BO20" s="472"/>
      <c r="BP20" s="472"/>
      <c r="BQ20" s="472"/>
      <c r="BR20" s="472"/>
      <c r="BS20" s="473"/>
      <c r="BT20" s="44"/>
      <c r="BU20" s="44"/>
      <c r="BV20" s="44"/>
      <c r="BW20" s="44"/>
      <c r="BX20" s="44"/>
      <c r="BY20" s="44"/>
      <c r="BZ20" s="44"/>
      <c r="CA20" s="44"/>
      <c r="CB20" s="44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2"/>
    </row>
    <row r="21" spans="1:109" ht="12" customHeight="1" thickTop="1" x14ac:dyDescent="0.2">
      <c r="A21" s="333" t="s">
        <v>197</v>
      </c>
      <c r="B21" s="334"/>
      <c r="C21" s="334"/>
      <c r="D21" s="400"/>
      <c r="E21" s="400"/>
      <c r="F21" s="400"/>
      <c r="G21" s="409"/>
      <c r="H21" s="409"/>
      <c r="I21" s="409"/>
      <c r="J21" s="409"/>
      <c r="K21" s="409"/>
      <c r="L21" s="409"/>
      <c r="M21" s="400"/>
      <c r="N21" s="400"/>
      <c r="O21" s="400"/>
      <c r="P21" s="409"/>
      <c r="Q21" s="409"/>
      <c r="R21" s="474"/>
      <c r="S21" s="475"/>
      <c r="T21" s="400"/>
      <c r="U21" s="400"/>
      <c r="V21" s="401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4"/>
      <c r="AK21" s="463" t="s">
        <v>198</v>
      </c>
      <c r="AL21" s="331"/>
      <c r="AM21" s="331"/>
      <c r="AN21" s="331"/>
      <c r="AO21" s="331"/>
      <c r="AP21" s="331"/>
      <c r="AQ21" s="331"/>
      <c r="AR21" s="331"/>
      <c r="AS21" s="331"/>
      <c r="AT21" s="464" t="str">
        <f>IFERROR(Z27/Z29,"")</f>
        <v/>
      </c>
      <c r="AU21" s="464"/>
      <c r="AV21" s="464"/>
      <c r="AW21" s="465"/>
      <c r="AX21" s="470"/>
      <c r="AY21" s="470"/>
      <c r="AZ21" s="470"/>
      <c r="BA21" s="470"/>
      <c r="BB21" s="44"/>
      <c r="BC21" s="53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5"/>
      <c r="BT21" s="44"/>
      <c r="BU21" s="44"/>
      <c r="BV21" s="44"/>
      <c r="BW21" s="44"/>
      <c r="BX21" s="44"/>
      <c r="BY21" s="44"/>
      <c r="BZ21" s="44"/>
      <c r="CA21" s="44"/>
      <c r="CB21" s="44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2"/>
    </row>
    <row r="22" spans="1:109" ht="12" customHeight="1" thickBot="1" x14ac:dyDescent="0.25">
      <c r="A22" s="347" t="s">
        <v>199</v>
      </c>
      <c r="B22" s="348"/>
      <c r="C22" s="348"/>
      <c r="D22" s="349"/>
      <c r="E22" s="349"/>
      <c r="F22" s="349"/>
      <c r="G22" s="466"/>
      <c r="H22" s="466"/>
      <c r="I22" s="466"/>
      <c r="J22" s="466"/>
      <c r="K22" s="466"/>
      <c r="L22" s="466"/>
      <c r="M22" s="349"/>
      <c r="N22" s="349"/>
      <c r="O22" s="349"/>
      <c r="P22" s="467" t="str">
        <f>IFERROR(IF(AT18="Single Phase",((H33*AN13*AQ13)/(H37*H40))*G30,IF(AT18="Three Phase",(AQ16*AN16*AT14*AT16*1.73/746)*G30,"")),"")</f>
        <v/>
      </c>
      <c r="Q22" s="467"/>
      <c r="R22" s="468"/>
      <c r="S22" s="349"/>
      <c r="T22" s="349"/>
      <c r="U22" s="349"/>
      <c r="V22" s="469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57" t="s">
        <v>200</v>
      </c>
      <c r="AL22" s="289"/>
      <c r="AM22" s="289"/>
      <c r="AN22" s="289"/>
      <c r="AO22" s="289"/>
      <c r="AP22" s="289"/>
      <c r="AQ22" s="289"/>
      <c r="AR22" s="289"/>
      <c r="AS22" s="289"/>
      <c r="AT22" s="476" t="str">
        <f>IFERROR(IF((Z27*1.57)+(Z29*1.57)+(Z32*2)&lt;&gt;0,(Z27*1.57)+(Z29*1.57)+(Z32*2),""),"")</f>
        <v/>
      </c>
      <c r="AU22" s="476"/>
      <c r="AV22" s="477"/>
      <c r="AW22" s="56" t="s">
        <v>201</v>
      </c>
      <c r="AX22" s="470"/>
      <c r="AY22" s="470"/>
      <c r="AZ22" s="470"/>
      <c r="BA22" s="470"/>
      <c r="BB22" s="44"/>
      <c r="BC22" s="53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5"/>
      <c r="BT22" s="44"/>
      <c r="BU22" s="44"/>
      <c r="BV22" s="44"/>
      <c r="BW22" s="44"/>
      <c r="BX22" s="44"/>
      <c r="BY22" s="44"/>
      <c r="BZ22" s="44"/>
      <c r="CA22" s="44"/>
      <c r="CB22" s="44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2"/>
    </row>
    <row r="23" spans="1:109" ht="12" customHeight="1" thickBo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4"/>
      <c r="AK23" s="457" t="s">
        <v>202</v>
      </c>
      <c r="AL23" s="289"/>
      <c r="AM23" s="289"/>
      <c r="AN23" s="289"/>
      <c r="AO23" s="289"/>
      <c r="AP23" s="289"/>
      <c r="AQ23" s="289"/>
      <c r="AR23" s="289"/>
      <c r="AS23" s="289"/>
      <c r="AT23" s="458" t="str">
        <f>IFERROR(IF(OR(X40="VFD SETTING",X40="ECM SETTING"),((AF40/60)*(H36))*AT21,AT21*M36),"")</f>
        <v/>
      </c>
      <c r="AU23" s="458"/>
      <c r="AV23" s="458"/>
      <c r="AW23" s="459"/>
      <c r="AX23" s="44"/>
      <c r="AY23" s="44"/>
      <c r="AZ23" s="44"/>
      <c r="BA23" s="44"/>
      <c r="BB23" s="44"/>
      <c r="BC23" s="53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5"/>
      <c r="BT23" s="44"/>
      <c r="BU23" s="44"/>
      <c r="BV23" s="44"/>
      <c r="BW23" s="44"/>
      <c r="BX23" s="44"/>
      <c r="BY23" s="44"/>
      <c r="BZ23" s="44"/>
      <c r="CA23" s="44"/>
      <c r="CB23" s="44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2"/>
    </row>
    <row r="24" spans="1:109" ht="12.75" customHeight="1" thickBot="1" x14ac:dyDescent="0.25">
      <c r="A24" s="314" t="s">
        <v>203</v>
      </c>
      <c r="B24" s="315"/>
      <c r="C24" s="315"/>
      <c r="D24" s="315"/>
      <c r="E24" s="315"/>
      <c r="F24" s="315"/>
      <c r="G24" s="315"/>
      <c r="H24" s="315"/>
      <c r="I24" s="315"/>
      <c r="J24" s="315"/>
      <c r="K24" s="315"/>
      <c r="L24" s="315"/>
      <c r="M24" s="315"/>
      <c r="N24" s="315"/>
      <c r="O24" s="315"/>
      <c r="P24" s="316"/>
      <c r="Q24" s="42"/>
      <c r="R24" s="42"/>
      <c r="S24" s="314" t="s">
        <v>204</v>
      </c>
      <c r="T24" s="315"/>
      <c r="U24" s="315"/>
      <c r="V24" s="315"/>
      <c r="W24" s="315"/>
      <c r="X24" s="315"/>
      <c r="Y24" s="315"/>
      <c r="Z24" s="315"/>
      <c r="AA24" s="315"/>
      <c r="AB24" s="315"/>
      <c r="AC24" s="57" t="s">
        <v>205</v>
      </c>
      <c r="AD24" s="315" t="str">
        <f>IF(G30&lt;&gt;0,G30,"")</f>
        <v/>
      </c>
      <c r="AE24" s="315"/>
      <c r="AF24" s="315"/>
      <c r="AG24" s="315"/>
      <c r="AH24" s="315"/>
      <c r="AI24" s="316"/>
      <c r="AJ24" s="44"/>
      <c r="AK24" s="457" t="s">
        <v>206</v>
      </c>
      <c r="AL24" s="289"/>
      <c r="AM24" s="289"/>
      <c r="AN24" s="289"/>
      <c r="AO24" s="289"/>
      <c r="AP24" s="289"/>
      <c r="AQ24" s="289"/>
      <c r="AR24" s="289"/>
      <c r="AS24" s="289"/>
      <c r="AT24" s="460" t="str">
        <f>IFERROR(IF(((AF40/60)*(H36))*((Z27-0.5))/((Z29-0.5))&lt;&gt;0,((AF40/60)*(H36))*((Z27-0.5))/((Z29-0.5)),""),"")</f>
        <v/>
      </c>
      <c r="AU24" s="461"/>
      <c r="AV24" s="461"/>
      <c r="AW24" s="462"/>
      <c r="AX24" s="44"/>
      <c r="AY24" s="44"/>
      <c r="AZ24" s="44"/>
      <c r="BA24" s="44"/>
      <c r="BB24" s="44"/>
      <c r="BC24" s="53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5"/>
      <c r="BT24" s="44"/>
      <c r="BU24" s="44"/>
      <c r="BV24" s="44"/>
      <c r="BW24" s="44"/>
      <c r="BX24" s="44"/>
      <c r="BY24" s="44"/>
      <c r="BZ24" s="44"/>
      <c r="CA24" s="44"/>
      <c r="CB24" s="44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2"/>
    </row>
    <row r="25" spans="1:109" ht="12" customHeight="1" thickTop="1" x14ac:dyDescent="0.2">
      <c r="A25" s="434"/>
      <c r="B25" s="435"/>
      <c r="C25" s="435"/>
      <c r="D25" s="435"/>
      <c r="E25" s="435"/>
      <c r="F25" s="436"/>
      <c r="G25" s="437" t="s">
        <v>207</v>
      </c>
      <c r="H25" s="438"/>
      <c r="I25" s="438"/>
      <c r="J25" s="438"/>
      <c r="K25" s="439"/>
      <c r="L25" s="438" t="s">
        <v>208</v>
      </c>
      <c r="M25" s="438"/>
      <c r="N25" s="438"/>
      <c r="O25" s="438"/>
      <c r="P25" s="440"/>
      <c r="Q25" s="42"/>
      <c r="R25" s="42"/>
      <c r="S25" s="360" t="s">
        <v>209</v>
      </c>
      <c r="T25" s="361"/>
      <c r="U25" s="361"/>
      <c r="V25" s="361"/>
      <c r="W25" s="361"/>
      <c r="X25" s="361"/>
      <c r="Y25" s="361"/>
      <c r="Z25" s="441"/>
      <c r="AA25" s="442"/>
      <c r="AB25" s="442"/>
      <c r="AC25" s="442"/>
      <c r="AD25" s="442"/>
      <c r="AE25" s="442"/>
      <c r="AF25" s="442"/>
      <c r="AG25" s="442"/>
      <c r="AH25" s="442"/>
      <c r="AI25" s="443"/>
      <c r="AJ25" s="44"/>
      <c r="AK25" s="444" t="s">
        <v>210</v>
      </c>
      <c r="AL25" s="445"/>
      <c r="AM25" s="445"/>
      <c r="AN25" s="445"/>
      <c r="AO25" s="445"/>
      <c r="AP25" s="445"/>
      <c r="AQ25" s="445"/>
      <c r="AR25" s="445"/>
      <c r="AS25" s="445"/>
      <c r="AT25" s="445"/>
      <c r="AU25" s="445"/>
      <c r="AV25" s="445"/>
      <c r="AW25" s="446"/>
      <c r="AX25" s="44"/>
      <c r="AY25" s="44"/>
      <c r="AZ25" s="44"/>
      <c r="BA25" s="44"/>
      <c r="BB25" s="44"/>
      <c r="BC25" s="53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55"/>
      <c r="BT25" s="44"/>
      <c r="BU25" s="44"/>
      <c r="BV25" s="44"/>
      <c r="BW25" s="44"/>
      <c r="BX25" s="44"/>
      <c r="BY25" s="44"/>
      <c r="BZ25" s="44"/>
      <c r="CA25" s="44"/>
      <c r="CB25" s="44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2"/>
    </row>
    <row r="26" spans="1:109" ht="12" customHeight="1" thickBot="1" x14ac:dyDescent="0.25">
      <c r="A26" s="450" t="s">
        <v>211</v>
      </c>
      <c r="B26" s="451"/>
      <c r="C26" s="451"/>
      <c r="D26" s="451"/>
      <c r="E26" s="451"/>
      <c r="F26" s="452"/>
      <c r="G26" s="453"/>
      <c r="H26" s="453"/>
      <c r="I26" s="453"/>
      <c r="J26" s="453"/>
      <c r="K26" s="453"/>
      <c r="L26" s="453"/>
      <c r="M26" s="453"/>
      <c r="N26" s="453"/>
      <c r="O26" s="453"/>
      <c r="P26" s="454"/>
      <c r="Q26" s="42"/>
      <c r="R26" s="42"/>
      <c r="S26" s="455" t="s">
        <v>212</v>
      </c>
      <c r="T26" s="456"/>
      <c r="U26" s="456"/>
      <c r="V26" s="456"/>
      <c r="W26" s="456"/>
      <c r="X26" s="456"/>
      <c r="Y26" s="456"/>
      <c r="Z26" s="413"/>
      <c r="AA26" s="414"/>
      <c r="AB26" s="414"/>
      <c r="AC26" s="414"/>
      <c r="AD26" s="414"/>
      <c r="AE26" s="414"/>
      <c r="AF26" s="414"/>
      <c r="AG26" s="414"/>
      <c r="AH26" s="414"/>
      <c r="AI26" s="415"/>
      <c r="AJ26" s="44"/>
      <c r="AK26" s="447"/>
      <c r="AL26" s="448"/>
      <c r="AM26" s="448"/>
      <c r="AN26" s="448"/>
      <c r="AO26" s="448"/>
      <c r="AP26" s="448"/>
      <c r="AQ26" s="448"/>
      <c r="AR26" s="448"/>
      <c r="AS26" s="448"/>
      <c r="AT26" s="448"/>
      <c r="AU26" s="448"/>
      <c r="AV26" s="448"/>
      <c r="AW26" s="449"/>
      <c r="AX26" s="44"/>
      <c r="AY26" s="44"/>
      <c r="AZ26" s="44"/>
      <c r="BA26" s="44"/>
      <c r="BB26" s="44"/>
      <c r="BC26" s="53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55"/>
      <c r="BT26" s="44"/>
      <c r="BU26" s="44"/>
      <c r="BV26" s="44"/>
      <c r="BW26" s="44"/>
      <c r="BX26" s="44"/>
      <c r="BY26" s="44"/>
      <c r="BZ26" s="44"/>
      <c r="CA26" s="44"/>
      <c r="CB26" s="44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2"/>
    </row>
    <row r="27" spans="1:109" ht="12" customHeight="1" x14ac:dyDescent="0.2">
      <c r="A27" s="406" t="s">
        <v>213</v>
      </c>
      <c r="B27" s="407"/>
      <c r="C27" s="407"/>
      <c r="D27" s="407"/>
      <c r="E27" s="407"/>
      <c r="F27" s="408"/>
      <c r="G27" s="400"/>
      <c r="H27" s="400"/>
      <c r="I27" s="400"/>
      <c r="J27" s="400"/>
      <c r="K27" s="400"/>
      <c r="L27" s="400"/>
      <c r="M27" s="400"/>
      <c r="N27" s="400"/>
      <c r="O27" s="400"/>
      <c r="P27" s="401"/>
      <c r="Q27" s="42"/>
      <c r="R27" s="42"/>
      <c r="S27" s="333" t="s">
        <v>214</v>
      </c>
      <c r="T27" s="334"/>
      <c r="U27" s="334"/>
      <c r="V27" s="334"/>
      <c r="W27" s="334"/>
      <c r="X27" s="334"/>
      <c r="Y27" s="334"/>
      <c r="Z27" s="422"/>
      <c r="AA27" s="422"/>
      <c r="AB27" s="422"/>
      <c r="AC27" s="423" t="s">
        <v>215</v>
      </c>
      <c r="AD27" s="424"/>
      <c r="AE27" s="422"/>
      <c r="AF27" s="422"/>
      <c r="AG27" s="422"/>
      <c r="AH27" s="423" t="s">
        <v>216</v>
      </c>
      <c r="AI27" s="425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53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5"/>
      <c r="BT27" s="44"/>
      <c r="BU27" s="44"/>
      <c r="BV27" s="44"/>
      <c r="BW27" s="44"/>
      <c r="BX27" s="44"/>
      <c r="BY27" s="44"/>
      <c r="BZ27" s="44"/>
      <c r="CA27" s="44"/>
      <c r="CB27" s="44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2"/>
    </row>
    <row r="28" spans="1:109" ht="12" customHeight="1" thickBot="1" x14ac:dyDescent="0.25">
      <c r="A28" s="426" t="s">
        <v>217</v>
      </c>
      <c r="B28" s="427"/>
      <c r="C28" s="427"/>
      <c r="D28" s="427"/>
      <c r="E28" s="427"/>
      <c r="F28" s="428"/>
      <c r="G28" s="429"/>
      <c r="H28" s="430"/>
      <c r="I28" s="430"/>
      <c r="J28" s="431" t="s">
        <v>218</v>
      </c>
      <c r="K28" s="432"/>
      <c r="L28" s="429"/>
      <c r="M28" s="430"/>
      <c r="N28" s="430"/>
      <c r="O28" s="431" t="s">
        <v>218</v>
      </c>
      <c r="P28" s="433"/>
      <c r="Q28" s="42"/>
      <c r="R28" s="42"/>
      <c r="S28" s="333" t="s">
        <v>219</v>
      </c>
      <c r="T28" s="334"/>
      <c r="U28" s="334"/>
      <c r="V28" s="334"/>
      <c r="W28" s="334"/>
      <c r="X28" s="334"/>
      <c r="Y28" s="334"/>
      <c r="Z28" s="413"/>
      <c r="AA28" s="414"/>
      <c r="AB28" s="414"/>
      <c r="AC28" s="414"/>
      <c r="AD28" s="414"/>
      <c r="AE28" s="414"/>
      <c r="AF28" s="414"/>
      <c r="AG28" s="414"/>
      <c r="AH28" s="414"/>
      <c r="AI28" s="415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21"/>
      <c r="AW28" s="421"/>
      <c r="AX28" s="44"/>
      <c r="AY28" s="44"/>
      <c r="AZ28" s="44"/>
      <c r="BA28" s="44"/>
      <c r="BB28" s="44"/>
      <c r="BC28" s="53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5"/>
      <c r="BT28" s="44"/>
      <c r="BU28" s="44"/>
      <c r="BV28" s="44"/>
      <c r="BW28" s="44"/>
      <c r="BX28" s="44"/>
      <c r="BY28" s="44"/>
      <c r="BZ28" s="44"/>
      <c r="CA28" s="44"/>
      <c r="CB28" s="44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  <c r="DE28" s="52"/>
    </row>
    <row r="29" spans="1:109" ht="12" customHeight="1" thickBot="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333" t="s">
        <v>220</v>
      </c>
      <c r="T29" s="334"/>
      <c r="U29" s="334"/>
      <c r="V29" s="334"/>
      <c r="W29" s="334"/>
      <c r="X29" s="334"/>
      <c r="Y29" s="334"/>
      <c r="Z29" s="422"/>
      <c r="AA29" s="422"/>
      <c r="AB29" s="422"/>
      <c r="AC29" s="423" t="s">
        <v>215</v>
      </c>
      <c r="AD29" s="424"/>
      <c r="AE29" s="422"/>
      <c r="AF29" s="422"/>
      <c r="AG29" s="422"/>
      <c r="AH29" s="423" t="s">
        <v>216</v>
      </c>
      <c r="AI29" s="425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53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5"/>
      <c r="BT29" s="44"/>
      <c r="BU29" s="44"/>
      <c r="BV29" s="44"/>
      <c r="BW29" s="44"/>
      <c r="BX29" s="44"/>
      <c r="BY29" s="44"/>
      <c r="BZ29" s="44"/>
      <c r="CA29" s="44"/>
      <c r="CB29" s="44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2"/>
    </row>
    <row r="30" spans="1:109" ht="12.75" thickBot="1" x14ac:dyDescent="0.25">
      <c r="A30" s="314" t="s">
        <v>221</v>
      </c>
      <c r="B30" s="315"/>
      <c r="C30" s="315"/>
      <c r="D30" s="315"/>
      <c r="E30" s="315"/>
      <c r="F30" s="57" t="s">
        <v>205</v>
      </c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2"/>
      <c r="R30" s="42"/>
      <c r="S30" s="333" t="s">
        <v>222</v>
      </c>
      <c r="T30" s="334"/>
      <c r="U30" s="334"/>
      <c r="V30" s="334"/>
      <c r="W30" s="334"/>
      <c r="X30" s="334"/>
      <c r="Y30" s="334"/>
      <c r="Z30" s="413"/>
      <c r="AA30" s="414"/>
      <c r="AB30" s="414"/>
      <c r="AC30" s="414"/>
      <c r="AD30" s="414"/>
      <c r="AE30" s="414"/>
      <c r="AF30" s="414"/>
      <c r="AG30" s="414"/>
      <c r="AH30" s="414"/>
      <c r="AI30" s="415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53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5"/>
      <c r="BT30" s="44"/>
      <c r="BU30" s="44"/>
      <c r="BV30" s="44"/>
      <c r="BW30" s="44"/>
      <c r="BX30" s="44"/>
      <c r="BY30" s="44"/>
      <c r="BZ30" s="44"/>
      <c r="CA30" s="44"/>
      <c r="CB30" s="44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2"/>
    </row>
    <row r="31" spans="1:109" ht="12" customHeight="1" thickTop="1" x14ac:dyDescent="0.2">
      <c r="A31" s="360" t="s">
        <v>168</v>
      </c>
      <c r="B31" s="361"/>
      <c r="C31" s="361"/>
      <c r="D31" s="361"/>
      <c r="E31" s="361"/>
      <c r="F31" s="361"/>
      <c r="G31" s="361"/>
      <c r="H31" s="362"/>
      <c r="I31" s="362"/>
      <c r="J31" s="362"/>
      <c r="K31" s="362"/>
      <c r="L31" s="362"/>
      <c r="M31" s="362"/>
      <c r="N31" s="362"/>
      <c r="O31" s="362"/>
      <c r="P31" s="362"/>
      <c r="Q31" s="364"/>
      <c r="R31" s="42"/>
      <c r="S31" s="333" t="s">
        <v>223</v>
      </c>
      <c r="T31" s="334"/>
      <c r="U31" s="334"/>
      <c r="V31" s="334"/>
      <c r="W31" s="334"/>
      <c r="X31" s="334"/>
      <c r="Y31" s="334"/>
      <c r="Z31" s="416"/>
      <c r="AA31" s="417"/>
      <c r="AB31" s="417"/>
      <c r="AC31" s="417"/>
      <c r="AD31" s="418" t="s">
        <v>224</v>
      </c>
      <c r="AE31" s="418"/>
      <c r="AF31" s="419"/>
      <c r="AG31" s="419"/>
      <c r="AH31" s="419"/>
      <c r="AI31" s="420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53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5"/>
      <c r="BT31" s="44"/>
      <c r="BU31" s="44"/>
      <c r="BV31" s="44"/>
      <c r="BW31" s="44"/>
      <c r="BX31" s="44"/>
      <c r="BY31" s="44"/>
      <c r="BZ31" s="44"/>
      <c r="CA31" s="44"/>
      <c r="CB31" s="44"/>
      <c r="CC31" s="51"/>
      <c r="CD31" s="51"/>
      <c r="CE31" s="51"/>
      <c r="CF31" s="51"/>
      <c r="CG31" s="51"/>
    </row>
    <row r="32" spans="1:109" ht="12" customHeight="1" thickBot="1" x14ac:dyDescent="0.25">
      <c r="A32" s="333" t="s">
        <v>225</v>
      </c>
      <c r="B32" s="334"/>
      <c r="C32" s="334"/>
      <c r="D32" s="334"/>
      <c r="E32" s="334"/>
      <c r="F32" s="334"/>
      <c r="G32" s="334"/>
      <c r="H32" s="400"/>
      <c r="I32" s="400"/>
      <c r="J32" s="400"/>
      <c r="K32" s="400"/>
      <c r="L32" s="400"/>
      <c r="M32" s="400"/>
      <c r="N32" s="400"/>
      <c r="O32" s="400"/>
      <c r="P32" s="400"/>
      <c r="Q32" s="401"/>
      <c r="R32" s="42"/>
      <c r="S32" s="347" t="s">
        <v>226</v>
      </c>
      <c r="T32" s="348"/>
      <c r="U32" s="348"/>
      <c r="V32" s="348"/>
      <c r="W32" s="348"/>
      <c r="X32" s="348"/>
      <c r="Y32" s="348"/>
      <c r="Z32" s="402"/>
      <c r="AA32" s="403"/>
      <c r="AB32" s="403"/>
      <c r="AC32" s="403"/>
      <c r="AD32" s="403"/>
      <c r="AE32" s="404" t="s">
        <v>227</v>
      </c>
      <c r="AF32" s="404"/>
      <c r="AG32" s="404"/>
      <c r="AH32" s="404"/>
      <c r="AI32" s="405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53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5"/>
      <c r="BT32" s="44"/>
      <c r="BU32" s="44"/>
      <c r="BV32" s="44"/>
      <c r="BW32" s="44"/>
      <c r="BX32" s="44"/>
      <c r="BY32" s="44"/>
      <c r="BZ32" s="44"/>
      <c r="CA32" s="44"/>
      <c r="CB32" s="44"/>
      <c r="CC32" s="51"/>
      <c r="CD32" s="51"/>
      <c r="CE32" s="51"/>
      <c r="CF32" s="51"/>
      <c r="CG32" s="51"/>
    </row>
    <row r="33" spans="1:85" ht="12" customHeight="1" thickBot="1" x14ac:dyDescent="0.25">
      <c r="A33" s="406" t="s">
        <v>228</v>
      </c>
      <c r="B33" s="407"/>
      <c r="C33" s="407"/>
      <c r="D33" s="407"/>
      <c r="E33" s="407"/>
      <c r="F33" s="407"/>
      <c r="G33" s="408"/>
      <c r="H33" s="409"/>
      <c r="I33" s="409"/>
      <c r="J33" s="409"/>
      <c r="K33" s="409"/>
      <c r="L33" s="409"/>
      <c r="M33" s="409"/>
      <c r="N33" s="409"/>
      <c r="O33" s="409"/>
      <c r="P33" s="409"/>
      <c r="Q33" s="410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4"/>
      <c r="AK33" s="372" t="s">
        <v>229</v>
      </c>
      <c r="AL33" s="373"/>
      <c r="AM33" s="373"/>
      <c r="AN33" s="373"/>
      <c r="AO33" s="373"/>
      <c r="AP33" s="373"/>
      <c r="AQ33" s="373"/>
      <c r="AR33" s="373"/>
      <c r="AS33" s="373"/>
      <c r="AT33" s="373"/>
      <c r="AU33" s="373"/>
      <c r="AV33" s="374"/>
      <c r="AW33" s="44"/>
      <c r="AX33" s="44"/>
      <c r="AY33" s="44"/>
      <c r="AZ33" s="44"/>
      <c r="BA33" s="44"/>
      <c r="BB33" s="44"/>
      <c r="BC33" s="53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55"/>
      <c r="BT33" s="44"/>
      <c r="BU33" s="44"/>
      <c r="BV33" s="44"/>
      <c r="BW33" s="44"/>
      <c r="BX33" s="44"/>
      <c r="BY33" s="44"/>
      <c r="BZ33" s="44"/>
      <c r="CA33" s="44"/>
      <c r="CB33" s="44"/>
      <c r="CC33" s="51"/>
      <c r="CD33" s="51"/>
      <c r="CE33" s="51"/>
      <c r="CF33" s="51"/>
      <c r="CG33" s="51"/>
    </row>
    <row r="34" spans="1:85" ht="15.6" customHeight="1" thickTop="1" thickBot="1" x14ac:dyDescent="0.25">
      <c r="A34" s="333" t="s">
        <v>230</v>
      </c>
      <c r="B34" s="334"/>
      <c r="C34" s="334"/>
      <c r="D34" s="334"/>
      <c r="E34" s="334"/>
      <c r="F34" s="334"/>
      <c r="G34" s="334"/>
      <c r="H34" s="375"/>
      <c r="I34" s="376"/>
      <c r="J34" s="376"/>
      <c r="K34" s="376"/>
      <c r="L34" s="376"/>
      <c r="M34" s="376"/>
      <c r="N34" s="376"/>
      <c r="O34" s="376"/>
      <c r="P34" s="376"/>
      <c r="Q34" s="377"/>
      <c r="R34" s="42"/>
      <c r="S34" s="42"/>
      <c r="T34" s="42"/>
      <c r="U34" s="42"/>
      <c r="V34" s="42"/>
      <c r="W34" s="42"/>
      <c r="X34" s="42"/>
      <c r="Y34" s="42"/>
      <c r="Z34" s="378" t="s">
        <v>231</v>
      </c>
      <c r="AA34" s="379"/>
      <c r="AB34" s="379"/>
      <c r="AC34" s="379"/>
      <c r="AD34" s="379"/>
      <c r="AE34" s="379"/>
      <c r="AF34" s="379"/>
      <c r="AG34" s="379"/>
      <c r="AH34" s="379"/>
      <c r="AI34" s="380"/>
      <c r="AJ34" s="44"/>
      <c r="AK34" s="381" t="str">
        <f>IF(AF35&lt;&gt;"",IF(AF35&gt;=#REF!*1.2,"Actual DP setpoint exceeds Design + 20% by "&amp;AF35-#REF!*1.2&amp;" in. w.c. If higher DP is correct create a write-up for Remarks of why.",""),"")</f>
        <v/>
      </c>
      <c r="AL34" s="382"/>
      <c r="AM34" s="382"/>
      <c r="AN34" s="382"/>
      <c r="AO34" s="382"/>
      <c r="AP34" s="382"/>
      <c r="AQ34" s="382"/>
      <c r="AR34" s="382"/>
      <c r="AS34" s="382"/>
      <c r="AT34" s="382"/>
      <c r="AU34" s="382"/>
      <c r="AV34" s="383"/>
      <c r="AW34" s="44"/>
      <c r="AX34" s="44"/>
      <c r="AY34" s="44"/>
      <c r="AZ34" s="44"/>
      <c r="BA34" s="44"/>
      <c r="BB34" s="44"/>
      <c r="BC34" s="53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55"/>
      <c r="BT34" s="44"/>
      <c r="BU34" s="44"/>
      <c r="BV34" s="44"/>
      <c r="BW34" s="44"/>
      <c r="BX34" s="44"/>
      <c r="BY34" s="44"/>
      <c r="BZ34" s="44"/>
      <c r="CA34" s="44"/>
      <c r="CB34" s="44"/>
    </row>
    <row r="35" spans="1:85" ht="12.75" customHeight="1" thickBot="1" x14ac:dyDescent="0.25">
      <c r="A35" s="390"/>
      <c r="B35" s="391"/>
      <c r="C35" s="391"/>
      <c r="D35" s="391"/>
      <c r="E35" s="391"/>
      <c r="F35" s="391"/>
      <c r="G35" s="391"/>
      <c r="H35" s="392" t="s">
        <v>197</v>
      </c>
      <c r="I35" s="392"/>
      <c r="J35" s="392"/>
      <c r="K35" s="392"/>
      <c r="L35" s="392"/>
      <c r="M35" s="392" t="s">
        <v>199</v>
      </c>
      <c r="N35" s="392"/>
      <c r="O35" s="392"/>
      <c r="P35" s="392"/>
      <c r="Q35" s="393"/>
      <c r="R35" s="42"/>
      <c r="S35" s="42"/>
      <c r="T35" s="42"/>
      <c r="U35" s="42"/>
      <c r="V35" s="42"/>
      <c r="W35" s="42"/>
      <c r="X35" s="42"/>
      <c r="Y35" s="42"/>
      <c r="Z35" s="394" t="s">
        <v>232</v>
      </c>
      <c r="AA35" s="395"/>
      <c r="AB35" s="395"/>
      <c r="AC35" s="395"/>
      <c r="AD35" s="395"/>
      <c r="AE35" s="396"/>
      <c r="AF35" s="397"/>
      <c r="AG35" s="398"/>
      <c r="AH35" s="358" t="s">
        <v>187</v>
      </c>
      <c r="AI35" s="359"/>
      <c r="AJ35" s="44"/>
      <c r="AK35" s="384"/>
      <c r="AL35" s="385"/>
      <c r="AM35" s="385"/>
      <c r="AN35" s="385"/>
      <c r="AO35" s="385"/>
      <c r="AP35" s="385"/>
      <c r="AQ35" s="385"/>
      <c r="AR35" s="385"/>
      <c r="AS35" s="385"/>
      <c r="AT35" s="385"/>
      <c r="AU35" s="385"/>
      <c r="AV35" s="386"/>
      <c r="AW35" s="44"/>
      <c r="AX35" s="44"/>
      <c r="AY35" s="44"/>
      <c r="AZ35" s="44"/>
      <c r="BA35" s="44"/>
      <c r="BB35" s="44"/>
      <c r="BC35" s="58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60"/>
      <c r="BT35" s="44"/>
      <c r="BU35" s="44"/>
      <c r="BV35" s="44"/>
      <c r="BW35" s="44"/>
      <c r="BX35" s="44"/>
      <c r="BY35" s="44"/>
      <c r="BZ35" s="44"/>
      <c r="CA35" s="44"/>
      <c r="CB35" s="44"/>
    </row>
    <row r="36" spans="1:85" ht="12.75" customHeight="1" thickTop="1" thickBot="1" x14ac:dyDescent="0.25">
      <c r="A36" s="360" t="s">
        <v>59</v>
      </c>
      <c r="B36" s="361"/>
      <c r="C36" s="361"/>
      <c r="D36" s="361"/>
      <c r="E36" s="361"/>
      <c r="F36" s="361"/>
      <c r="G36" s="361"/>
      <c r="H36" s="362"/>
      <c r="I36" s="362"/>
      <c r="J36" s="362"/>
      <c r="K36" s="362"/>
      <c r="L36" s="362"/>
      <c r="M36" s="363"/>
      <c r="N36" s="362"/>
      <c r="O36" s="362"/>
      <c r="P36" s="362"/>
      <c r="Q36" s="364"/>
      <c r="R36" s="42"/>
      <c r="S36" s="42"/>
      <c r="T36" s="42"/>
      <c r="U36" s="42"/>
      <c r="V36" s="42"/>
      <c r="W36" s="42"/>
      <c r="X36" s="42"/>
      <c r="Y36" s="42"/>
      <c r="Z36" s="365" t="s">
        <v>233</v>
      </c>
      <c r="AA36" s="366"/>
      <c r="AB36" s="366"/>
      <c r="AC36" s="366"/>
      <c r="AD36" s="366"/>
      <c r="AE36" s="367"/>
      <c r="AF36" s="368"/>
      <c r="AG36" s="369"/>
      <c r="AH36" s="370" t="s">
        <v>187</v>
      </c>
      <c r="AI36" s="371"/>
      <c r="AJ36" s="44"/>
      <c r="AK36" s="384"/>
      <c r="AL36" s="385"/>
      <c r="AM36" s="385"/>
      <c r="AN36" s="385"/>
      <c r="AO36" s="385"/>
      <c r="AP36" s="385"/>
      <c r="AQ36" s="385"/>
      <c r="AR36" s="385"/>
      <c r="AS36" s="385"/>
      <c r="AT36" s="385"/>
      <c r="AU36" s="385"/>
      <c r="AV36" s="386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</row>
    <row r="37" spans="1:85" ht="12" customHeight="1" thickBot="1" x14ac:dyDescent="0.25">
      <c r="A37" s="333" t="s">
        <v>234</v>
      </c>
      <c r="B37" s="334"/>
      <c r="C37" s="334"/>
      <c r="D37" s="334"/>
      <c r="E37" s="334"/>
      <c r="F37" s="334"/>
      <c r="G37" s="334"/>
      <c r="H37" s="399"/>
      <c r="I37" s="399"/>
      <c r="J37" s="399"/>
      <c r="K37" s="399"/>
      <c r="L37" s="399"/>
      <c r="M37" s="335" t="s">
        <v>235</v>
      </c>
      <c r="N37" s="336"/>
      <c r="O37" s="336"/>
      <c r="P37" s="336"/>
      <c r="Q37" s="337"/>
      <c r="R37" s="42"/>
      <c r="S37" s="42"/>
      <c r="T37" s="42"/>
      <c r="U37" s="42"/>
      <c r="V37" s="42"/>
      <c r="W37" s="42"/>
      <c r="X37" s="42"/>
      <c r="Y37" s="42"/>
      <c r="Z37" s="61"/>
      <c r="AA37" s="61"/>
      <c r="AB37" s="61"/>
      <c r="AC37" s="61"/>
      <c r="AD37" s="61"/>
      <c r="AE37" s="61"/>
      <c r="AF37" s="62"/>
      <c r="AG37" s="62"/>
      <c r="AH37" s="63"/>
      <c r="AI37" s="63"/>
      <c r="AJ37" s="44"/>
      <c r="AK37" s="387"/>
      <c r="AL37" s="388"/>
      <c r="AM37" s="388"/>
      <c r="AN37" s="388"/>
      <c r="AO37" s="388"/>
      <c r="AP37" s="388"/>
      <c r="AQ37" s="388"/>
      <c r="AR37" s="388"/>
      <c r="AS37" s="388"/>
      <c r="AT37" s="388"/>
      <c r="AU37" s="388"/>
      <c r="AV37" s="389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</row>
    <row r="38" spans="1:85" ht="12.75" thickBot="1" x14ac:dyDescent="0.25">
      <c r="A38" s="333" t="s">
        <v>236</v>
      </c>
      <c r="B38" s="334"/>
      <c r="C38" s="334"/>
      <c r="D38" s="334"/>
      <c r="E38" s="334"/>
      <c r="F38" s="334"/>
      <c r="G38" s="334"/>
      <c r="H38" s="335" t="s">
        <v>235</v>
      </c>
      <c r="I38" s="336"/>
      <c r="J38" s="336"/>
      <c r="K38" s="336"/>
      <c r="L38" s="336"/>
      <c r="M38" s="336" t="str">
        <f>IF(H34&lt;&gt;"---",IF(H37*H34&lt;&gt;0,H37*H34, ""),"---")</f>
        <v/>
      </c>
      <c r="N38" s="336"/>
      <c r="O38" s="336"/>
      <c r="P38" s="336"/>
      <c r="Q38" s="337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</row>
    <row r="39" spans="1:85" ht="12" customHeight="1" thickBot="1" x14ac:dyDescent="0.25">
      <c r="A39" s="333" t="s">
        <v>237</v>
      </c>
      <c r="B39" s="334"/>
      <c r="C39" s="334"/>
      <c r="D39" s="334"/>
      <c r="E39" s="334"/>
      <c r="F39" s="334"/>
      <c r="G39" s="334"/>
      <c r="H39" s="335" t="s">
        <v>235</v>
      </c>
      <c r="I39" s="336"/>
      <c r="J39" s="336"/>
      <c r="K39" s="336"/>
      <c r="L39" s="336"/>
      <c r="M39" s="336" t="str">
        <f>IF(AT18="Single Phase",AN13,IF(AT18="Three Phase",IF(MOD(AN13,1)=0,AN13&amp;".0",AN13)&amp;", "&amp;IF(MOD(AN14,1)=0,AN14&amp;".0",AN14)&amp;", "&amp;IF(MOD(AN15,1)=0,AN15&amp;".0",AN15),""))</f>
        <v/>
      </c>
      <c r="N39" s="336"/>
      <c r="O39" s="336"/>
      <c r="P39" s="336"/>
      <c r="Q39" s="337"/>
      <c r="R39" s="42"/>
      <c r="S39" s="42"/>
      <c r="T39" s="42"/>
      <c r="U39" s="42"/>
      <c r="V39" s="42"/>
      <c r="W39" s="42"/>
      <c r="X39" s="338" t="s">
        <v>238</v>
      </c>
      <c r="Y39" s="339"/>
      <c r="Z39" s="339"/>
      <c r="AA39" s="339"/>
      <c r="AB39" s="339"/>
      <c r="AC39" s="339"/>
      <c r="AD39" s="339"/>
      <c r="AE39" s="339"/>
      <c r="AF39" s="339"/>
      <c r="AG39" s="339"/>
      <c r="AH39" s="339"/>
      <c r="AI39" s="340"/>
      <c r="AJ39" s="44"/>
      <c r="AK39" s="341" t="s">
        <v>239</v>
      </c>
      <c r="AL39" s="342"/>
      <c r="AM39" s="342"/>
      <c r="AN39" s="342"/>
      <c r="AO39" s="342"/>
      <c r="AP39" s="342"/>
      <c r="AQ39" s="342"/>
      <c r="AR39" s="342"/>
      <c r="AS39" s="343"/>
      <c r="AT39" s="44"/>
      <c r="AU39" s="45" t="s">
        <v>240</v>
      </c>
      <c r="AV39" s="46"/>
      <c r="AW39" s="46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44"/>
    </row>
    <row r="40" spans="1:85" ht="12.6" customHeight="1" thickTop="1" thickBot="1" x14ac:dyDescent="0.25">
      <c r="A40" s="347" t="s">
        <v>171</v>
      </c>
      <c r="B40" s="348"/>
      <c r="C40" s="348"/>
      <c r="D40" s="348"/>
      <c r="E40" s="348"/>
      <c r="F40" s="348"/>
      <c r="G40" s="348"/>
      <c r="H40" s="349"/>
      <c r="I40" s="349"/>
      <c r="J40" s="349"/>
      <c r="K40" s="349"/>
      <c r="L40" s="349"/>
      <c r="M40" s="350" t="str">
        <f>IF(AT18="Single Phase",AQ13,IF(AT18="Three Phase",AQ13 &amp;", "&amp; AQ14 &amp; ", " &amp; AQ15,""))</f>
        <v/>
      </c>
      <c r="N40" s="351"/>
      <c r="O40" s="351"/>
      <c r="P40" s="351"/>
      <c r="Q40" s="352"/>
      <c r="R40" s="42"/>
      <c r="S40" s="42"/>
      <c r="T40" s="42"/>
      <c r="U40" s="42"/>
      <c r="V40" s="42"/>
      <c r="W40" s="42"/>
      <c r="X40" s="353"/>
      <c r="Y40" s="354"/>
      <c r="Z40" s="354"/>
      <c r="AA40" s="354"/>
      <c r="AB40" s="354"/>
      <c r="AC40" s="354"/>
      <c r="AD40" s="354"/>
      <c r="AE40" s="355"/>
      <c r="AF40" s="356"/>
      <c r="AG40" s="357"/>
      <c r="AH40" s="322"/>
      <c r="AI40" s="323"/>
      <c r="AJ40" s="44"/>
      <c r="AK40" s="344"/>
      <c r="AL40" s="345"/>
      <c r="AM40" s="345"/>
      <c r="AN40" s="345"/>
      <c r="AO40" s="345"/>
      <c r="AP40" s="345"/>
      <c r="AQ40" s="345"/>
      <c r="AR40" s="345"/>
      <c r="AS40" s="346"/>
      <c r="AT40" s="44"/>
      <c r="AU40" s="324"/>
      <c r="AV40" s="325"/>
      <c r="AW40" s="66">
        <v>1</v>
      </c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7"/>
      <c r="CB40" s="44"/>
    </row>
    <row r="41" spans="1:85" ht="12" customHeight="1" thickBot="1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4"/>
      <c r="AK41" s="326" t="s">
        <v>241</v>
      </c>
      <c r="AL41" s="327"/>
      <c r="AM41" s="328"/>
      <c r="AN41" s="329"/>
      <c r="AO41" s="329"/>
      <c r="AP41" s="329"/>
      <c r="AQ41" s="329"/>
      <c r="AR41" s="329"/>
      <c r="AS41" s="330"/>
      <c r="AT41" s="44"/>
      <c r="AU41" s="287"/>
      <c r="AV41" s="288"/>
      <c r="AW41" s="50">
        <v>2</v>
      </c>
      <c r="AX41" s="66"/>
      <c r="AY41" s="331" t="s">
        <v>242</v>
      </c>
      <c r="AZ41" s="331"/>
      <c r="BA41" s="331"/>
      <c r="BB41" s="331"/>
      <c r="BC41" s="331"/>
      <c r="BD41" s="331"/>
      <c r="BE41" s="331"/>
      <c r="BF41" s="331"/>
      <c r="BG41" s="331"/>
      <c r="BH41" s="331"/>
      <c r="BI41" s="331"/>
      <c r="BJ41" s="331"/>
      <c r="BK41" s="331"/>
      <c r="BL41" s="331"/>
      <c r="BM41" s="331"/>
      <c r="BN41" s="331"/>
      <c r="BO41" s="331"/>
      <c r="BP41" s="331"/>
      <c r="BQ41" s="331"/>
      <c r="BR41" s="331"/>
      <c r="BS41" s="331"/>
      <c r="BT41" s="331"/>
      <c r="BU41" s="331"/>
      <c r="BV41" s="331"/>
      <c r="BW41" s="331"/>
      <c r="BX41" s="331"/>
      <c r="BY41" s="331"/>
      <c r="BZ41" s="331"/>
      <c r="CA41" s="332"/>
      <c r="CB41" s="44"/>
    </row>
    <row r="42" spans="1:85" ht="12" customHeight="1" thickBot="1" x14ac:dyDescent="0.25">
      <c r="A42" s="314" t="s">
        <v>243</v>
      </c>
      <c r="B42" s="315"/>
      <c r="C42" s="315"/>
      <c r="D42" s="315"/>
      <c r="E42" s="315"/>
      <c r="F42" s="315"/>
      <c r="G42" s="315"/>
      <c r="H42" s="315"/>
      <c r="I42" s="315"/>
      <c r="J42" s="315"/>
      <c r="K42" s="315"/>
      <c r="L42" s="315"/>
      <c r="M42" s="315"/>
      <c r="N42" s="315"/>
      <c r="O42" s="315"/>
      <c r="P42" s="315"/>
      <c r="Q42" s="315"/>
      <c r="R42" s="315"/>
      <c r="S42" s="315"/>
      <c r="T42" s="315"/>
      <c r="U42" s="315"/>
      <c r="V42" s="315"/>
      <c r="W42" s="315"/>
      <c r="X42" s="315"/>
      <c r="Y42" s="315"/>
      <c r="Z42" s="315"/>
      <c r="AA42" s="315"/>
      <c r="AB42" s="315"/>
      <c r="AC42" s="315"/>
      <c r="AD42" s="315"/>
      <c r="AE42" s="315"/>
      <c r="AF42" s="315"/>
      <c r="AG42" s="315"/>
      <c r="AH42" s="315"/>
      <c r="AI42" s="316"/>
      <c r="AJ42" s="44"/>
      <c r="AK42" s="295" t="s">
        <v>244</v>
      </c>
      <c r="AL42" s="296"/>
      <c r="AM42" s="297"/>
      <c r="AN42" s="297"/>
      <c r="AO42" s="297"/>
      <c r="AP42" s="297"/>
      <c r="AQ42" s="297"/>
      <c r="AR42" s="297"/>
      <c r="AS42" s="298"/>
      <c r="AT42" s="44"/>
      <c r="AU42" s="287"/>
      <c r="AV42" s="288"/>
      <c r="AW42" s="50">
        <v>3</v>
      </c>
      <c r="AX42" s="50"/>
      <c r="AY42" s="289" t="s">
        <v>245</v>
      </c>
      <c r="AZ42" s="289"/>
      <c r="BA42" s="289"/>
      <c r="BB42" s="289"/>
      <c r="BC42" s="289"/>
      <c r="BD42" s="289"/>
      <c r="BE42" s="289"/>
      <c r="BF42" s="289"/>
      <c r="BG42" s="289"/>
      <c r="BH42" s="289"/>
      <c r="BI42" s="289"/>
      <c r="BJ42" s="289"/>
      <c r="BK42" s="289"/>
      <c r="BL42" s="289"/>
      <c r="BM42" s="289"/>
      <c r="BN42" s="289"/>
      <c r="BO42" s="289"/>
      <c r="BP42" s="289"/>
      <c r="BQ42" s="289"/>
      <c r="BR42" s="289"/>
      <c r="BS42" s="289"/>
      <c r="BT42" s="289"/>
      <c r="BU42" s="289"/>
      <c r="BV42" s="289"/>
      <c r="BW42" s="289"/>
      <c r="BX42" s="289"/>
      <c r="BY42" s="289"/>
      <c r="BZ42" s="289"/>
      <c r="CA42" s="290"/>
      <c r="CB42" s="44"/>
    </row>
    <row r="43" spans="1:85" ht="12" customHeight="1" thickTop="1" x14ac:dyDescent="0.2">
      <c r="A43" s="317" t="s">
        <v>246</v>
      </c>
      <c r="B43" s="318"/>
      <c r="C43" s="319"/>
      <c r="D43" s="320" t="str">
        <f>IF(AM41&lt;&gt;"","A","")</f>
        <v/>
      </c>
      <c r="E43" s="321"/>
      <c r="F43" s="313" t="str">
        <f>IF(AM41&lt;&gt;"",AM41,"")</f>
        <v/>
      </c>
      <c r="G43" s="306" t="str">
        <f>IF(AM41&lt;&gt;"","B","")</f>
        <v/>
      </c>
      <c r="H43" s="310"/>
      <c r="I43" s="311" t="str">
        <f>IF(AM42&lt;&gt;"",AM42,"")</f>
        <v/>
      </c>
      <c r="J43" s="306" t="str">
        <f>IF(AM42&lt;&gt;"","C","")</f>
        <v/>
      </c>
      <c r="K43" s="310"/>
      <c r="L43" s="311" t="str">
        <f>IF(AM43&lt;&gt;"",AM43,"")</f>
        <v/>
      </c>
      <c r="M43" s="306" t="str">
        <f>IF(AM43&lt;&gt;"","D","")</f>
        <v/>
      </c>
      <c r="N43" s="310"/>
      <c r="O43" s="311" t="str">
        <f>IF(AM44&lt;&gt;"",AM44,"")</f>
        <v/>
      </c>
      <c r="P43" s="306" t="str">
        <f>IF(AM44&lt;&gt;"","E","")</f>
        <v/>
      </c>
      <c r="Q43" s="310"/>
      <c r="R43" s="311" t="str">
        <f>IF(AM45&lt;&gt;"",AM45,"")</f>
        <v/>
      </c>
      <c r="S43" s="306" t="str">
        <f>IF(AM45&lt;&gt;"","F","")</f>
        <v/>
      </c>
      <c r="T43" s="310"/>
      <c r="U43" s="311" t="str">
        <f>IF(AM46&lt;&gt;"",AM46,"")</f>
        <v/>
      </c>
      <c r="V43" s="306" t="str">
        <f>IF(AM46&lt;&gt;"","G","")</f>
        <v/>
      </c>
      <c r="W43" s="310"/>
      <c r="X43" s="311" t="str">
        <f>IF(AM47&lt;&gt;"",AM47,"")</f>
        <v/>
      </c>
      <c r="Y43" s="306" t="str">
        <f>IF(AM47&lt;&gt;"","H","")</f>
        <v/>
      </c>
      <c r="Z43" s="310"/>
      <c r="AA43" s="311" t="str">
        <f>IF(AM48&lt;&gt;"",AM48,"")</f>
        <v/>
      </c>
      <c r="AB43" s="306" t="str">
        <f>IF(AM48&lt;&gt;"","I","")</f>
        <v/>
      </c>
      <c r="AC43" s="310"/>
      <c r="AD43" s="311" t="str">
        <f>IF(AM49&lt;&gt;"",AM49,"")</f>
        <v/>
      </c>
      <c r="AE43" s="306" t="str">
        <f>IF(AM49&lt;&gt;"","J","")</f>
        <v/>
      </c>
      <c r="AF43" s="310"/>
      <c r="AG43" s="313" t="str">
        <f>IF(AM50&lt;&gt;"",AM50,"")</f>
        <v/>
      </c>
      <c r="AH43" s="306" t="str">
        <f>IF(AM50&lt;&gt;"","K","")</f>
        <v/>
      </c>
      <c r="AI43" s="307"/>
      <c r="AJ43" s="44"/>
      <c r="AK43" s="295" t="s">
        <v>247</v>
      </c>
      <c r="AL43" s="296"/>
      <c r="AM43" s="297"/>
      <c r="AN43" s="297"/>
      <c r="AO43" s="297"/>
      <c r="AP43" s="297"/>
      <c r="AQ43" s="297"/>
      <c r="AR43" s="297"/>
      <c r="AS43" s="298"/>
      <c r="AT43" s="44"/>
      <c r="AU43" s="287"/>
      <c r="AV43" s="288"/>
      <c r="AW43" s="50">
        <v>4</v>
      </c>
      <c r="AX43" s="50"/>
      <c r="AY43" s="289" t="s">
        <v>248</v>
      </c>
      <c r="AZ43" s="289"/>
      <c r="BA43" s="289"/>
      <c r="BB43" s="289"/>
      <c r="BC43" s="289"/>
      <c r="BD43" s="289"/>
      <c r="BE43" s="289"/>
      <c r="BF43" s="289"/>
      <c r="BG43" s="289"/>
      <c r="BH43" s="289"/>
      <c r="BI43" s="289"/>
      <c r="BJ43" s="289"/>
      <c r="BK43" s="289"/>
      <c r="BL43" s="289"/>
      <c r="BM43" s="289"/>
      <c r="BN43" s="289"/>
      <c r="BO43" s="289"/>
      <c r="BP43" s="289"/>
      <c r="BQ43" s="289"/>
      <c r="BR43" s="289"/>
      <c r="BS43" s="289"/>
      <c r="BT43" s="289"/>
      <c r="BU43" s="289"/>
      <c r="BV43" s="289"/>
      <c r="BW43" s="289"/>
      <c r="BX43" s="289"/>
      <c r="BY43" s="289"/>
      <c r="BZ43" s="289"/>
      <c r="CA43" s="290"/>
      <c r="CB43" s="44"/>
    </row>
    <row r="44" spans="1:85" ht="12" customHeight="1" x14ac:dyDescent="0.2">
      <c r="A44" s="67"/>
      <c r="B44" s="68"/>
      <c r="C44" s="68"/>
      <c r="D44" s="302"/>
      <c r="E44" s="303"/>
      <c r="F44" s="311"/>
      <c r="G44" s="302"/>
      <c r="H44" s="303"/>
      <c r="I44" s="311"/>
      <c r="J44" s="302"/>
      <c r="K44" s="303"/>
      <c r="L44" s="311"/>
      <c r="M44" s="302"/>
      <c r="N44" s="303"/>
      <c r="O44" s="311"/>
      <c r="P44" s="302"/>
      <c r="Q44" s="303"/>
      <c r="R44" s="311"/>
      <c r="S44" s="302"/>
      <c r="T44" s="303"/>
      <c r="U44" s="311"/>
      <c r="V44" s="302"/>
      <c r="W44" s="303"/>
      <c r="X44" s="311"/>
      <c r="Y44" s="302"/>
      <c r="Z44" s="303"/>
      <c r="AA44" s="311"/>
      <c r="AB44" s="302"/>
      <c r="AC44" s="303"/>
      <c r="AD44" s="311"/>
      <c r="AE44" s="302"/>
      <c r="AF44" s="303"/>
      <c r="AG44" s="311"/>
      <c r="AH44" s="302"/>
      <c r="AI44" s="308"/>
      <c r="AJ44" s="44"/>
      <c r="AK44" s="295" t="s">
        <v>249</v>
      </c>
      <c r="AL44" s="296"/>
      <c r="AM44" s="297"/>
      <c r="AN44" s="297"/>
      <c r="AO44" s="297"/>
      <c r="AP44" s="297"/>
      <c r="AQ44" s="297"/>
      <c r="AR44" s="297"/>
      <c r="AS44" s="298"/>
      <c r="AT44" s="44"/>
      <c r="AU44" s="287"/>
      <c r="AV44" s="288"/>
      <c r="AW44" s="50">
        <v>5</v>
      </c>
      <c r="AX44" s="50"/>
      <c r="AY44" s="289" t="s">
        <v>250</v>
      </c>
      <c r="AZ44" s="289"/>
      <c r="BA44" s="289"/>
      <c r="BB44" s="289"/>
      <c r="BC44" s="289"/>
      <c r="BD44" s="289"/>
      <c r="BE44" s="289"/>
      <c r="BF44" s="289"/>
      <c r="BG44" s="289"/>
      <c r="BH44" s="289"/>
      <c r="BI44" s="289"/>
      <c r="BJ44" s="289"/>
      <c r="BK44" s="289"/>
      <c r="BL44" s="289"/>
      <c r="BM44" s="289"/>
      <c r="BN44" s="289"/>
      <c r="BO44" s="289"/>
      <c r="BP44" s="289"/>
      <c r="BQ44" s="289"/>
      <c r="BR44" s="289"/>
      <c r="BS44" s="289"/>
      <c r="BT44" s="289"/>
      <c r="BU44" s="289"/>
      <c r="BV44" s="289"/>
      <c r="BW44" s="289"/>
      <c r="BX44" s="289"/>
      <c r="BY44" s="289"/>
      <c r="BZ44" s="289"/>
      <c r="CA44" s="290"/>
      <c r="CB44" s="44"/>
    </row>
    <row r="45" spans="1:85" ht="12" customHeight="1" x14ac:dyDescent="0.2">
      <c r="A45" s="67"/>
      <c r="B45" s="68"/>
      <c r="C45" s="68"/>
      <c r="D45" s="302"/>
      <c r="E45" s="303"/>
      <c r="F45" s="311"/>
      <c r="G45" s="302"/>
      <c r="H45" s="303"/>
      <c r="I45" s="311"/>
      <c r="J45" s="302"/>
      <c r="K45" s="303"/>
      <c r="L45" s="311"/>
      <c r="M45" s="302"/>
      <c r="N45" s="303"/>
      <c r="O45" s="311"/>
      <c r="P45" s="302"/>
      <c r="Q45" s="303"/>
      <c r="R45" s="311"/>
      <c r="S45" s="302"/>
      <c r="T45" s="303"/>
      <c r="U45" s="311"/>
      <c r="V45" s="302"/>
      <c r="W45" s="303"/>
      <c r="X45" s="311"/>
      <c r="Y45" s="302"/>
      <c r="Z45" s="303"/>
      <c r="AA45" s="311"/>
      <c r="AB45" s="302"/>
      <c r="AC45" s="303"/>
      <c r="AD45" s="311"/>
      <c r="AE45" s="302"/>
      <c r="AF45" s="303"/>
      <c r="AG45" s="311"/>
      <c r="AH45" s="302"/>
      <c r="AI45" s="308"/>
      <c r="AJ45" s="44"/>
      <c r="AK45" s="295" t="s">
        <v>251</v>
      </c>
      <c r="AL45" s="296"/>
      <c r="AM45" s="297"/>
      <c r="AN45" s="297"/>
      <c r="AO45" s="297"/>
      <c r="AP45" s="297"/>
      <c r="AQ45" s="297"/>
      <c r="AR45" s="297"/>
      <c r="AS45" s="298"/>
      <c r="AT45" s="44"/>
      <c r="AU45" s="287"/>
      <c r="AV45" s="288"/>
      <c r="AW45" s="50">
        <v>6</v>
      </c>
      <c r="AX45" s="50"/>
      <c r="AY45" s="289" t="s">
        <v>252</v>
      </c>
      <c r="AZ45" s="289"/>
      <c r="BA45" s="289"/>
      <c r="BB45" s="289"/>
      <c r="BC45" s="289"/>
      <c r="BD45" s="289"/>
      <c r="BE45" s="289"/>
      <c r="BF45" s="289"/>
      <c r="BG45" s="289"/>
      <c r="BH45" s="289"/>
      <c r="BI45" s="289"/>
      <c r="BJ45" s="289"/>
      <c r="BK45" s="289"/>
      <c r="BL45" s="289"/>
      <c r="BM45" s="289"/>
      <c r="BN45" s="289"/>
      <c r="BO45" s="289"/>
      <c r="BP45" s="289"/>
      <c r="BQ45" s="289"/>
      <c r="BR45" s="289"/>
      <c r="BS45" s="289"/>
      <c r="BT45" s="289"/>
      <c r="BU45" s="289"/>
      <c r="BV45" s="289"/>
      <c r="BW45" s="289"/>
      <c r="BX45" s="289"/>
      <c r="BY45" s="289"/>
      <c r="BZ45" s="289"/>
      <c r="CA45" s="290"/>
      <c r="CB45" s="44"/>
    </row>
    <row r="46" spans="1:85" ht="12" customHeight="1" x14ac:dyDescent="0.2">
      <c r="A46" s="67"/>
      <c r="B46" s="68"/>
      <c r="C46" s="68"/>
      <c r="D46" s="302"/>
      <c r="E46" s="303"/>
      <c r="F46" s="311"/>
      <c r="G46" s="302"/>
      <c r="H46" s="303"/>
      <c r="I46" s="311"/>
      <c r="J46" s="302"/>
      <c r="K46" s="303"/>
      <c r="L46" s="311"/>
      <c r="M46" s="302"/>
      <c r="N46" s="303"/>
      <c r="O46" s="311"/>
      <c r="P46" s="302"/>
      <c r="Q46" s="303"/>
      <c r="R46" s="311"/>
      <c r="S46" s="302"/>
      <c r="T46" s="303"/>
      <c r="U46" s="311"/>
      <c r="V46" s="302"/>
      <c r="W46" s="303"/>
      <c r="X46" s="311"/>
      <c r="Y46" s="302"/>
      <c r="Z46" s="303"/>
      <c r="AA46" s="311"/>
      <c r="AB46" s="302"/>
      <c r="AC46" s="303"/>
      <c r="AD46" s="311"/>
      <c r="AE46" s="302"/>
      <c r="AF46" s="303"/>
      <c r="AG46" s="311"/>
      <c r="AH46" s="302"/>
      <c r="AI46" s="308"/>
      <c r="AJ46" s="44"/>
      <c r="AK46" s="295" t="s">
        <v>253</v>
      </c>
      <c r="AL46" s="296"/>
      <c r="AM46" s="297"/>
      <c r="AN46" s="297"/>
      <c r="AO46" s="297"/>
      <c r="AP46" s="297"/>
      <c r="AQ46" s="297"/>
      <c r="AR46" s="297"/>
      <c r="AS46" s="298"/>
      <c r="AT46" s="44"/>
      <c r="AU46" s="287"/>
      <c r="AV46" s="288"/>
      <c r="AW46" s="50">
        <v>7</v>
      </c>
      <c r="AX46" s="50"/>
      <c r="AY46" s="289" t="s">
        <v>254</v>
      </c>
      <c r="AZ46" s="289"/>
      <c r="BA46" s="289"/>
      <c r="BB46" s="289"/>
      <c r="BC46" s="289"/>
      <c r="BD46" s="289"/>
      <c r="BE46" s="289"/>
      <c r="BF46" s="289"/>
      <c r="BG46" s="289"/>
      <c r="BH46" s="289"/>
      <c r="BI46" s="289"/>
      <c r="BJ46" s="289"/>
      <c r="BK46" s="289"/>
      <c r="BL46" s="289"/>
      <c r="BM46" s="289"/>
      <c r="BN46" s="289"/>
      <c r="BO46" s="289"/>
      <c r="BP46" s="289"/>
      <c r="BQ46" s="289"/>
      <c r="BR46" s="289"/>
      <c r="BS46" s="289"/>
      <c r="BT46" s="289"/>
      <c r="BU46" s="289"/>
      <c r="BV46" s="289"/>
      <c r="BW46" s="289"/>
      <c r="BX46" s="289"/>
      <c r="BY46" s="289"/>
      <c r="BZ46" s="289"/>
      <c r="CA46" s="290"/>
      <c r="CB46" s="44"/>
    </row>
    <row r="47" spans="1:85" ht="12" customHeight="1" thickBot="1" x14ac:dyDescent="0.25">
      <c r="A47" s="299" t="s">
        <v>255</v>
      </c>
      <c r="B47" s="300"/>
      <c r="C47" s="301"/>
      <c r="D47" s="304"/>
      <c r="E47" s="305"/>
      <c r="F47" s="312"/>
      <c r="G47" s="304"/>
      <c r="H47" s="305"/>
      <c r="I47" s="312"/>
      <c r="J47" s="304"/>
      <c r="K47" s="305"/>
      <c r="L47" s="312"/>
      <c r="M47" s="304"/>
      <c r="N47" s="305"/>
      <c r="O47" s="312"/>
      <c r="P47" s="304"/>
      <c r="Q47" s="305"/>
      <c r="R47" s="312"/>
      <c r="S47" s="304"/>
      <c r="T47" s="305"/>
      <c r="U47" s="312"/>
      <c r="V47" s="304"/>
      <c r="W47" s="305"/>
      <c r="X47" s="312"/>
      <c r="Y47" s="304"/>
      <c r="Z47" s="305"/>
      <c r="AA47" s="312"/>
      <c r="AB47" s="304"/>
      <c r="AC47" s="305"/>
      <c r="AD47" s="312"/>
      <c r="AE47" s="304"/>
      <c r="AF47" s="305"/>
      <c r="AG47" s="312"/>
      <c r="AH47" s="304"/>
      <c r="AI47" s="309"/>
      <c r="AJ47" s="44"/>
      <c r="AK47" s="295" t="s">
        <v>256</v>
      </c>
      <c r="AL47" s="296"/>
      <c r="AM47" s="297"/>
      <c r="AN47" s="297"/>
      <c r="AO47" s="297"/>
      <c r="AP47" s="297"/>
      <c r="AQ47" s="297"/>
      <c r="AR47" s="297"/>
      <c r="AS47" s="298"/>
      <c r="AT47" s="44"/>
      <c r="AU47" s="287"/>
      <c r="AV47" s="288"/>
      <c r="AW47" s="50">
        <v>8</v>
      </c>
      <c r="AX47" s="50"/>
      <c r="AY47" s="289" t="s">
        <v>257</v>
      </c>
      <c r="AZ47" s="289"/>
      <c r="BA47" s="289"/>
      <c r="BB47" s="289"/>
      <c r="BC47" s="289"/>
      <c r="BD47" s="289"/>
      <c r="BE47" s="289"/>
      <c r="BF47" s="289"/>
      <c r="BG47" s="289"/>
      <c r="BH47" s="289"/>
      <c r="BI47" s="289"/>
      <c r="BJ47" s="289"/>
      <c r="BK47" s="289"/>
      <c r="BL47" s="289"/>
      <c r="BM47" s="289"/>
      <c r="BN47" s="289"/>
      <c r="BO47" s="289"/>
      <c r="BP47" s="289"/>
      <c r="BQ47" s="289"/>
      <c r="BR47" s="289"/>
      <c r="BS47" s="289"/>
      <c r="BT47" s="289"/>
      <c r="BU47" s="289"/>
      <c r="BV47" s="289"/>
      <c r="BW47" s="289"/>
      <c r="BX47" s="289"/>
      <c r="BY47" s="289"/>
      <c r="BZ47" s="289"/>
      <c r="CA47" s="290"/>
      <c r="CB47" s="44"/>
    </row>
    <row r="48" spans="1:85" ht="12" customHeight="1" x14ac:dyDescent="0.2">
      <c r="A48" s="42"/>
      <c r="B48" s="42"/>
      <c r="C48" s="42"/>
      <c r="D48" s="42"/>
      <c r="E48" s="42"/>
      <c r="F48" s="42"/>
      <c r="G48" s="42"/>
      <c r="H48" s="42"/>
      <c r="I48" s="42"/>
      <c r="J48" s="69"/>
      <c r="K48" s="69"/>
      <c r="L48" s="69"/>
      <c r="M48" s="68"/>
      <c r="N48" s="68"/>
      <c r="O48" s="70"/>
      <c r="P48" s="70"/>
      <c r="Q48" s="70"/>
      <c r="R48" s="70"/>
      <c r="S48" s="70"/>
      <c r="T48" s="70"/>
      <c r="U48" s="70"/>
      <c r="V48" s="70"/>
      <c r="W48" s="71"/>
      <c r="X48" s="71"/>
      <c r="Y48" s="71"/>
      <c r="Z48" s="71"/>
      <c r="AA48" s="71"/>
      <c r="AB48" s="71"/>
      <c r="AC48" s="69"/>
      <c r="AD48" s="69"/>
      <c r="AE48" s="69"/>
      <c r="AF48" s="69"/>
      <c r="AG48" s="69"/>
      <c r="AH48" s="69"/>
      <c r="AI48" s="69"/>
      <c r="AJ48" s="44"/>
      <c r="AK48" s="295" t="s">
        <v>258</v>
      </c>
      <c r="AL48" s="296"/>
      <c r="AM48" s="297"/>
      <c r="AN48" s="297"/>
      <c r="AO48" s="297"/>
      <c r="AP48" s="297"/>
      <c r="AQ48" s="297"/>
      <c r="AR48" s="297"/>
      <c r="AS48" s="298"/>
      <c r="AT48" s="44"/>
      <c r="AU48" s="287"/>
      <c r="AV48" s="288"/>
      <c r="AW48" s="50">
        <v>9</v>
      </c>
      <c r="AX48" s="50"/>
      <c r="AY48" s="289" t="s">
        <v>259</v>
      </c>
      <c r="AZ48" s="289"/>
      <c r="BA48" s="289"/>
      <c r="BB48" s="289"/>
      <c r="BC48" s="289"/>
      <c r="BD48" s="289"/>
      <c r="BE48" s="289"/>
      <c r="BF48" s="289"/>
      <c r="BG48" s="289"/>
      <c r="BH48" s="289"/>
      <c r="BI48" s="289"/>
      <c r="BJ48" s="289"/>
      <c r="BK48" s="289"/>
      <c r="BL48" s="289"/>
      <c r="BM48" s="289"/>
      <c r="BN48" s="289"/>
      <c r="BO48" s="289"/>
      <c r="BP48" s="289"/>
      <c r="BQ48" s="289"/>
      <c r="BR48" s="289"/>
      <c r="BS48" s="289"/>
      <c r="BT48" s="289"/>
      <c r="BU48" s="289"/>
      <c r="BV48" s="289"/>
      <c r="BW48" s="289"/>
      <c r="BX48" s="289"/>
      <c r="BY48" s="289"/>
      <c r="BZ48" s="289"/>
      <c r="CA48" s="290"/>
      <c r="CB48" s="44"/>
    </row>
    <row r="49" spans="1:80" ht="12" customHeight="1" x14ac:dyDescent="0.2">
      <c r="A49" s="42"/>
      <c r="B49" s="42"/>
      <c r="C49" s="42"/>
      <c r="D49" s="42"/>
      <c r="E49" s="42"/>
      <c r="F49" s="42"/>
      <c r="G49" s="42"/>
      <c r="H49" s="42"/>
      <c r="I49" s="42"/>
      <c r="J49" s="69"/>
      <c r="K49" s="69"/>
      <c r="L49" s="69"/>
      <c r="M49" s="68"/>
      <c r="N49" s="68"/>
      <c r="O49" s="70"/>
      <c r="P49" s="70"/>
      <c r="Q49" s="70"/>
      <c r="R49" s="70"/>
      <c r="S49" s="70"/>
      <c r="T49" s="70"/>
      <c r="U49" s="70"/>
      <c r="V49" s="70"/>
      <c r="W49" s="71"/>
      <c r="X49" s="71"/>
      <c r="Y49" s="71"/>
      <c r="Z49" s="71"/>
      <c r="AA49" s="71"/>
      <c r="AB49" s="71"/>
      <c r="AC49" s="69"/>
      <c r="AD49" s="69"/>
      <c r="AE49" s="69"/>
      <c r="AF49" s="69"/>
      <c r="AG49" s="69"/>
      <c r="AH49" s="69"/>
      <c r="AI49" s="69"/>
      <c r="AJ49" s="44"/>
      <c r="AK49" s="295" t="s">
        <v>260</v>
      </c>
      <c r="AL49" s="296"/>
      <c r="AM49" s="297"/>
      <c r="AN49" s="297"/>
      <c r="AO49" s="297"/>
      <c r="AP49" s="297"/>
      <c r="AQ49" s="297"/>
      <c r="AR49" s="297"/>
      <c r="AS49" s="298"/>
      <c r="AT49" s="44"/>
      <c r="AU49" s="287"/>
      <c r="AV49" s="288"/>
      <c r="AW49" s="50">
        <v>10</v>
      </c>
      <c r="AX49" s="50"/>
      <c r="AY49" s="289" t="s">
        <v>261</v>
      </c>
      <c r="AZ49" s="289"/>
      <c r="BA49" s="289"/>
      <c r="BB49" s="289"/>
      <c r="BC49" s="289"/>
      <c r="BD49" s="289"/>
      <c r="BE49" s="289"/>
      <c r="BF49" s="289"/>
      <c r="BG49" s="289"/>
      <c r="BH49" s="289"/>
      <c r="BI49" s="289"/>
      <c r="BJ49" s="289"/>
      <c r="BK49" s="289"/>
      <c r="BL49" s="289"/>
      <c r="BM49" s="289"/>
      <c r="BN49" s="289"/>
      <c r="BO49" s="289"/>
      <c r="BP49" s="289"/>
      <c r="BQ49" s="289"/>
      <c r="BR49" s="289"/>
      <c r="BS49" s="289"/>
      <c r="BT49" s="289"/>
      <c r="BU49" s="289"/>
      <c r="BV49" s="289"/>
      <c r="BW49" s="289"/>
      <c r="BX49" s="289"/>
      <c r="BY49" s="289"/>
      <c r="BZ49" s="289"/>
      <c r="CA49" s="290"/>
      <c r="CB49" s="44"/>
    </row>
    <row r="50" spans="1:80" ht="12" customHeight="1" thickBot="1" x14ac:dyDescent="0.25">
      <c r="A50" s="42"/>
      <c r="B50" s="42" t="s">
        <v>262</v>
      </c>
      <c r="C50" s="42"/>
      <c r="D50" s="42"/>
      <c r="E50" s="42"/>
      <c r="F50" s="42"/>
      <c r="G50" s="42"/>
      <c r="H50" s="42"/>
      <c r="I50" s="42"/>
      <c r="J50" s="69"/>
      <c r="K50" s="69"/>
      <c r="L50" s="69"/>
      <c r="M50" s="68"/>
      <c r="N50" s="68"/>
      <c r="O50" s="70"/>
      <c r="P50" s="70"/>
      <c r="Q50" s="70"/>
      <c r="R50" s="70"/>
      <c r="S50" s="70"/>
      <c r="T50" s="70"/>
      <c r="U50" s="70"/>
      <c r="V50" s="70"/>
      <c r="W50" s="71"/>
      <c r="X50" s="71"/>
      <c r="Y50" s="71"/>
      <c r="Z50" s="71"/>
      <c r="AA50" s="71"/>
      <c r="AB50" s="71"/>
      <c r="AC50" s="69"/>
      <c r="AD50" s="69"/>
      <c r="AE50" s="69"/>
      <c r="AF50" s="69"/>
      <c r="AG50" s="69"/>
      <c r="AH50" s="69"/>
      <c r="AI50" s="69"/>
      <c r="AJ50" s="44"/>
      <c r="AK50" s="291" t="s">
        <v>263</v>
      </c>
      <c r="AL50" s="292"/>
      <c r="AM50" s="293"/>
      <c r="AN50" s="293"/>
      <c r="AO50" s="293"/>
      <c r="AP50" s="293"/>
      <c r="AQ50" s="293"/>
      <c r="AR50" s="293"/>
      <c r="AS50" s="294"/>
      <c r="AT50" s="44"/>
      <c r="AU50" s="287"/>
      <c r="AV50" s="288"/>
      <c r="AW50" s="50">
        <v>11</v>
      </c>
      <c r="AX50" s="50"/>
      <c r="AY50" s="289" t="s">
        <v>264</v>
      </c>
      <c r="AZ50" s="289"/>
      <c r="BA50" s="289"/>
      <c r="BB50" s="289"/>
      <c r="BC50" s="289"/>
      <c r="BD50" s="289"/>
      <c r="BE50" s="289"/>
      <c r="BF50" s="289"/>
      <c r="BG50" s="289"/>
      <c r="BH50" s="289"/>
      <c r="BI50" s="289"/>
      <c r="BJ50" s="289"/>
      <c r="BK50" s="289"/>
      <c r="BL50" s="289"/>
      <c r="BM50" s="289"/>
      <c r="BN50" s="289"/>
      <c r="BO50" s="289"/>
      <c r="BP50" s="289"/>
      <c r="BQ50" s="289"/>
      <c r="BR50" s="289"/>
      <c r="BS50" s="289"/>
      <c r="BT50" s="289"/>
      <c r="BU50" s="289"/>
      <c r="BV50" s="289"/>
      <c r="BW50" s="289"/>
      <c r="BX50" s="289"/>
      <c r="BY50" s="289"/>
      <c r="BZ50" s="289"/>
      <c r="CA50" s="290"/>
      <c r="CB50" s="44"/>
    </row>
    <row r="51" spans="1:80" ht="12" customHeight="1" x14ac:dyDescent="0.2">
      <c r="A51" s="73"/>
      <c r="B51" s="281"/>
      <c r="C51" s="281"/>
      <c r="D51" s="281"/>
      <c r="E51" s="281"/>
      <c r="F51" s="281"/>
      <c r="G51" s="281"/>
      <c r="H51" s="281"/>
      <c r="I51" s="281"/>
      <c r="J51" s="281"/>
      <c r="K51" s="281"/>
      <c r="L51" s="281"/>
      <c r="M51" s="281"/>
      <c r="N51" s="281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  <c r="AF51" s="281"/>
      <c r="AG51" s="281"/>
      <c r="AH51" s="281"/>
      <c r="AI51" s="281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287"/>
      <c r="AV51" s="288"/>
      <c r="AW51" s="50">
        <v>12</v>
      </c>
      <c r="AX51" s="50"/>
      <c r="AY51" s="289" t="s">
        <v>265</v>
      </c>
      <c r="AZ51" s="289"/>
      <c r="BA51" s="289"/>
      <c r="BB51" s="289"/>
      <c r="BC51" s="289"/>
      <c r="BD51" s="289"/>
      <c r="BE51" s="289"/>
      <c r="BF51" s="289"/>
      <c r="BG51" s="289"/>
      <c r="BH51" s="289"/>
      <c r="BI51" s="289"/>
      <c r="BJ51" s="289"/>
      <c r="BK51" s="289"/>
      <c r="BL51" s="289"/>
      <c r="BM51" s="289"/>
      <c r="BN51" s="289"/>
      <c r="BO51" s="289"/>
      <c r="BP51" s="289"/>
      <c r="BQ51" s="289"/>
      <c r="BR51" s="289"/>
      <c r="BS51" s="289"/>
      <c r="BT51" s="289"/>
      <c r="BU51" s="289"/>
      <c r="BV51" s="289"/>
      <c r="BW51" s="289"/>
      <c r="BX51" s="289"/>
      <c r="BY51" s="289"/>
      <c r="BZ51" s="289"/>
      <c r="CA51" s="290"/>
      <c r="CB51" s="44"/>
    </row>
    <row r="52" spans="1:80" ht="12" customHeight="1" x14ac:dyDescent="0.2">
      <c r="A52" s="73"/>
      <c r="B52" s="281"/>
      <c r="C52" s="281"/>
      <c r="D52" s="281"/>
      <c r="E52" s="281"/>
      <c r="F52" s="281"/>
      <c r="G52" s="281"/>
      <c r="H52" s="281"/>
      <c r="I52" s="281"/>
      <c r="J52" s="281"/>
      <c r="K52" s="281"/>
      <c r="L52" s="281"/>
      <c r="M52" s="281"/>
      <c r="N52" s="281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  <c r="AF52" s="281"/>
      <c r="AG52" s="281"/>
      <c r="AH52" s="281"/>
      <c r="AI52" s="281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287"/>
      <c r="AV52" s="288"/>
      <c r="AW52" s="50">
        <v>13</v>
      </c>
      <c r="AX52" s="50"/>
      <c r="AY52" s="289" t="s">
        <v>266</v>
      </c>
      <c r="AZ52" s="289"/>
      <c r="BA52" s="289"/>
      <c r="BB52" s="289"/>
      <c r="BC52" s="289"/>
      <c r="BD52" s="289"/>
      <c r="BE52" s="289"/>
      <c r="BF52" s="289"/>
      <c r="BG52" s="289"/>
      <c r="BH52" s="289"/>
      <c r="BI52" s="289"/>
      <c r="BJ52" s="289"/>
      <c r="BK52" s="289"/>
      <c r="BL52" s="289"/>
      <c r="BM52" s="289"/>
      <c r="BN52" s="289"/>
      <c r="BO52" s="289"/>
      <c r="BP52" s="289"/>
      <c r="BQ52" s="289"/>
      <c r="BR52" s="289"/>
      <c r="BS52" s="289"/>
      <c r="BT52" s="289"/>
      <c r="BU52" s="289"/>
      <c r="BV52" s="289"/>
      <c r="BW52" s="289"/>
      <c r="BX52" s="289"/>
      <c r="BY52" s="289"/>
      <c r="BZ52" s="289"/>
      <c r="CA52" s="290"/>
      <c r="CB52" s="44"/>
    </row>
    <row r="53" spans="1:80" ht="12" customHeight="1" x14ac:dyDescent="0.2">
      <c r="A53" s="73"/>
      <c r="B53" s="281"/>
      <c r="C53" s="281"/>
      <c r="D53" s="281"/>
      <c r="E53" s="281"/>
      <c r="F53" s="281"/>
      <c r="G53" s="281"/>
      <c r="H53" s="281"/>
      <c r="I53" s="281"/>
      <c r="J53" s="281"/>
      <c r="K53" s="281"/>
      <c r="L53" s="281"/>
      <c r="M53" s="281"/>
      <c r="N53" s="281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  <c r="AF53" s="281"/>
      <c r="AG53" s="281"/>
      <c r="AH53" s="281"/>
      <c r="AI53" s="281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287"/>
      <c r="AV53" s="288"/>
      <c r="AW53" s="50">
        <v>14</v>
      </c>
      <c r="AX53" s="50"/>
      <c r="AY53" s="289" t="s">
        <v>267</v>
      </c>
      <c r="AZ53" s="289"/>
      <c r="BA53" s="289"/>
      <c r="BB53" s="289"/>
      <c r="BC53" s="289"/>
      <c r="BD53" s="289"/>
      <c r="BE53" s="289"/>
      <c r="BF53" s="289"/>
      <c r="BG53" s="289"/>
      <c r="BH53" s="289"/>
      <c r="BI53" s="289"/>
      <c r="BJ53" s="289"/>
      <c r="BK53" s="289"/>
      <c r="BL53" s="289"/>
      <c r="BM53" s="289"/>
      <c r="BN53" s="289"/>
      <c r="BO53" s="289"/>
      <c r="BP53" s="289"/>
      <c r="BQ53" s="289"/>
      <c r="BR53" s="289"/>
      <c r="BS53" s="289"/>
      <c r="BT53" s="289"/>
      <c r="BU53" s="289"/>
      <c r="BV53" s="289"/>
      <c r="BW53" s="289"/>
      <c r="BX53" s="289"/>
      <c r="BY53" s="289"/>
      <c r="BZ53" s="289"/>
      <c r="CA53" s="290"/>
      <c r="CB53" s="44"/>
    </row>
    <row r="54" spans="1:80" ht="12" customHeight="1" x14ac:dyDescent="0.2">
      <c r="A54" s="73"/>
      <c r="B54" s="281"/>
      <c r="C54" s="281"/>
      <c r="D54" s="281"/>
      <c r="E54" s="281"/>
      <c r="F54" s="281"/>
      <c r="G54" s="281"/>
      <c r="H54" s="281"/>
      <c r="I54" s="281"/>
      <c r="J54" s="281"/>
      <c r="K54" s="281"/>
      <c r="L54" s="281"/>
      <c r="M54" s="281"/>
      <c r="N54" s="281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  <c r="AF54" s="281"/>
      <c r="AG54" s="281"/>
      <c r="AH54" s="281"/>
      <c r="AI54" s="281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287"/>
      <c r="AV54" s="288"/>
      <c r="AW54" s="50">
        <v>15</v>
      </c>
      <c r="AX54" s="50"/>
      <c r="AY54" s="289" t="s">
        <v>268</v>
      </c>
      <c r="AZ54" s="289"/>
      <c r="BA54" s="289"/>
      <c r="BB54" s="289"/>
      <c r="BC54" s="289"/>
      <c r="BD54" s="289"/>
      <c r="BE54" s="289"/>
      <c r="BF54" s="289"/>
      <c r="BG54" s="289"/>
      <c r="BH54" s="289"/>
      <c r="BI54" s="289"/>
      <c r="BJ54" s="289"/>
      <c r="BK54" s="289"/>
      <c r="BL54" s="289"/>
      <c r="BM54" s="289"/>
      <c r="BN54" s="289"/>
      <c r="BO54" s="289"/>
      <c r="BP54" s="289"/>
      <c r="BQ54" s="289"/>
      <c r="BR54" s="289"/>
      <c r="BS54" s="289"/>
      <c r="BT54" s="289"/>
      <c r="BU54" s="289"/>
      <c r="BV54" s="289"/>
      <c r="BW54" s="289"/>
      <c r="BX54" s="289"/>
      <c r="BY54" s="289"/>
      <c r="BZ54" s="289"/>
      <c r="CA54" s="290"/>
      <c r="CB54" s="44"/>
    </row>
    <row r="55" spans="1:80" ht="12" customHeight="1" x14ac:dyDescent="0.2">
      <c r="A55" s="73"/>
      <c r="B55" s="281"/>
      <c r="C55" s="281"/>
      <c r="D55" s="281"/>
      <c r="E55" s="281"/>
      <c r="F55" s="281"/>
      <c r="G55" s="281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  <c r="AF55" s="281"/>
      <c r="AG55" s="281"/>
      <c r="AH55" s="281"/>
      <c r="AI55" s="281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287"/>
      <c r="AV55" s="288"/>
      <c r="AW55" s="50">
        <v>16</v>
      </c>
      <c r="AX55" s="50"/>
      <c r="AY55" s="289" t="s">
        <v>269</v>
      </c>
      <c r="AZ55" s="289"/>
      <c r="BA55" s="289"/>
      <c r="BB55" s="289"/>
      <c r="BC55" s="289"/>
      <c r="BD55" s="289"/>
      <c r="BE55" s="289"/>
      <c r="BF55" s="289"/>
      <c r="BG55" s="289"/>
      <c r="BH55" s="289"/>
      <c r="BI55" s="289"/>
      <c r="BJ55" s="289"/>
      <c r="BK55" s="289"/>
      <c r="BL55" s="289"/>
      <c r="BM55" s="289"/>
      <c r="BN55" s="289"/>
      <c r="BO55" s="289"/>
      <c r="BP55" s="289"/>
      <c r="BQ55" s="289"/>
      <c r="BR55" s="289"/>
      <c r="BS55" s="289"/>
      <c r="BT55" s="289"/>
      <c r="BU55" s="289"/>
      <c r="BV55" s="289"/>
      <c r="BW55" s="289"/>
      <c r="BX55" s="289"/>
      <c r="BY55" s="289"/>
      <c r="BZ55" s="289"/>
      <c r="CA55" s="290"/>
      <c r="CB55" s="44"/>
    </row>
    <row r="56" spans="1:80" ht="12" customHeight="1" x14ac:dyDescent="0.2">
      <c r="A56" s="73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287"/>
      <c r="AV56" s="288"/>
      <c r="AW56" s="50">
        <v>17</v>
      </c>
      <c r="AX56" s="50"/>
      <c r="AY56" s="289" t="s">
        <v>270</v>
      </c>
      <c r="AZ56" s="289"/>
      <c r="BA56" s="289"/>
      <c r="BB56" s="289"/>
      <c r="BC56" s="289"/>
      <c r="BD56" s="289"/>
      <c r="BE56" s="289"/>
      <c r="BF56" s="289"/>
      <c r="BG56" s="289"/>
      <c r="BH56" s="289"/>
      <c r="BI56" s="289"/>
      <c r="BJ56" s="289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89"/>
      <c r="BX56" s="289"/>
      <c r="BY56" s="289"/>
      <c r="BZ56" s="289"/>
      <c r="CA56" s="290"/>
      <c r="CB56" s="44"/>
    </row>
    <row r="57" spans="1:80" ht="12" customHeight="1" x14ac:dyDescent="0.2">
      <c r="A57" s="73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287"/>
      <c r="AV57" s="288"/>
      <c r="AW57" s="50">
        <v>18</v>
      </c>
      <c r="AX57" s="50"/>
      <c r="AY57" s="289" t="s">
        <v>271</v>
      </c>
      <c r="AZ57" s="289"/>
      <c r="BA57" s="289"/>
      <c r="BB57" s="289"/>
      <c r="BC57" s="289"/>
      <c r="BD57" s="289"/>
      <c r="BE57" s="289"/>
      <c r="BF57" s="289"/>
      <c r="BG57" s="289"/>
      <c r="BH57" s="289"/>
      <c r="BI57" s="289"/>
      <c r="BJ57" s="289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89"/>
      <c r="BX57" s="289"/>
      <c r="BY57" s="289"/>
      <c r="BZ57" s="289"/>
      <c r="CA57" s="290"/>
      <c r="CB57" s="44"/>
    </row>
    <row r="58" spans="1:80" ht="12" customHeight="1" x14ac:dyDescent="0.2">
      <c r="A58" s="73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287"/>
      <c r="AV58" s="288"/>
      <c r="AW58" s="50">
        <v>19</v>
      </c>
      <c r="AX58" s="50"/>
      <c r="AY58" s="289" t="s">
        <v>272</v>
      </c>
      <c r="AZ58" s="289"/>
      <c r="BA58" s="289"/>
      <c r="BB58" s="289"/>
      <c r="BC58" s="289"/>
      <c r="BD58" s="289"/>
      <c r="BE58" s="289"/>
      <c r="BF58" s="289"/>
      <c r="BG58" s="289"/>
      <c r="BH58" s="289"/>
      <c r="BI58" s="289"/>
      <c r="BJ58" s="289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89"/>
      <c r="BX58" s="289"/>
      <c r="BY58" s="289"/>
      <c r="BZ58" s="289"/>
      <c r="CA58" s="290"/>
      <c r="CB58" s="44"/>
    </row>
    <row r="59" spans="1:80" ht="12" customHeight="1" x14ac:dyDescent="0.2">
      <c r="A59" s="73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287"/>
      <c r="AV59" s="288"/>
      <c r="AW59" s="50">
        <v>20</v>
      </c>
      <c r="AX59" s="50"/>
      <c r="AY59" s="289" t="s">
        <v>273</v>
      </c>
      <c r="AZ59" s="289"/>
      <c r="BA59" s="289"/>
      <c r="BB59" s="289"/>
      <c r="BC59" s="289"/>
      <c r="BD59" s="289"/>
      <c r="BE59" s="289"/>
      <c r="BF59" s="289"/>
      <c r="BG59" s="289"/>
      <c r="BH59" s="289"/>
      <c r="BI59" s="289"/>
      <c r="BJ59" s="289"/>
      <c r="BK59" s="289"/>
      <c r="BL59" s="289"/>
      <c r="BM59" s="289"/>
      <c r="BN59" s="289"/>
      <c r="BO59" s="289"/>
      <c r="BP59" s="289"/>
      <c r="BQ59" s="289"/>
      <c r="BR59" s="289"/>
      <c r="BS59" s="289"/>
      <c r="BT59" s="289"/>
      <c r="BU59" s="289"/>
      <c r="BV59" s="289"/>
      <c r="BW59" s="289"/>
      <c r="BX59" s="289"/>
      <c r="BY59" s="289"/>
      <c r="BZ59" s="289"/>
      <c r="CA59" s="290"/>
      <c r="CB59" s="44"/>
    </row>
    <row r="60" spans="1:80" ht="12" customHeight="1" thickBot="1" x14ac:dyDescent="0.25">
      <c r="A60" s="73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75" t="s">
        <v>274</v>
      </c>
      <c r="AV60" s="76"/>
      <c r="AW60" s="76"/>
      <c r="AX60" s="72"/>
      <c r="AY60" s="282" t="s">
        <v>275</v>
      </c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4"/>
      <c r="CB60" s="44"/>
    </row>
    <row r="61" spans="1:80" ht="12" customHeight="1" x14ac:dyDescent="0.2">
      <c r="A61" s="71"/>
      <c r="B61" s="281"/>
      <c r="C61" s="281"/>
      <c r="D61" s="281"/>
      <c r="E61" s="281"/>
      <c r="F61" s="281"/>
      <c r="G61" s="281"/>
      <c r="H61" s="281"/>
      <c r="I61" s="281"/>
      <c r="J61" s="281"/>
      <c r="K61" s="281"/>
      <c r="L61" s="281"/>
      <c r="M61" s="281"/>
      <c r="N61" s="281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81"/>
      <c r="AF61" s="281"/>
      <c r="AG61" s="281"/>
      <c r="AH61" s="281"/>
      <c r="AI61" s="281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</row>
    <row r="62" spans="1:80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</row>
  </sheetData>
  <mergeCells count="322">
    <mergeCell ref="AJ1:CB1"/>
    <mergeCell ref="AK3:AY3"/>
    <mergeCell ref="AK4:AO4"/>
    <mergeCell ref="AP4:AT4"/>
    <mergeCell ref="AU4:AY4"/>
    <mergeCell ref="M5:AI5"/>
    <mergeCell ref="AK5:AO5"/>
    <mergeCell ref="AP5:AT5"/>
    <mergeCell ref="AU5:AY5"/>
    <mergeCell ref="AK6:AO6"/>
    <mergeCell ref="AP6:AT6"/>
    <mergeCell ref="AU6:AY6"/>
    <mergeCell ref="A7:E7"/>
    <mergeCell ref="F7:P7"/>
    <mergeCell ref="T7:X7"/>
    <mergeCell ref="Y7:AI7"/>
    <mergeCell ref="AK7:AO7"/>
    <mergeCell ref="AP7:AT7"/>
    <mergeCell ref="AU7:AY7"/>
    <mergeCell ref="A13:F13"/>
    <mergeCell ref="G13:P13"/>
    <mergeCell ref="AK8:AO8"/>
    <mergeCell ref="AP8:AT8"/>
    <mergeCell ref="AU8:AY8"/>
    <mergeCell ref="A9:E9"/>
    <mergeCell ref="F9:P9"/>
    <mergeCell ref="T9:X9"/>
    <mergeCell ref="Y9:AI9"/>
    <mergeCell ref="AK9:AO9"/>
    <mergeCell ref="AP9:AT9"/>
    <mergeCell ref="AU9:AY9"/>
    <mergeCell ref="A11:P11"/>
    <mergeCell ref="T11:AI11"/>
    <mergeCell ref="AK11:BO11"/>
    <mergeCell ref="A12:F12"/>
    <mergeCell ref="G12:P12"/>
    <mergeCell ref="T12:Y12"/>
    <mergeCell ref="Z12:AD12"/>
    <mergeCell ref="AE12:AI12"/>
    <mergeCell ref="AK12:AM12"/>
    <mergeCell ref="AN12:AP12"/>
    <mergeCell ref="AQ12:AS12"/>
    <mergeCell ref="AT12:AY12"/>
    <mergeCell ref="AZ12:BG12"/>
    <mergeCell ref="BH12:BO12"/>
    <mergeCell ref="T13:Y13"/>
    <mergeCell ref="Z13:AD13"/>
    <mergeCell ref="AE13:AI13"/>
    <mergeCell ref="AK13:AM13"/>
    <mergeCell ref="AZ13:BG13"/>
    <mergeCell ref="BH13:BO13"/>
    <mergeCell ref="AN15:AP15"/>
    <mergeCell ref="AQ15:AS15"/>
    <mergeCell ref="AT15:AY15"/>
    <mergeCell ref="AZ15:BG15"/>
    <mergeCell ref="BH15:BO15"/>
    <mergeCell ref="AE15:AI15"/>
    <mergeCell ref="AK15:AM15"/>
    <mergeCell ref="AN14:AP14"/>
    <mergeCell ref="AQ14:AS14"/>
    <mergeCell ref="AT14:AY14"/>
    <mergeCell ref="AZ14:BG14"/>
    <mergeCell ref="BH14:BO14"/>
    <mergeCell ref="AN13:AP13"/>
    <mergeCell ref="AQ13:AS13"/>
    <mergeCell ref="AT13:AY13"/>
    <mergeCell ref="A14:F14"/>
    <mergeCell ref="G14:P14"/>
    <mergeCell ref="T14:Y14"/>
    <mergeCell ref="Z14:AD14"/>
    <mergeCell ref="AE14:AI14"/>
    <mergeCell ref="AK14:AM14"/>
    <mergeCell ref="A19:V19"/>
    <mergeCell ref="A20:C20"/>
    <mergeCell ref="D20:F20"/>
    <mergeCell ref="G20:I20"/>
    <mergeCell ref="J20:L20"/>
    <mergeCell ref="M20:O20"/>
    <mergeCell ref="P20:R20"/>
    <mergeCell ref="S20:V20"/>
    <mergeCell ref="AK20:AW20"/>
    <mergeCell ref="A16:F16"/>
    <mergeCell ref="G16:P16"/>
    <mergeCell ref="T16:Y16"/>
    <mergeCell ref="Z16:AB16"/>
    <mergeCell ref="AC16:AD16"/>
    <mergeCell ref="A15:F15"/>
    <mergeCell ref="G15:P15"/>
    <mergeCell ref="T15:Y15"/>
    <mergeCell ref="Z15:AD15"/>
    <mergeCell ref="AZ16:BO16"/>
    <mergeCell ref="T17:Y17"/>
    <mergeCell ref="Z17:AD17"/>
    <mergeCell ref="AE17:AI17"/>
    <mergeCell ref="AK17:AS18"/>
    <mergeCell ref="AT17:AY17"/>
    <mergeCell ref="AZ17:BO18"/>
    <mergeCell ref="AT18:AY18"/>
    <mergeCell ref="AE16:AG16"/>
    <mergeCell ref="AH16:AI16"/>
    <mergeCell ref="AK16:AM16"/>
    <mergeCell ref="AN16:AP16"/>
    <mergeCell ref="AQ16:AS16"/>
    <mergeCell ref="AT16:AY16"/>
    <mergeCell ref="AX20:BA22"/>
    <mergeCell ref="BC20:BS20"/>
    <mergeCell ref="A21:C21"/>
    <mergeCell ref="D21:F21"/>
    <mergeCell ref="G21:I21"/>
    <mergeCell ref="J21:L21"/>
    <mergeCell ref="M21:O21"/>
    <mergeCell ref="P21:R21"/>
    <mergeCell ref="S21:V21"/>
    <mergeCell ref="AT22:AV22"/>
    <mergeCell ref="AK23:AS23"/>
    <mergeCell ref="AT23:AW23"/>
    <mergeCell ref="A24:P24"/>
    <mergeCell ref="S24:AB24"/>
    <mergeCell ref="AD24:AI24"/>
    <mergeCell ref="AK24:AS24"/>
    <mergeCell ref="AT24:AW24"/>
    <mergeCell ref="AK21:AS21"/>
    <mergeCell ref="AT21:AW21"/>
    <mergeCell ref="A22:C22"/>
    <mergeCell ref="D22:F22"/>
    <mergeCell ref="G22:I22"/>
    <mergeCell ref="J22:L22"/>
    <mergeCell ref="M22:O22"/>
    <mergeCell ref="P22:R22"/>
    <mergeCell ref="S22:V22"/>
    <mergeCell ref="AK22:AS22"/>
    <mergeCell ref="A25:F25"/>
    <mergeCell ref="G25:K25"/>
    <mergeCell ref="L25:P25"/>
    <mergeCell ref="S25:Y25"/>
    <mergeCell ref="Z25:AI25"/>
    <mergeCell ref="AK25:AW26"/>
    <mergeCell ref="A26:F26"/>
    <mergeCell ref="G26:K26"/>
    <mergeCell ref="L26:P26"/>
    <mergeCell ref="S26:Y26"/>
    <mergeCell ref="Z26:AI26"/>
    <mergeCell ref="A27:F27"/>
    <mergeCell ref="G27:K27"/>
    <mergeCell ref="L27:P27"/>
    <mergeCell ref="S27:Y27"/>
    <mergeCell ref="Z27:AB27"/>
    <mergeCell ref="AC27:AD27"/>
    <mergeCell ref="AE27:AG27"/>
    <mergeCell ref="AH27:AI27"/>
    <mergeCell ref="Z28:AI28"/>
    <mergeCell ref="AV28:AW28"/>
    <mergeCell ref="S29:Y29"/>
    <mergeCell ref="Z29:AB29"/>
    <mergeCell ref="AC29:AD29"/>
    <mergeCell ref="AE29:AG29"/>
    <mergeCell ref="AH29:AI29"/>
    <mergeCell ref="A28:F28"/>
    <mergeCell ref="G28:I28"/>
    <mergeCell ref="J28:K28"/>
    <mergeCell ref="L28:N28"/>
    <mergeCell ref="O28:P28"/>
    <mergeCell ref="S28:Y28"/>
    <mergeCell ref="A32:G32"/>
    <mergeCell ref="H32:Q32"/>
    <mergeCell ref="S32:Y32"/>
    <mergeCell ref="Z32:AD32"/>
    <mergeCell ref="AE32:AI32"/>
    <mergeCell ref="A33:G33"/>
    <mergeCell ref="H33:Q33"/>
    <mergeCell ref="A30:E30"/>
    <mergeCell ref="G30:Q30"/>
    <mergeCell ref="S30:Y30"/>
    <mergeCell ref="Z30:AI30"/>
    <mergeCell ref="A31:G31"/>
    <mergeCell ref="H31:Q31"/>
    <mergeCell ref="S31:Y31"/>
    <mergeCell ref="Z31:AC31"/>
    <mergeCell ref="AD31:AE31"/>
    <mergeCell ref="AF31:AI31"/>
    <mergeCell ref="AK33:AV33"/>
    <mergeCell ref="A34:G34"/>
    <mergeCell ref="H34:Q34"/>
    <mergeCell ref="Z34:AI34"/>
    <mergeCell ref="AK34:AV37"/>
    <mergeCell ref="A35:G35"/>
    <mergeCell ref="H35:L35"/>
    <mergeCell ref="M35:Q35"/>
    <mergeCell ref="Z35:AE35"/>
    <mergeCell ref="AF35:AG35"/>
    <mergeCell ref="A37:G37"/>
    <mergeCell ref="H37:L37"/>
    <mergeCell ref="M37:Q37"/>
    <mergeCell ref="A38:G38"/>
    <mergeCell ref="H38:L38"/>
    <mergeCell ref="M38:Q38"/>
    <mergeCell ref="AH35:AI35"/>
    <mergeCell ref="A36:G36"/>
    <mergeCell ref="H36:L36"/>
    <mergeCell ref="M36:Q36"/>
    <mergeCell ref="Z36:AE36"/>
    <mergeCell ref="AF36:AG36"/>
    <mergeCell ref="AH36:AI36"/>
    <mergeCell ref="AH40:AI40"/>
    <mergeCell ref="AU40:AV40"/>
    <mergeCell ref="AK41:AL41"/>
    <mergeCell ref="AM41:AS41"/>
    <mergeCell ref="AU41:AV41"/>
    <mergeCell ref="AY41:CA41"/>
    <mergeCell ref="A39:G39"/>
    <mergeCell ref="H39:L39"/>
    <mergeCell ref="M39:Q39"/>
    <mergeCell ref="X39:AI39"/>
    <mergeCell ref="AK39:AS40"/>
    <mergeCell ref="A40:G40"/>
    <mergeCell ref="H40:L40"/>
    <mergeCell ref="M40:Q40"/>
    <mergeCell ref="X40:AE40"/>
    <mergeCell ref="AF40:AG40"/>
    <mergeCell ref="A42:AI42"/>
    <mergeCell ref="AK42:AL42"/>
    <mergeCell ref="AM42:AS42"/>
    <mergeCell ref="AU42:AV42"/>
    <mergeCell ref="AY42:CA42"/>
    <mergeCell ref="A43:C43"/>
    <mergeCell ref="D43:E43"/>
    <mergeCell ref="F43:F47"/>
    <mergeCell ref="G43:H43"/>
    <mergeCell ref="I43:I47"/>
    <mergeCell ref="Y43:Z43"/>
    <mergeCell ref="AA43:AA47"/>
    <mergeCell ref="Y44:Z47"/>
    <mergeCell ref="J43:K43"/>
    <mergeCell ref="L43:L47"/>
    <mergeCell ref="M43:N43"/>
    <mergeCell ref="O43:O47"/>
    <mergeCell ref="P43:Q43"/>
    <mergeCell ref="R43:R47"/>
    <mergeCell ref="AM43:AS43"/>
    <mergeCell ref="AU43:AV43"/>
    <mergeCell ref="AY43:CA43"/>
    <mergeCell ref="D44:E47"/>
    <mergeCell ref="G44:H47"/>
    <mergeCell ref="AH43:AI43"/>
    <mergeCell ref="AK43:AL43"/>
    <mergeCell ref="AB44:AC47"/>
    <mergeCell ref="AE44:AF47"/>
    <mergeCell ref="AH44:AI47"/>
    <mergeCell ref="AK44:AL44"/>
    <mergeCell ref="S43:T43"/>
    <mergeCell ref="U43:U47"/>
    <mergeCell ref="V43:W43"/>
    <mergeCell ref="X43:X47"/>
    <mergeCell ref="S44:T47"/>
    <mergeCell ref="V44:W47"/>
    <mergeCell ref="AB43:AC43"/>
    <mergeCell ref="AD43:AD47"/>
    <mergeCell ref="AE43:AF43"/>
    <mergeCell ref="AG43:AG47"/>
    <mergeCell ref="A47:C47"/>
    <mergeCell ref="AK47:AL47"/>
    <mergeCell ref="AM47:AS47"/>
    <mergeCell ref="AU47:AV47"/>
    <mergeCell ref="AY47:CA47"/>
    <mergeCell ref="AM44:AS44"/>
    <mergeCell ref="AU44:AV44"/>
    <mergeCell ref="AY44:CA44"/>
    <mergeCell ref="AK45:AL45"/>
    <mergeCell ref="AM45:AS45"/>
    <mergeCell ref="AU45:AV45"/>
    <mergeCell ref="AY45:CA45"/>
    <mergeCell ref="J44:K47"/>
    <mergeCell ref="M44:N47"/>
    <mergeCell ref="P44:Q47"/>
    <mergeCell ref="AK48:AL48"/>
    <mergeCell ref="AM48:AS48"/>
    <mergeCell ref="AU48:AV48"/>
    <mergeCell ref="AY48:CA48"/>
    <mergeCell ref="AK49:AL49"/>
    <mergeCell ref="AM49:AS49"/>
    <mergeCell ref="AU49:AV49"/>
    <mergeCell ref="AY49:CA49"/>
    <mergeCell ref="AK46:AL46"/>
    <mergeCell ref="AM46:AS46"/>
    <mergeCell ref="AU46:AV46"/>
    <mergeCell ref="AY46:CA46"/>
    <mergeCell ref="B52:AI52"/>
    <mergeCell ref="AU52:AV52"/>
    <mergeCell ref="AY52:CA52"/>
    <mergeCell ref="B53:AI53"/>
    <mergeCell ref="AU53:AV53"/>
    <mergeCell ref="AY53:CA53"/>
    <mergeCell ref="AK50:AL50"/>
    <mergeCell ref="AM50:AS50"/>
    <mergeCell ref="AU50:AV50"/>
    <mergeCell ref="AY50:CA50"/>
    <mergeCell ref="B51:AI51"/>
    <mergeCell ref="AU51:AV51"/>
    <mergeCell ref="AY51:CA51"/>
    <mergeCell ref="B56:AI56"/>
    <mergeCell ref="AU56:AV56"/>
    <mergeCell ref="AY56:CA56"/>
    <mergeCell ref="B57:AI57"/>
    <mergeCell ref="AU57:AV57"/>
    <mergeCell ref="AY57:CA57"/>
    <mergeCell ref="B54:AI54"/>
    <mergeCell ref="AU54:AV54"/>
    <mergeCell ref="AY54:CA54"/>
    <mergeCell ref="B55:AI55"/>
    <mergeCell ref="AU55:AV55"/>
    <mergeCell ref="AY55:CA55"/>
    <mergeCell ref="B60:AI60"/>
    <mergeCell ref="AY60:CA60"/>
    <mergeCell ref="B61:AI61"/>
    <mergeCell ref="E62:K62"/>
    <mergeCell ref="V62:AI62"/>
    <mergeCell ref="B58:AI58"/>
    <mergeCell ref="AU58:AV58"/>
    <mergeCell ref="AY58:CA58"/>
    <mergeCell ref="B59:AI59"/>
    <mergeCell ref="AU59:AV59"/>
    <mergeCell ref="AY59:CA59"/>
  </mergeCells>
  <conditionalFormatting sqref="AK34">
    <cfRule type="notContainsBlanks" dxfId="422" priority="32">
      <formula>LEN(TRIM(AK34))&gt;0</formula>
    </cfRule>
  </conditionalFormatting>
  <conditionalFormatting sqref="F43:AG47">
    <cfRule type="containsBlanks" dxfId="421" priority="31">
      <formula>LEN(TRIM(F43))=0</formula>
    </cfRule>
  </conditionalFormatting>
  <conditionalFormatting sqref="D44:E47">
    <cfRule type="containsBlanks" dxfId="420" priority="30">
      <formula>LEN(TRIM(D44))=0</formula>
    </cfRule>
  </conditionalFormatting>
  <conditionalFormatting sqref="AH44:AI47 AE44:AF47 AB44:AC47 Y44:Z47 V44:W47 S44:T47 P44:Q47 M44:N47 J44:K47 G44:H47 D44:E47">
    <cfRule type="expression" dxfId="419" priority="29">
      <formula>D$43&lt;&gt;""</formula>
    </cfRule>
  </conditionalFormatting>
  <conditionalFormatting sqref="D44:E47 G44:H47 J44:K47 M44:N47 P44:Q47 S44:T47 V44:W47 Y44:Z47 AB44:AC47 AE44:AF47 AH44:AI47">
    <cfRule type="notContainsBlanks" dxfId="418" priority="28">
      <formula>LEN(TRIM(D44))&gt;0</formula>
    </cfRule>
  </conditionalFormatting>
  <conditionalFormatting sqref="F43:F47 I43:I47 L43:L47 O43:O47 R43:R47 U43:U47 X43:X47 AA43:AA47 AD43:AD47 AG43:AG47 AM41:AS50">
    <cfRule type="notContainsBlanks" dxfId="417" priority="27">
      <formula>LEN(TRIM(F41))&gt;0</formula>
    </cfRule>
  </conditionalFormatting>
  <conditionalFormatting sqref="AZ13:BO15">
    <cfRule type="notContainsBlanks" dxfId="416" priority="26">
      <formula>LEN(TRIM(AZ13))&gt;0</formula>
    </cfRule>
  </conditionalFormatting>
  <conditionalFormatting sqref="V62:AI62 E62:K62 H40:L40 H37:L37 H36:Q36 H31:Q34 Z32:AD32 AF31:AI31 Z31:AC31 Z30:AI30 Z28:AI28 Z27:AB27 L28:N28 G26:P27 G28:I28 S22:V22 M21:V21 D21:L22 G12:P16 Z17:AI17 AE16:AG16 AE12:AI15 Z16:AB16 Z13:AD15 Y9:AI9 Y7:AI7 F9:P9 AN13:AS15 F7:P7 AT14 AT16 Z12 AT18 AE27:AG27 AE29:AG29 Z29:AB29 Z25:AI26 M22:O22 AF40:AH40 AF35:AG35">
    <cfRule type="containsBlanks" dxfId="415" priority="25">
      <formula>LEN(TRIM(D7))=0</formula>
    </cfRule>
  </conditionalFormatting>
  <conditionalFormatting sqref="AT22:AV22 AT21:AW21 M37:Q40 AN16:AS16 AT23:AW24">
    <cfRule type="containsText" dxfId="414" priority="24" operator="containsText" text="CALC.">
      <formula>NOT(ISERROR(SEARCH("CALC.",M16)))</formula>
    </cfRule>
  </conditionalFormatting>
  <conditionalFormatting sqref="S26:AI32 AK21:AW23 AK25:AW26 AT24:AW24">
    <cfRule type="expression" dxfId="413" priority="23">
      <formula>$Z$25="Direct Drive"</formula>
    </cfRule>
  </conditionalFormatting>
  <conditionalFormatting sqref="S28:Y28 S30:Y30 S27:AG27 S29:AG29 S31:AE31 S26:Y26 AK21:AS23">
    <cfRule type="expression" dxfId="412" priority="22">
      <formula>$Z$25="Direct Drive"</formula>
    </cfRule>
  </conditionalFormatting>
  <conditionalFormatting sqref="S32:Y32">
    <cfRule type="expression" dxfId="411" priority="21">
      <formula>$Z$25="Direct Drive"</formula>
    </cfRule>
  </conditionalFormatting>
  <conditionalFormatting sqref="Z13:AD16">
    <cfRule type="expression" dxfId="410" priority="20">
      <formula>$Z$12="N/A"</formula>
    </cfRule>
  </conditionalFormatting>
  <conditionalFormatting sqref="Z17:AD17">
    <cfRule type="expression" dxfId="409" priority="19">
      <formula>$Z$12="N/A"</formula>
    </cfRule>
  </conditionalFormatting>
  <conditionalFormatting sqref="AE13:AI16">
    <cfRule type="expression" dxfId="408" priority="18">
      <formula>$AE$12="N/A"</formula>
    </cfRule>
  </conditionalFormatting>
  <conditionalFormatting sqref="AE17:AI17">
    <cfRule type="expression" dxfId="407" priority="17">
      <formula>$AE$12="N/A"</formula>
    </cfRule>
  </conditionalFormatting>
  <conditionalFormatting sqref="Z26:AI26 AH27:AI27 Z28:AI28 AH29:AI29 Z30:AI30 AF31:AI31 AT21:AW24">
    <cfRule type="expression" dxfId="406" priority="16">
      <formula>$Z$25="Direct Drive"</formula>
    </cfRule>
  </conditionalFormatting>
  <conditionalFormatting sqref="P22:R22">
    <cfRule type="expression" dxfId="405" priority="14">
      <formula>$P$22&gt;$H$33</formula>
    </cfRule>
    <cfRule type="containsText" dxfId="404" priority="15" operator="containsText" text="CALC.">
      <formula>NOT(ISERROR(SEARCH("CALC.",P22)))</formula>
    </cfRule>
  </conditionalFormatting>
  <conditionalFormatting sqref="G30">
    <cfRule type="containsBlanks" dxfId="403" priority="13">
      <formula>LEN(TRIM(G30))=0</formula>
    </cfRule>
  </conditionalFormatting>
  <conditionalFormatting sqref="D43:E43">
    <cfRule type="containsBlanks" dxfId="402" priority="12">
      <formula>LEN(TRIM(D43))=0</formula>
    </cfRule>
  </conditionalFormatting>
  <conditionalFormatting sqref="D43:E43">
    <cfRule type="containsBlanks" dxfId="401" priority="11">
      <formula>LEN(TRIM(D43))=0</formula>
    </cfRule>
  </conditionalFormatting>
  <conditionalFormatting sqref="AK14:AS16 AZ12:BO18 AT12:AY16">
    <cfRule type="expression" dxfId="400" priority="10">
      <formula>$AT$18="Single Phase"</formula>
    </cfRule>
  </conditionalFormatting>
  <conditionalFormatting sqref="AU40:AW59">
    <cfRule type="expression" dxfId="399" priority="9">
      <formula>NOT(ISBLANK($AU40))</formula>
    </cfRule>
  </conditionalFormatting>
  <conditionalFormatting sqref="AF40:AI40">
    <cfRule type="expression" dxfId="398" priority="8">
      <formula>$X$40="FIXED SPEED"</formula>
    </cfRule>
  </conditionalFormatting>
  <conditionalFormatting sqref="X40">
    <cfRule type="containsBlanks" dxfId="397" priority="7">
      <formula>LEN(TRIM(X40))=0</formula>
    </cfRule>
  </conditionalFormatting>
  <conditionalFormatting sqref="AT24:AW24">
    <cfRule type="expression" dxfId="396" priority="6">
      <formula>IF(#REF!&lt;&gt;"CALC.",$M$36&lt;#REF!)</formula>
    </cfRule>
  </conditionalFormatting>
  <conditionalFormatting sqref="AX41:CA60">
    <cfRule type="expression" dxfId="395" priority="5">
      <formula>NOT(ISBLANK($AU40))</formula>
    </cfRule>
  </conditionalFormatting>
  <conditionalFormatting sqref="AK24:AS24">
    <cfRule type="expression" dxfId="394" priority="4">
      <formula>$Z$25="Direct Drive"</formula>
    </cfRule>
  </conditionalFormatting>
  <conditionalFormatting sqref="AK24:AS24">
    <cfRule type="expression" dxfId="393" priority="3">
      <formula>$Z$25="Direct Drive"</formula>
    </cfRule>
  </conditionalFormatting>
  <conditionalFormatting sqref="AH43:AI47">
    <cfRule type="containsBlanks" dxfId="392" priority="2">
      <formula>LEN(TRIM(AH43))=0</formula>
    </cfRule>
  </conditionalFormatting>
  <conditionalFormatting sqref="AF36:AG36">
    <cfRule type="containsBlanks" dxfId="391" priority="1">
      <formula>LEN(TRIM(AF36))=0</formula>
    </cfRule>
  </conditionalFormatting>
  <dataValidations count="31">
    <dataValidation type="whole" allowBlank="1" showInputMessage="1" showErrorMessage="1" error="This Remarks section is limited to 10." sqref="A51:A61" xr:uid="{C78EA9D3-D98D-4FA4-AF8F-930C22648492}">
      <formula1>1</formula1>
      <formula2>100</formula2>
    </dataValidation>
    <dataValidation type="list" allowBlank="1" showInputMessage="1" showErrorMessage="1" sqref="X40" xr:uid="{FDBE8DC0-1E6B-433D-B66E-9B501F9B22CD}">
      <formula1>"VFD SETTING, ECM SETTING, FIXED SPEED"</formula1>
    </dataValidation>
    <dataValidation type="list" allowBlank="1" showInputMessage="1" showErrorMessage="1" sqref="AM41:AS50" xr:uid="{1FC2B496-7B30-4912-9B88-847B4596CA83}">
      <formula1>"Air Blender,Cooling Coil,Desiccant Wheel,Elec. Heat,Exhaust Air Damper,Exhaust Fan,Final Filter,Gas Heating,Heat Recovery Core,Humidifier,HHW Coil,Outside Air Damper,Pre Filter,Relief Air Damper,Return Damper,Return Fan,Steam Coil,Supply Damper,Supply Fan"</formula1>
    </dataValidation>
    <dataValidation allowBlank="1" showInputMessage="1" promptTitle="BHP Calc Info" prompt="If Single Phase, BHP=# of Motors * (HP*Amps*Volts)/(NP Amps*NP Volts)_x000a__x000a_If Three Phase, BHP=# of Motors * (Avg. Amps*Avg. Volts*Motor Eff.*Power Factor*1.73)/746" sqref="P22:R22" xr:uid="{5B93FA4F-58FD-425B-978E-5B43CDCF396E}"/>
    <dataValidation type="list" allowBlank="1" showInputMessage="1" showErrorMessage="1" sqref="AH40:AI40" xr:uid="{B54167FD-A980-4687-AE37-6D52CE4087FA}">
      <formula1>"Hz, %"</formula1>
    </dataValidation>
    <dataValidation type="list" allowBlank="1" showInputMessage="1" sqref="H33:Q33" xr:uid="{A937921B-9B39-4634-A684-7DC37EECC4AD}">
      <formula1>".17,.25,.33,.5,.75,1,2,3,5,7.5,10,15,20,25,30,40,50,60,75,100,125,150,200"</formula1>
    </dataValidation>
    <dataValidation type="list" allowBlank="1" showInputMessage="1" showErrorMessage="1" promptTitle="Phase Selection" prompt="Select Single or Three Phase" sqref="AT18:AY18" xr:uid="{DF229CF0-97BE-4A78-8157-EB96DF3ED96A}">
      <formula1>"Single Phase, Three Phase"</formula1>
    </dataValidation>
    <dataValidation type="list" allowBlank="1" showInputMessage="1" showErrorMessage="1" prompt="See Internal Use Area on right for assistance determining fan rotation." sqref="S21:V22" xr:uid="{E20494E5-BC12-4481-899D-873876CCBA71}">
      <formula1>"CW, CCW,'---"</formula1>
    </dataValidation>
    <dataValidation type="list" allowBlank="1" showInputMessage="1" sqref="G13:P13" xr:uid="{6CEA0E2B-2FA9-41BA-BD8E-3B10263544FC}">
      <formula1>"HDT,HBT,VBT,VDT"</formula1>
    </dataValidation>
    <dataValidation type="list" allowBlank="1" showInputMessage="1" sqref="H31:Q31" xr:uid="{D5662063-A109-499D-BE39-AE1C71BE1821}">
      <formula1>"Baldor,Dayton,Emmerson,FASCO,GE,GENTEQ,Marathon,Trane,WEG,Westinghouse"</formula1>
    </dataValidation>
    <dataValidation type="list" allowBlank="1" showInputMessage="1" sqref="Z12:AI12" xr:uid="{ABEA997A-71E1-432C-8B04-5BD6D21D57B8}">
      <formula1>"PRE FILTER,FINAL FILTER,N/A"</formula1>
    </dataValidation>
    <dataValidation type="list" allowBlank="1" showInputMessage="1" sqref="Z17:AI17" xr:uid="{07DB0333-8672-4ACA-9B25-2C6FCCF9829A}">
      <formula1>"Clean,Slightly Dirty, Dirty"</formula1>
    </dataValidation>
    <dataValidation type="list" allowBlank="1" showInputMessage="1" sqref="Z15:AI15" xr:uid="{3E686EBC-1637-4FA0-8843-EA08EB9244A9}">
      <formula1>"Bag,Box,Disposable,Electrostatic,HEPA,Fibrous,Pleated,Washable"</formula1>
    </dataValidation>
    <dataValidation type="list" allowBlank="1" showInputMessage="1" showErrorMessage="1" sqref="AH43:AI43" xr:uid="{B3B82A9B-BEE2-44E1-B299-8B880218CA23}">
      <formula1>"K"</formula1>
    </dataValidation>
    <dataValidation allowBlank="1" showInputMessage="1" promptTitle="External Static Pressure" prompt="ESP = The first external pressure measurement (return before any apparatus) + the final external pressure measurement (discharge after any apparatus)." sqref="J22:L22" xr:uid="{0D0E9B54-A9E8-4ED5-B2AB-508941D31BB8}"/>
    <dataValidation type="list" allowBlank="1" showInputMessage="1" showErrorMessage="1" sqref="D43:E43" xr:uid="{A1DF66B8-2791-4BDA-B50D-C05759DF3C45}">
      <formula1>"A"</formula1>
    </dataValidation>
    <dataValidation type="list" allowBlank="1" showInputMessage="1" showErrorMessage="1" sqref="G43:H43" xr:uid="{CAEBE716-DAF6-4B84-8B67-97883185B488}">
      <formula1>"B"</formula1>
    </dataValidation>
    <dataValidation type="list" allowBlank="1" showInputMessage="1" showErrorMessage="1" sqref="J43:K43" xr:uid="{68A1F43F-F0B1-44B7-A23E-C0FD0674B99C}">
      <formula1>"C"</formula1>
    </dataValidation>
    <dataValidation type="list" allowBlank="1" showInputMessage="1" showErrorMessage="1" sqref="M43:N43" xr:uid="{820EFEBC-92FF-4AE1-B416-62D5C0B8ECF6}">
      <formula1>"D"</formula1>
    </dataValidation>
    <dataValidation type="list" allowBlank="1" showInputMessage="1" showErrorMessage="1" sqref="P43:Q43" xr:uid="{40C35135-91EC-424B-9438-674848C06624}">
      <formula1>"E"</formula1>
    </dataValidation>
    <dataValidation type="list" allowBlank="1" showInputMessage="1" showErrorMessage="1" sqref="S43:T43" xr:uid="{1AD3DEDC-8086-4CBC-B9EC-7419C9620E25}">
      <formula1>"F"</formula1>
    </dataValidation>
    <dataValidation type="list" allowBlank="1" showInputMessage="1" showErrorMessage="1" sqref="V43:W43" xr:uid="{D9939A65-B454-41EF-B490-48572CD4E8D6}">
      <formula1>"G"</formula1>
    </dataValidation>
    <dataValidation type="list" allowBlank="1" showInputMessage="1" showErrorMessage="1" sqref="Y43:Z43" xr:uid="{F6CF7E88-4F24-4B9F-AFD1-6A3C3A9AF864}">
      <formula1>"H"</formula1>
    </dataValidation>
    <dataValidation type="list" allowBlank="1" showInputMessage="1" showErrorMessage="1" sqref="AB43:AC43" xr:uid="{CC9D8CEA-5D3F-4EEB-ACB1-4C34FB5478C9}">
      <formula1>"I"</formula1>
    </dataValidation>
    <dataValidation type="list" allowBlank="1" showInputMessage="1" showErrorMessage="1" sqref="AE43:AF43" xr:uid="{407E5826-DDE3-4090-8392-F2F3AD51308F}">
      <formula1>"J"</formula1>
    </dataValidation>
    <dataValidation allowBlank="1" showInputMessage="1" showErrorMessage="1" prompt="If PF is unattainable use .80" sqref="AT16:AY16" xr:uid="{22739231-CB96-4469-B6F3-4F79748FC6B9}"/>
    <dataValidation allowBlank="1" showInputMessage="1" showErrorMessage="1" prompt="If EFF is unatainable use .90" sqref="AT14:AY14" xr:uid="{06D192CD-3CEC-471F-8886-E36F357604FD}"/>
    <dataValidation type="list" allowBlank="1" showInputMessage="1" sqref="Z28:AI28 Z26:AI26" xr:uid="{12388C6A-4A85-4695-A33B-5D240172FA6D}">
      <formula1>"Browning,Campbell,Congress,Dayton,Fenner Drives, TB Wood's"</formula1>
    </dataValidation>
    <dataValidation type="list" allowBlank="1" showInputMessage="1" showErrorMessage="1" sqref="Z25:AI25" xr:uid="{3E96F220-5B13-4C11-81D4-C884E5B4474A}">
      <formula1>"Belt Drive,Direct Drive"</formula1>
    </dataValidation>
    <dataValidation allowBlank="1" showInputMessage="1" showErrorMessage="1" prompt="Typical Service Factor is 1.15. If unknown then use '---" sqref="H34:Q34" xr:uid="{7CC6BF1F-3A0F-4D0E-A5E4-7C2C62BAE57C}"/>
    <dataValidation type="list" allowBlank="1" showInputMessage="1" sqref="G30:Q30" xr:uid="{40116885-4C72-4051-900B-3BBEEF2F6C76}">
      <formula1>"1,2,3,4,6,8"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55189-2DFA-447A-AF68-91D7BCEF6759}">
  <sheetPr codeName="Sheet44">
    <pageSetUpPr fitToPage="1"/>
  </sheetPr>
  <dimension ref="A1:FW62"/>
  <sheetViews>
    <sheetView zoomScaleNormal="100" workbookViewId="0">
      <selection activeCell="Y9" sqref="Y9:AI9"/>
    </sheetView>
  </sheetViews>
  <sheetFormatPr defaultColWidth="0" defaultRowHeight="0" customHeight="1" zeroHeight="1" x14ac:dyDescent="0.2"/>
  <cols>
    <col min="1" max="80" width="2.7109375" style="12" customWidth="1"/>
    <col min="81" max="179" width="2.7109375" style="12" hidden="1" customWidth="1"/>
    <col min="180" max="16384" width="9.140625" style="12" hidden="1"/>
  </cols>
  <sheetData>
    <row r="1" spans="1:109" ht="12" customHeight="1" x14ac:dyDescent="0.2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546" t="s">
        <v>159</v>
      </c>
      <c r="AK1" s="546"/>
      <c r="AL1" s="546"/>
      <c r="AM1" s="546"/>
      <c r="AN1" s="546"/>
      <c r="AO1" s="546"/>
      <c r="AP1" s="546"/>
      <c r="AQ1" s="546"/>
      <c r="AR1" s="546"/>
      <c r="AS1" s="546"/>
      <c r="AT1" s="546"/>
      <c r="AU1" s="546"/>
      <c r="AV1" s="546"/>
      <c r="AW1" s="546"/>
      <c r="AX1" s="546"/>
      <c r="AY1" s="546"/>
      <c r="AZ1" s="546"/>
      <c r="BA1" s="546"/>
      <c r="BB1" s="546"/>
      <c r="BC1" s="546"/>
      <c r="BD1" s="546"/>
      <c r="BE1" s="546"/>
      <c r="BF1" s="546"/>
      <c r="BG1" s="546"/>
      <c r="BH1" s="546"/>
      <c r="BI1" s="546"/>
      <c r="BJ1" s="546"/>
      <c r="BK1" s="546"/>
      <c r="BL1" s="546"/>
      <c r="BM1" s="546"/>
      <c r="BN1" s="546"/>
      <c r="BO1" s="546"/>
      <c r="BP1" s="546"/>
      <c r="BQ1" s="546"/>
      <c r="BR1" s="546"/>
      <c r="BS1" s="546"/>
      <c r="BT1" s="546"/>
      <c r="BU1" s="546"/>
      <c r="BV1" s="546"/>
      <c r="BW1" s="546"/>
      <c r="BX1" s="546"/>
      <c r="BY1" s="546"/>
      <c r="BZ1" s="546"/>
      <c r="CA1" s="546"/>
      <c r="CB1" s="546"/>
    </row>
    <row r="2" spans="1:109" ht="12" customHeight="1" thickBo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4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</row>
    <row r="3" spans="1:109" ht="12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4"/>
      <c r="AK3" s="533" t="s">
        <v>278</v>
      </c>
      <c r="AL3" s="534"/>
      <c r="AM3" s="534"/>
      <c r="AN3" s="534"/>
      <c r="AO3" s="534"/>
      <c r="AP3" s="534"/>
      <c r="AQ3" s="534"/>
      <c r="AR3" s="534"/>
      <c r="AS3" s="534"/>
      <c r="AT3" s="534"/>
      <c r="AU3" s="534"/>
      <c r="AV3" s="534"/>
      <c r="AW3" s="534"/>
      <c r="AX3" s="534"/>
      <c r="AY3" s="534"/>
      <c r="AZ3" s="534"/>
      <c r="BA3" s="534"/>
      <c r="BB3" s="534"/>
      <c r="BC3" s="534"/>
      <c r="BD3" s="534"/>
      <c r="BE3" s="534"/>
      <c r="BF3" s="534"/>
      <c r="BG3" s="534"/>
      <c r="BH3" s="534"/>
      <c r="BI3" s="534"/>
      <c r="BJ3" s="534"/>
      <c r="BK3" s="534"/>
      <c r="BL3" s="534"/>
      <c r="BM3" s="534"/>
      <c r="BN3" s="534"/>
      <c r="BO3" s="535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</row>
    <row r="4" spans="1:109" ht="12" customHeight="1" x14ac:dyDescent="0.2">
      <c r="A4" s="48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4"/>
      <c r="AK4" s="542"/>
      <c r="AL4" s="543"/>
      <c r="AM4" s="544"/>
      <c r="AN4" s="296" t="s">
        <v>170</v>
      </c>
      <c r="AO4" s="296"/>
      <c r="AP4" s="296"/>
      <c r="AQ4" s="296" t="s">
        <v>171</v>
      </c>
      <c r="AR4" s="296"/>
      <c r="AS4" s="296"/>
      <c r="AT4" s="296"/>
      <c r="AU4" s="296"/>
      <c r="AV4" s="296"/>
      <c r="AW4" s="296"/>
      <c r="AX4" s="296"/>
      <c r="AY4" s="515"/>
      <c r="AZ4" s="296" t="s">
        <v>172</v>
      </c>
      <c r="BA4" s="296"/>
      <c r="BB4" s="296"/>
      <c r="BC4" s="296"/>
      <c r="BD4" s="296"/>
      <c r="BE4" s="296"/>
      <c r="BF4" s="296"/>
      <c r="BG4" s="296"/>
      <c r="BH4" s="515" t="s">
        <v>173</v>
      </c>
      <c r="BI4" s="516"/>
      <c r="BJ4" s="516"/>
      <c r="BK4" s="516"/>
      <c r="BL4" s="516"/>
      <c r="BM4" s="516"/>
      <c r="BN4" s="516"/>
      <c r="BO4" s="517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</row>
    <row r="5" spans="1:109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44"/>
      <c r="AK5" s="457" t="s">
        <v>176</v>
      </c>
      <c r="AL5" s="289"/>
      <c r="AM5" s="289"/>
      <c r="AN5" s="520"/>
      <c r="AO5" s="520"/>
      <c r="AP5" s="520"/>
      <c r="AQ5" s="505"/>
      <c r="AR5" s="505"/>
      <c r="AS5" s="505"/>
      <c r="AT5" s="490" t="s">
        <v>177</v>
      </c>
      <c r="AU5" s="490"/>
      <c r="AV5" s="490"/>
      <c r="AW5" s="490"/>
      <c r="AX5" s="490"/>
      <c r="AY5" s="491"/>
      <c r="AZ5" s="518" t="str">
        <f>IF(AN5="","",IF(100*(ABS(AN5-$AN$8)/$AN$8)&gt;10,"T1 Exceeds 10% by "&amp;ROUND(100*(ABS(AN5-$AN$8)/$AN$8)-10,1)&amp;"%",""))</f>
        <v/>
      </c>
      <c r="BA5" s="518"/>
      <c r="BB5" s="518"/>
      <c r="BC5" s="518"/>
      <c r="BD5" s="518"/>
      <c r="BE5" s="518"/>
      <c r="BF5" s="518"/>
      <c r="BG5" s="518"/>
      <c r="BH5" s="518" t="str">
        <f>IF(AQ5="","",IF(100*(ABS(AQ5-$AQ$8)/$AQ$8)&gt;2,"T1 Exceeds 2% by "&amp;ROUND(100*(ABS(AQ5-$AQ$8)/$AQ$8)-2,1)&amp;"%",""))</f>
        <v/>
      </c>
      <c r="BI5" s="518"/>
      <c r="BJ5" s="518"/>
      <c r="BK5" s="518"/>
      <c r="BL5" s="518"/>
      <c r="BM5" s="518"/>
      <c r="BN5" s="518"/>
      <c r="BO5" s="519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</row>
    <row r="6" spans="1:109" ht="12" customHeight="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4"/>
      <c r="AK6" s="457" t="s">
        <v>180</v>
      </c>
      <c r="AL6" s="289"/>
      <c r="AM6" s="289"/>
      <c r="AN6" s="520"/>
      <c r="AO6" s="520"/>
      <c r="AP6" s="520"/>
      <c r="AQ6" s="505"/>
      <c r="AR6" s="505"/>
      <c r="AS6" s="505"/>
      <c r="AT6" s="587"/>
      <c r="AU6" s="587"/>
      <c r="AV6" s="587"/>
      <c r="AW6" s="587"/>
      <c r="AX6" s="587"/>
      <c r="AY6" s="588"/>
      <c r="AZ6" s="518" t="str">
        <f>IF(AN6="","",IF(100*(ABS(AN6-$AN$8)/$AN$8)&gt;10,"T2 Exceeds 10% by "&amp;ROUND(100*(ABS(AN6-$AN$8)/$AN$8)-10,1)&amp;"%",""))</f>
        <v/>
      </c>
      <c r="BA6" s="518"/>
      <c r="BB6" s="518"/>
      <c r="BC6" s="518"/>
      <c r="BD6" s="518"/>
      <c r="BE6" s="518"/>
      <c r="BF6" s="518"/>
      <c r="BG6" s="518"/>
      <c r="BH6" s="518" t="str">
        <f>IF(AQ6="","",IF(100*(ABS(AQ6-$AQ$8)/$AQ$8)&gt;2,"T2 Exceeds 2% by "&amp;ROUND(100*(ABS(AQ6-$AQ$8)/$AQ$8)-2,1)&amp;"%",""))</f>
        <v/>
      </c>
      <c r="BI6" s="518"/>
      <c r="BJ6" s="518"/>
      <c r="BK6" s="518"/>
      <c r="BL6" s="518"/>
      <c r="BM6" s="518"/>
      <c r="BN6" s="518"/>
      <c r="BO6" s="519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</row>
    <row r="7" spans="1:109" ht="12" customHeight="1" x14ac:dyDescent="0.2">
      <c r="A7" s="526" t="s">
        <v>161</v>
      </c>
      <c r="B7" s="526"/>
      <c r="C7" s="526"/>
      <c r="D7" s="526"/>
      <c r="E7" s="526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42"/>
      <c r="R7" s="42"/>
      <c r="S7" s="42"/>
      <c r="T7" s="526" t="s">
        <v>162</v>
      </c>
      <c r="U7" s="526"/>
      <c r="V7" s="526"/>
      <c r="W7" s="526"/>
      <c r="X7" s="526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44"/>
      <c r="AK7" s="457" t="s">
        <v>183</v>
      </c>
      <c r="AL7" s="289"/>
      <c r="AM7" s="289"/>
      <c r="AN7" s="520"/>
      <c r="AO7" s="520"/>
      <c r="AP7" s="520"/>
      <c r="AQ7" s="505"/>
      <c r="AR7" s="505"/>
      <c r="AS7" s="505"/>
      <c r="AT7" s="490" t="s">
        <v>184</v>
      </c>
      <c r="AU7" s="490"/>
      <c r="AV7" s="490"/>
      <c r="AW7" s="490"/>
      <c r="AX7" s="490"/>
      <c r="AY7" s="491"/>
      <c r="AZ7" s="518" t="str">
        <f>IF(AN7="","",IF(100*(ABS(AN7-$AN$8)/$AN$8)&gt;10,"T3 Exceeds 10% by "&amp;ROUND(100*(ABS(AN7-$AN$8)/$AN$8)-10,1)&amp;"%",""))</f>
        <v/>
      </c>
      <c r="BA7" s="518"/>
      <c r="BB7" s="518"/>
      <c r="BC7" s="518"/>
      <c r="BD7" s="518"/>
      <c r="BE7" s="518"/>
      <c r="BF7" s="518"/>
      <c r="BG7" s="518"/>
      <c r="BH7" s="518" t="str">
        <f>IF(AQ7="","",IF(100*(ABS(AQ7-$AQ$8)/$AQ$8)&gt;2,"T3 Exceeds 2% by "&amp;ROUND(100*(ABS(AQ7-$AQ$8)/$AQ$8)-2,1)&amp;"%",""))</f>
        <v/>
      </c>
      <c r="BI7" s="518"/>
      <c r="BJ7" s="518"/>
      <c r="BK7" s="518"/>
      <c r="BL7" s="518"/>
      <c r="BM7" s="518"/>
      <c r="BN7" s="518"/>
      <c r="BO7" s="519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</row>
    <row r="8" spans="1:109" ht="12" customHeight="1" x14ac:dyDescent="0.2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4"/>
      <c r="AK8" s="457" t="s">
        <v>188</v>
      </c>
      <c r="AL8" s="289"/>
      <c r="AM8" s="289"/>
      <c r="AN8" s="504" t="str">
        <f>IFERROR(AVERAGE(AN5:AP7),"")</f>
        <v/>
      </c>
      <c r="AO8" s="504"/>
      <c r="AP8" s="504"/>
      <c r="AQ8" s="458" t="str">
        <f>IFERROR(AVERAGE(AQ5:AS7),"")</f>
        <v/>
      </c>
      <c r="AR8" s="458"/>
      <c r="AS8" s="458"/>
      <c r="AT8" s="587"/>
      <c r="AU8" s="587"/>
      <c r="AV8" s="587"/>
      <c r="AW8" s="587"/>
      <c r="AX8" s="587"/>
      <c r="AY8" s="588"/>
      <c r="AZ8" s="478" t="s">
        <v>189</v>
      </c>
      <c r="BA8" s="479"/>
      <c r="BB8" s="479"/>
      <c r="BC8" s="479"/>
      <c r="BD8" s="479"/>
      <c r="BE8" s="479"/>
      <c r="BF8" s="479"/>
      <c r="BG8" s="479"/>
      <c r="BH8" s="479"/>
      <c r="BI8" s="479"/>
      <c r="BJ8" s="479"/>
      <c r="BK8" s="479"/>
      <c r="BL8" s="479"/>
      <c r="BM8" s="479"/>
      <c r="BN8" s="479"/>
      <c r="BO8" s="480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</row>
    <row r="9" spans="1:109" ht="12" customHeight="1" x14ac:dyDescent="0.2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526" t="s">
        <v>164</v>
      </c>
      <c r="U9" s="526"/>
      <c r="V9" s="526"/>
      <c r="W9" s="526"/>
      <c r="X9" s="526"/>
      <c r="Y9" s="527"/>
      <c r="Z9" s="527"/>
      <c r="AA9" s="527"/>
      <c r="AB9" s="527"/>
      <c r="AC9" s="527"/>
      <c r="AD9" s="527"/>
      <c r="AE9" s="527"/>
      <c r="AF9" s="527"/>
      <c r="AG9" s="527"/>
      <c r="AH9" s="527"/>
      <c r="AI9" s="527"/>
      <c r="AJ9" s="44"/>
      <c r="AK9" s="484"/>
      <c r="AL9" s="485"/>
      <c r="AM9" s="485"/>
      <c r="AN9" s="485"/>
      <c r="AO9" s="485"/>
      <c r="AP9" s="485"/>
      <c r="AQ9" s="485"/>
      <c r="AR9" s="485"/>
      <c r="AS9" s="486"/>
      <c r="AT9" s="490" t="s">
        <v>191</v>
      </c>
      <c r="AU9" s="490"/>
      <c r="AV9" s="490"/>
      <c r="AW9" s="490"/>
      <c r="AX9" s="490"/>
      <c r="AY9" s="491"/>
      <c r="AZ9" s="492" t="s">
        <v>192</v>
      </c>
      <c r="BA9" s="493"/>
      <c r="BB9" s="493"/>
      <c r="BC9" s="493"/>
      <c r="BD9" s="493"/>
      <c r="BE9" s="493"/>
      <c r="BF9" s="493"/>
      <c r="BG9" s="493"/>
      <c r="BH9" s="493"/>
      <c r="BI9" s="493"/>
      <c r="BJ9" s="493"/>
      <c r="BK9" s="493"/>
      <c r="BL9" s="493"/>
      <c r="BM9" s="493"/>
      <c r="BN9" s="493"/>
      <c r="BO9" s="49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</row>
    <row r="10" spans="1:109" ht="12" customHeight="1" thickBo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4"/>
      <c r="AK10" s="487"/>
      <c r="AL10" s="488"/>
      <c r="AM10" s="488"/>
      <c r="AN10" s="488"/>
      <c r="AO10" s="488"/>
      <c r="AP10" s="488"/>
      <c r="AQ10" s="488"/>
      <c r="AR10" s="488"/>
      <c r="AS10" s="489"/>
      <c r="AT10" s="498"/>
      <c r="AU10" s="499"/>
      <c r="AV10" s="499"/>
      <c r="AW10" s="499"/>
      <c r="AX10" s="499"/>
      <c r="AY10" s="500"/>
      <c r="AZ10" s="495"/>
      <c r="BA10" s="496"/>
      <c r="BB10" s="496"/>
      <c r="BC10" s="496"/>
      <c r="BD10" s="496"/>
      <c r="BE10" s="496"/>
      <c r="BF10" s="496"/>
      <c r="BG10" s="496"/>
      <c r="BH10" s="496"/>
      <c r="BI10" s="496"/>
      <c r="BJ10" s="496"/>
      <c r="BK10" s="496"/>
      <c r="BL10" s="496"/>
      <c r="BM10" s="496"/>
      <c r="BN10" s="496"/>
      <c r="BO10" s="497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</row>
    <row r="11" spans="1:109" ht="12.75" thickBot="1" x14ac:dyDescent="0.25">
      <c r="A11" s="314" t="s">
        <v>165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6"/>
      <c r="Q11" s="42"/>
      <c r="R11" s="42"/>
      <c r="S11" s="42"/>
      <c r="T11" s="314" t="s">
        <v>166</v>
      </c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6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54"/>
      <c r="BP11" s="54"/>
      <c r="BQ11" s="5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L11" s="49"/>
      <c r="CM11" s="49"/>
      <c r="CN11" s="49"/>
      <c r="CO11" s="49"/>
      <c r="CP11" s="49"/>
      <c r="CQ11" s="49"/>
      <c r="CR11" s="49"/>
      <c r="CS11" s="49"/>
      <c r="CT11" s="49"/>
      <c r="CU11" s="49"/>
      <c r="CV11" s="49"/>
      <c r="CW11" s="49"/>
      <c r="CX11" s="49"/>
      <c r="CY11" s="49"/>
      <c r="CZ11" s="49"/>
      <c r="DA11" s="49"/>
      <c r="DB11" s="49"/>
      <c r="DC11" s="49"/>
      <c r="DD11" s="49"/>
    </row>
    <row r="12" spans="1:109" ht="12" customHeight="1" thickTop="1" x14ac:dyDescent="0.2">
      <c r="A12" s="536" t="s">
        <v>168</v>
      </c>
      <c r="B12" s="537"/>
      <c r="C12" s="537"/>
      <c r="D12" s="537"/>
      <c r="E12" s="537"/>
      <c r="F12" s="538"/>
      <c r="G12" s="362"/>
      <c r="H12" s="362"/>
      <c r="I12" s="362"/>
      <c r="J12" s="362"/>
      <c r="K12" s="362"/>
      <c r="L12" s="362"/>
      <c r="M12" s="362"/>
      <c r="N12" s="362"/>
      <c r="O12" s="362"/>
      <c r="P12" s="364"/>
      <c r="Q12" s="42"/>
      <c r="R12" s="42"/>
      <c r="S12" s="42"/>
      <c r="T12" s="539" t="s">
        <v>169</v>
      </c>
      <c r="U12" s="540"/>
      <c r="V12" s="540"/>
      <c r="W12" s="540"/>
      <c r="X12" s="540"/>
      <c r="Y12" s="541"/>
      <c r="Z12" s="441"/>
      <c r="AA12" s="442"/>
      <c r="AB12" s="442"/>
      <c r="AC12" s="442"/>
      <c r="AD12" s="597"/>
      <c r="AE12" s="441"/>
      <c r="AF12" s="442"/>
      <c r="AG12" s="442"/>
      <c r="AH12" s="442"/>
      <c r="AI12" s="443"/>
      <c r="AJ12" s="44"/>
      <c r="AK12" s="533" t="s">
        <v>279</v>
      </c>
      <c r="AL12" s="534"/>
      <c r="AM12" s="534"/>
      <c r="AN12" s="534"/>
      <c r="AO12" s="534"/>
      <c r="AP12" s="534"/>
      <c r="AQ12" s="534"/>
      <c r="AR12" s="534"/>
      <c r="AS12" s="534"/>
      <c r="AT12" s="534"/>
      <c r="AU12" s="534"/>
      <c r="AV12" s="534"/>
      <c r="AW12" s="534"/>
      <c r="AX12" s="534"/>
      <c r="AY12" s="534"/>
      <c r="AZ12" s="534"/>
      <c r="BA12" s="534"/>
      <c r="BB12" s="534"/>
      <c r="BC12" s="534"/>
      <c r="BD12" s="534"/>
      <c r="BE12" s="534"/>
      <c r="BF12" s="534"/>
      <c r="BG12" s="534"/>
      <c r="BH12" s="534"/>
      <c r="BI12" s="534"/>
      <c r="BJ12" s="534"/>
      <c r="BK12" s="534"/>
      <c r="BL12" s="534"/>
      <c r="BM12" s="534"/>
      <c r="BN12" s="534"/>
      <c r="BO12" s="535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</row>
    <row r="13" spans="1:109" ht="12" customHeight="1" x14ac:dyDescent="0.2">
      <c r="A13" s="406" t="s">
        <v>174</v>
      </c>
      <c r="B13" s="407"/>
      <c r="C13" s="407"/>
      <c r="D13" s="407"/>
      <c r="E13" s="407"/>
      <c r="F13" s="408"/>
      <c r="G13" s="400"/>
      <c r="H13" s="400"/>
      <c r="I13" s="400"/>
      <c r="J13" s="400"/>
      <c r="K13" s="400"/>
      <c r="L13" s="400"/>
      <c r="M13" s="400"/>
      <c r="N13" s="400"/>
      <c r="O13" s="400"/>
      <c r="P13" s="401"/>
      <c r="Q13" s="42"/>
      <c r="R13" s="42"/>
      <c r="S13" s="42"/>
      <c r="T13" s="333" t="s">
        <v>175</v>
      </c>
      <c r="U13" s="334"/>
      <c r="V13" s="334"/>
      <c r="W13" s="334"/>
      <c r="X13" s="334"/>
      <c r="Y13" s="334"/>
      <c r="Z13" s="593"/>
      <c r="AA13" s="594"/>
      <c r="AB13" s="594"/>
      <c r="AC13" s="594"/>
      <c r="AD13" s="595"/>
      <c r="AE13" s="593"/>
      <c r="AF13" s="594"/>
      <c r="AG13" s="594"/>
      <c r="AH13" s="594"/>
      <c r="AI13" s="596"/>
      <c r="AJ13" s="44"/>
      <c r="AK13" s="542"/>
      <c r="AL13" s="543"/>
      <c r="AM13" s="544"/>
      <c r="AN13" s="296" t="s">
        <v>170</v>
      </c>
      <c r="AO13" s="296"/>
      <c r="AP13" s="296"/>
      <c r="AQ13" s="296" t="s">
        <v>171</v>
      </c>
      <c r="AR13" s="296"/>
      <c r="AS13" s="296"/>
      <c r="AT13" s="296"/>
      <c r="AU13" s="296"/>
      <c r="AV13" s="296"/>
      <c r="AW13" s="296"/>
      <c r="AX13" s="296"/>
      <c r="AY13" s="515"/>
      <c r="AZ13" s="296" t="s">
        <v>172</v>
      </c>
      <c r="BA13" s="296"/>
      <c r="BB13" s="296"/>
      <c r="BC13" s="296"/>
      <c r="BD13" s="296"/>
      <c r="BE13" s="296"/>
      <c r="BF13" s="296"/>
      <c r="BG13" s="296"/>
      <c r="BH13" s="515" t="s">
        <v>173</v>
      </c>
      <c r="BI13" s="516"/>
      <c r="BJ13" s="516"/>
      <c r="BK13" s="516"/>
      <c r="BL13" s="516"/>
      <c r="BM13" s="516"/>
      <c r="BN13" s="516"/>
      <c r="BO13" s="517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</row>
    <row r="14" spans="1:109" ht="12" customHeight="1" x14ac:dyDescent="0.2">
      <c r="A14" s="406" t="s">
        <v>178</v>
      </c>
      <c r="B14" s="407"/>
      <c r="C14" s="407"/>
      <c r="D14" s="407"/>
      <c r="E14" s="407"/>
      <c r="F14" s="408"/>
      <c r="G14" s="400"/>
      <c r="H14" s="400"/>
      <c r="I14" s="400"/>
      <c r="J14" s="400"/>
      <c r="K14" s="400"/>
      <c r="L14" s="400"/>
      <c r="M14" s="400"/>
      <c r="N14" s="400"/>
      <c r="O14" s="400"/>
      <c r="P14" s="401"/>
      <c r="Q14" s="42"/>
      <c r="R14" s="42"/>
      <c r="S14" s="42"/>
      <c r="T14" s="333" t="s">
        <v>179</v>
      </c>
      <c r="U14" s="334"/>
      <c r="V14" s="334"/>
      <c r="W14" s="334"/>
      <c r="X14" s="334"/>
      <c r="Y14" s="334"/>
      <c r="Z14" s="589"/>
      <c r="AA14" s="590"/>
      <c r="AB14" s="590"/>
      <c r="AC14" s="590"/>
      <c r="AD14" s="591"/>
      <c r="AE14" s="589"/>
      <c r="AF14" s="590"/>
      <c r="AG14" s="590"/>
      <c r="AH14" s="590"/>
      <c r="AI14" s="592"/>
      <c r="AJ14" s="44"/>
      <c r="AK14" s="457" t="s">
        <v>176</v>
      </c>
      <c r="AL14" s="289"/>
      <c r="AM14" s="289"/>
      <c r="AN14" s="520"/>
      <c r="AO14" s="520"/>
      <c r="AP14" s="520"/>
      <c r="AQ14" s="505"/>
      <c r="AR14" s="505"/>
      <c r="AS14" s="505"/>
      <c r="AT14" s="490" t="s">
        <v>177</v>
      </c>
      <c r="AU14" s="490"/>
      <c r="AV14" s="490"/>
      <c r="AW14" s="490"/>
      <c r="AX14" s="490"/>
      <c r="AY14" s="491"/>
      <c r="AZ14" s="518" t="str">
        <f>IF(AN14="","",IF(100*(ABS(AN14-$AN$8)/$AN$8)&gt;10,"T1 Exceeds 10% by "&amp;ROUND(100*(ABS(AN14-$AN$8)/$AN$8)-10,1)&amp;"%",""))</f>
        <v/>
      </c>
      <c r="BA14" s="518"/>
      <c r="BB14" s="518"/>
      <c r="BC14" s="518"/>
      <c r="BD14" s="518"/>
      <c r="BE14" s="518"/>
      <c r="BF14" s="518"/>
      <c r="BG14" s="518"/>
      <c r="BH14" s="518"/>
      <c r="BI14" s="518"/>
      <c r="BJ14" s="518"/>
      <c r="BK14" s="518"/>
      <c r="BL14" s="518"/>
      <c r="BM14" s="518"/>
      <c r="BN14" s="518"/>
      <c r="BO14" s="519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2"/>
    </row>
    <row r="15" spans="1:109" ht="12" customHeight="1" x14ac:dyDescent="0.2">
      <c r="A15" s="406" t="s">
        <v>181</v>
      </c>
      <c r="B15" s="407"/>
      <c r="C15" s="407"/>
      <c r="D15" s="407"/>
      <c r="E15" s="407"/>
      <c r="F15" s="408"/>
      <c r="G15" s="513"/>
      <c r="H15" s="513"/>
      <c r="I15" s="513"/>
      <c r="J15" s="513"/>
      <c r="K15" s="513"/>
      <c r="L15" s="513"/>
      <c r="M15" s="513"/>
      <c r="N15" s="513"/>
      <c r="O15" s="513"/>
      <c r="P15" s="514"/>
      <c r="Q15" s="42"/>
      <c r="R15" s="42"/>
      <c r="S15" s="42"/>
      <c r="T15" s="333" t="s">
        <v>174</v>
      </c>
      <c r="U15" s="334"/>
      <c r="V15" s="334"/>
      <c r="W15" s="334"/>
      <c r="X15" s="334"/>
      <c r="Y15" s="334"/>
      <c r="Z15" s="400"/>
      <c r="AA15" s="400"/>
      <c r="AB15" s="400"/>
      <c r="AC15" s="400"/>
      <c r="AD15" s="400"/>
      <c r="AE15" s="413"/>
      <c r="AF15" s="414"/>
      <c r="AG15" s="414"/>
      <c r="AH15" s="414"/>
      <c r="AI15" s="415"/>
      <c r="AJ15" s="44"/>
      <c r="AK15" s="457" t="s">
        <v>180</v>
      </c>
      <c r="AL15" s="289"/>
      <c r="AM15" s="289"/>
      <c r="AN15" s="520"/>
      <c r="AO15" s="520"/>
      <c r="AP15" s="520"/>
      <c r="AQ15" s="505"/>
      <c r="AR15" s="505"/>
      <c r="AS15" s="505"/>
      <c r="AT15" s="587"/>
      <c r="AU15" s="587"/>
      <c r="AV15" s="587"/>
      <c r="AW15" s="587"/>
      <c r="AX15" s="587"/>
      <c r="AY15" s="588"/>
      <c r="AZ15" s="518" t="str">
        <f>IF(AN15="","",IF(100*(ABS(AN15-$AN$8)/$AN$8)&gt;10,"T2 Exceeds 10% by "&amp;ROUND(100*(ABS(AN15-$AN$8)/$AN$8)-10,1)&amp;"%",""))</f>
        <v/>
      </c>
      <c r="BA15" s="518"/>
      <c r="BB15" s="518"/>
      <c r="BC15" s="518"/>
      <c r="BD15" s="518"/>
      <c r="BE15" s="518"/>
      <c r="BF15" s="518"/>
      <c r="BG15" s="518"/>
      <c r="BH15" s="518" t="str">
        <f>IF(AQ15="","",IF(100*(ABS(AQ15-$AQ$8)/$AQ$8)&gt;2,"T2 Exceeds 2% by "&amp;ROUND(100*(ABS(AQ15-$AQ$8)/$AQ$8)-2,1)&amp;"%",""))</f>
        <v/>
      </c>
      <c r="BI15" s="518"/>
      <c r="BJ15" s="518"/>
      <c r="BK15" s="518"/>
      <c r="BL15" s="518"/>
      <c r="BM15" s="518"/>
      <c r="BN15" s="518"/>
      <c r="BO15" s="519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2"/>
    </row>
    <row r="16" spans="1:109" ht="12" customHeight="1" thickBot="1" x14ac:dyDescent="0.25">
      <c r="A16" s="426" t="s">
        <v>185</v>
      </c>
      <c r="B16" s="427"/>
      <c r="C16" s="427"/>
      <c r="D16" s="427"/>
      <c r="E16" s="427"/>
      <c r="F16" s="428"/>
      <c r="G16" s="349"/>
      <c r="H16" s="349"/>
      <c r="I16" s="349"/>
      <c r="J16" s="349"/>
      <c r="K16" s="349"/>
      <c r="L16" s="349"/>
      <c r="M16" s="349"/>
      <c r="N16" s="349"/>
      <c r="O16" s="349"/>
      <c r="P16" s="469"/>
      <c r="Q16" s="42"/>
      <c r="R16" s="42"/>
      <c r="S16" s="42"/>
      <c r="T16" s="333" t="s">
        <v>186</v>
      </c>
      <c r="U16" s="334"/>
      <c r="V16" s="334"/>
      <c r="W16" s="334"/>
      <c r="X16" s="334"/>
      <c r="Y16" s="334"/>
      <c r="Z16" s="501"/>
      <c r="AA16" s="502"/>
      <c r="AB16" s="502"/>
      <c r="AC16" s="418" t="s">
        <v>187</v>
      </c>
      <c r="AD16" s="512"/>
      <c r="AE16" s="501"/>
      <c r="AF16" s="502"/>
      <c r="AG16" s="502"/>
      <c r="AH16" s="418" t="s">
        <v>187</v>
      </c>
      <c r="AI16" s="503"/>
      <c r="AJ16" s="44"/>
      <c r="AK16" s="457" t="s">
        <v>183</v>
      </c>
      <c r="AL16" s="289"/>
      <c r="AM16" s="289"/>
      <c r="AN16" s="520"/>
      <c r="AO16" s="520"/>
      <c r="AP16" s="520"/>
      <c r="AQ16" s="505"/>
      <c r="AR16" s="505"/>
      <c r="AS16" s="505"/>
      <c r="AT16" s="490" t="s">
        <v>184</v>
      </c>
      <c r="AU16" s="490"/>
      <c r="AV16" s="490"/>
      <c r="AW16" s="490"/>
      <c r="AX16" s="490"/>
      <c r="AY16" s="491"/>
      <c r="AZ16" s="518" t="str">
        <f>IF(AN16="","",IF(100*(ABS(AN16-$AN$8)/$AN$8)&gt;10,"T3 Exceeds 10% by "&amp;ROUND(100*(ABS(AN16-$AN$8)/$AN$8)-10,1)&amp;"%",""))</f>
        <v/>
      </c>
      <c r="BA16" s="518"/>
      <c r="BB16" s="518"/>
      <c r="BC16" s="518"/>
      <c r="BD16" s="518"/>
      <c r="BE16" s="518"/>
      <c r="BF16" s="518"/>
      <c r="BG16" s="518"/>
      <c r="BH16" s="518" t="str">
        <f>IF(AQ16="","",IF(100*(ABS(AQ16-$AQ$8)/$AQ$8)&gt;2,"T3 Exceeds 2% by "&amp;ROUND(100*(ABS(AQ16-$AQ$8)/$AQ$8)-2,1)&amp;"%",""))</f>
        <v/>
      </c>
      <c r="BI16" s="518"/>
      <c r="BJ16" s="518"/>
      <c r="BK16" s="518"/>
      <c r="BL16" s="518"/>
      <c r="BM16" s="518"/>
      <c r="BN16" s="518"/>
      <c r="BO16" s="519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2"/>
    </row>
    <row r="17" spans="1:109" ht="12" customHeight="1" thickBo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347" t="s">
        <v>190</v>
      </c>
      <c r="U17" s="348"/>
      <c r="V17" s="348"/>
      <c r="W17" s="348"/>
      <c r="X17" s="348"/>
      <c r="Y17" s="348"/>
      <c r="Z17" s="481"/>
      <c r="AA17" s="482"/>
      <c r="AB17" s="482"/>
      <c r="AC17" s="482"/>
      <c r="AD17" s="586"/>
      <c r="AE17" s="481"/>
      <c r="AF17" s="482"/>
      <c r="AG17" s="482"/>
      <c r="AH17" s="482"/>
      <c r="AI17" s="483"/>
      <c r="AJ17" s="44"/>
      <c r="AK17" s="457" t="s">
        <v>188</v>
      </c>
      <c r="AL17" s="289"/>
      <c r="AM17" s="289"/>
      <c r="AN17" s="504" t="str">
        <f>IFERROR(AVERAGE(AN14:AP16),"")</f>
        <v/>
      </c>
      <c r="AO17" s="504"/>
      <c r="AP17" s="504"/>
      <c r="AQ17" s="458" t="str">
        <f>IFERROR(AVERAGE(AQ14:AS16),"")</f>
        <v/>
      </c>
      <c r="AR17" s="458"/>
      <c r="AS17" s="458"/>
      <c r="AT17" s="587"/>
      <c r="AU17" s="587"/>
      <c r="AV17" s="587"/>
      <c r="AW17" s="587"/>
      <c r="AX17" s="587"/>
      <c r="AY17" s="588"/>
      <c r="AZ17" s="478" t="s">
        <v>189</v>
      </c>
      <c r="BA17" s="479"/>
      <c r="BB17" s="479"/>
      <c r="BC17" s="479"/>
      <c r="BD17" s="479"/>
      <c r="BE17" s="479"/>
      <c r="BF17" s="479"/>
      <c r="BG17" s="479"/>
      <c r="BH17" s="479"/>
      <c r="BI17" s="479"/>
      <c r="BJ17" s="479"/>
      <c r="BK17" s="479"/>
      <c r="BL17" s="479"/>
      <c r="BM17" s="479"/>
      <c r="BN17" s="479"/>
      <c r="BO17" s="480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2"/>
    </row>
    <row r="18" spans="1:109" ht="12" customHeight="1" thickBo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4"/>
      <c r="AK18" s="484"/>
      <c r="AL18" s="485"/>
      <c r="AM18" s="485"/>
      <c r="AN18" s="485"/>
      <c r="AO18" s="485"/>
      <c r="AP18" s="485"/>
      <c r="AQ18" s="485"/>
      <c r="AR18" s="485"/>
      <c r="AS18" s="486"/>
      <c r="AT18" s="490" t="s">
        <v>191</v>
      </c>
      <c r="AU18" s="490"/>
      <c r="AV18" s="490"/>
      <c r="AW18" s="490"/>
      <c r="AX18" s="490"/>
      <c r="AY18" s="491"/>
      <c r="AZ18" s="492" t="s">
        <v>192</v>
      </c>
      <c r="BA18" s="493"/>
      <c r="BB18" s="493"/>
      <c r="BC18" s="493"/>
      <c r="BD18" s="493"/>
      <c r="BE18" s="493"/>
      <c r="BF18" s="493"/>
      <c r="BG18" s="493"/>
      <c r="BH18" s="493"/>
      <c r="BI18" s="493"/>
      <c r="BJ18" s="493"/>
      <c r="BK18" s="493"/>
      <c r="BL18" s="493"/>
      <c r="BM18" s="493"/>
      <c r="BN18" s="493"/>
      <c r="BO18" s="49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2"/>
    </row>
    <row r="19" spans="1:109" ht="12" customHeight="1" thickBot="1" x14ac:dyDescent="0.25">
      <c r="A19" s="314" t="s">
        <v>193</v>
      </c>
      <c r="B19" s="315"/>
      <c r="C19" s="315"/>
      <c r="D19" s="315"/>
      <c r="E19" s="315"/>
      <c r="F19" s="315"/>
      <c r="G19" s="315"/>
      <c r="H19" s="315"/>
      <c r="I19" s="316"/>
      <c r="J19" s="42"/>
      <c r="K19" s="77"/>
      <c r="L19" s="77"/>
      <c r="M19" s="78"/>
      <c r="N19" s="314" t="s">
        <v>203</v>
      </c>
      <c r="O19" s="315"/>
      <c r="P19" s="315"/>
      <c r="Q19" s="315"/>
      <c r="R19" s="315"/>
      <c r="S19" s="315"/>
      <c r="T19" s="315"/>
      <c r="U19" s="315"/>
      <c r="V19" s="316"/>
      <c r="W19" s="79"/>
      <c r="X19" s="79"/>
      <c r="Y19" s="79"/>
      <c r="Z19" s="42"/>
      <c r="AA19" s="314" t="s">
        <v>280</v>
      </c>
      <c r="AB19" s="315"/>
      <c r="AC19" s="315"/>
      <c r="AD19" s="315"/>
      <c r="AE19" s="315"/>
      <c r="AF19" s="315"/>
      <c r="AG19" s="315"/>
      <c r="AH19" s="315"/>
      <c r="AI19" s="316"/>
      <c r="AJ19" s="44"/>
      <c r="AK19" s="487"/>
      <c r="AL19" s="488"/>
      <c r="AM19" s="488"/>
      <c r="AN19" s="488"/>
      <c r="AO19" s="488"/>
      <c r="AP19" s="488"/>
      <c r="AQ19" s="488"/>
      <c r="AR19" s="488"/>
      <c r="AS19" s="489"/>
      <c r="AT19" s="498"/>
      <c r="AU19" s="499"/>
      <c r="AV19" s="499"/>
      <c r="AW19" s="499"/>
      <c r="AX19" s="499"/>
      <c r="AY19" s="500"/>
      <c r="AZ19" s="495"/>
      <c r="BA19" s="496"/>
      <c r="BB19" s="496"/>
      <c r="BC19" s="496"/>
      <c r="BD19" s="496"/>
      <c r="BE19" s="496"/>
      <c r="BF19" s="496"/>
      <c r="BG19" s="496"/>
      <c r="BH19" s="496"/>
      <c r="BI19" s="496"/>
      <c r="BJ19" s="496"/>
      <c r="BK19" s="496"/>
      <c r="BL19" s="496"/>
      <c r="BM19" s="496"/>
      <c r="BN19" s="496"/>
      <c r="BO19" s="497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2"/>
    </row>
    <row r="20" spans="1:109" ht="12" customHeight="1" thickTop="1" thickBot="1" x14ac:dyDescent="0.25">
      <c r="A20" s="360"/>
      <c r="B20" s="361"/>
      <c r="C20" s="361"/>
      <c r="D20" s="507" t="s">
        <v>197</v>
      </c>
      <c r="E20" s="507"/>
      <c r="F20" s="507"/>
      <c r="G20" s="584" t="s">
        <v>199</v>
      </c>
      <c r="H20" s="584"/>
      <c r="I20" s="585"/>
      <c r="J20" s="42"/>
      <c r="K20" s="77"/>
      <c r="L20" s="77"/>
      <c r="M20" s="78"/>
      <c r="N20" s="360"/>
      <c r="O20" s="361"/>
      <c r="P20" s="361"/>
      <c r="Q20" s="507" t="s">
        <v>197</v>
      </c>
      <c r="R20" s="507"/>
      <c r="S20" s="507"/>
      <c r="T20" s="584" t="s">
        <v>199</v>
      </c>
      <c r="U20" s="584"/>
      <c r="V20" s="585"/>
      <c r="W20" s="79"/>
      <c r="X20" s="79"/>
      <c r="Y20" s="79"/>
      <c r="Z20" s="42"/>
      <c r="AA20" s="360"/>
      <c r="AB20" s="361"/>
      <c r="AC20" s="361"/>
      <c r="AD20" s="507" t="s">
        <v>197</v>
      </c>
      <c r="AE20" s="507"/>
      <c r="AF20" s="507"/>
      <c r="AG20" s="584" t="s">
        <v>199</v>
      </c>
      <c r="AH20" s="584"/>
      <c r="AI20" s="585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2"/>
    </row>
    <row r="21" spans="1:109" ht="12" customHeight="1" thickBot="1" x14ac:dyDescent="0.25">
      <c r="A21" s="333" t="s">
        <v>56</v>
      </c>
      <c r="B21" s="334"/>
      <c r="C21" s="334"/>
      <c r="D21" s="400"/>
      <c r="E21" s="400"/>
      <c r="F21" s="400"/>
      <c r="G21" s="400"/>
      <c r="H21" s="400"/>
      <c r="I21" s="401"/>
      <c r="J21" s="42"/>
      <c r="K21" s="77"/>
      <c r="L21" s="77"/>
      <c r="M21" s="78"/>
      <c r="N21" s="333" t="s">
        <v>281</v>
      </c>
      <c r="O21" s="334"/>
      <c r="P21" s="334"/>
      <c r="Q21" s="400"/>
      <c r="R21" s="400"/>
      <c r="S21" s="400"/>
      <c r="T21" s="513">
        <f>G21</f>
        <v>0</v>
      </c>
      <c r="U21" s="513"/>
      <c r="V21" s="514"/>
      <c r="W21" s="79"/>
      <c r="X21" s="79"/>
      <c r="Y21" s="79"/>
      <c r="Z21" s="42"/>
      <c r="AA21" s="333" t="s">
        <v>56</v>
      </c>
      <c r="AB21" s="334"/>
      <c r="AC21" s="334"/>
      <c r="AD21" s="400"/>
      <c r="AE21" s="400"/>
      <c r="AF21" s="400"/>
      <c r="AG21" s="577"/>
      <c r="AH21" s="577"/>
      <c r="AI21" s="578"/>
      <c r="AJ21" s="44"/>
      <c r="AK21" s="579" t="s">
        <v>282</v>
      </c>
      <c r="AL21" s="580"/>
      <c r="AM21" s="580"/>
      <c r="AN21" s="580"/>
      <c r="AO21" s="580"/>
      <c r="AP21" s="580"/>
      <c r="AQ21" s="580"/>
      <c r="AR21" s="580"/>
      <c r="AS21" s="580"/>
      <c r="AT21" s="580"/>
      <c r="AU21" s="580"/>
      <c r="AV21" s="580"/>
      <c r="AW21" s="581"/>
      <c r="AX21" s="80"/>
      <c r="AY21" s="579" t="s">
        <v>283</v>
      </c>
      <c r="AZ21" s="580"/>
      <c r="BA21" s="580"/>
      <c r="BB21" s="580"/>
      <c r="BC21" s="580"/>
      <c r="BD21" s="580"/>
      <c r="BE21" s="580"/>
      <c r="BF21" s="580"/>
      <c r="BG21" s="580"/>
      <c r="BH21" s="580"/>
      <c r="BI21" s="580"/>
      <c r="BJ21" s="580"/>
      <c r="BK21" s="581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2"/>
    </row>
    <row r="22" spans="1:109" ht="12" customHeight="1" thickTop="1" x14ac:dyDescent="0.2">
      <c r="A22" s="333" t="s">
        <v>57</v>
      </c>
      <c r="B22" s="334"/>
      <c r="C22" s="334"/>
      <c r="D22" s="409"/>
      <c r="E22" s="409"/>
      <c r="F22" s="409"/>
      <c r="G22" s="409"/>
      <c r="H22" s="409"/>
      <c r="I22" s="410"/>
      <c r="J22" s="42"/>
      <c r="K22" s="77"/>
      <c r="L22" s="77"/>
      <c r="M22" s="78"/>
      <c r="N22" s="333" t="s">
        <v>207</v>
      </c>
      <c r="O22" s="334"/>
      <c r="P22" s="334"/>
      <c r="Q22" s="400"/>
      <c r="R22" s="400"/>
      <c r="S22" s="400"/>
      <c r="T22" s="513">
        <f>AG21</f>
        <v>0</v>
      </c>
      <c r="U22" s="513"/>
      <c r="V22" s="514"/>
      <c r="W22" s="79"/>
      <c r="X22" s="79"/>
      <c r="Y22" s="79"/>
      <c r="Z22" s="42"/>
      <c r="AA22" s="333" t="s">
        <v>57</v>
      </c>
      <c r="AB22" s="334"/>
      <c r="AC22" s="334"/>
      <c r="AD22" s="409"/>
      <c r="AE22" s="409"/>
      <c r="AF22" s="409"/>
      <c r="AG22" s="409"/>
      <c r="AH22" s="409"/>
      <c r="AI22" s="410"/>
      <c r="AJ22" s="44"/>
      <c r="AK22" s="463" t="s">
        <v>198</v>
      </c>
      <c r="AL22" s="331"/>
      <c r="AM22" s="331"/>
      <c r="AN22" s="331"/>
      <c r="AO22" s="331"/>
      <c r="AP22" s="331"/>
      <c r="AQ22" s="331"/>
      <c r="AR22" s="331"/>
      <c r="AS22" s="331"/>
      <c r="AT22" s="582" t="str">
        <f>IFERROR(H46/H48,"")</f>
        <v/>
      </c>
      <c r="AU22" s="582"/>
      <c r="AV22" s="582"/>
      <c r="AW22" s="583"/>
      <c r="AX22" s="80"/>
      <c r="AY22" s="463" t="s">
        <v>198</v>
      </c>
      <c r="AZ22" s="331"/>
      <c r="BA22" s="331"/>
      <c r="BB22" s="331"/>
      <c r="BC22" s="331"/>
      <c r="BD22" s="331"/>
      <c r="BE22" s="331"/>
      <c r="BF22" s="331"/>
      <c r="BG22" s="331"/>
      <c r="BH22" s="582" t="str">
        <f>IFERROR(Z46/Z48,"")</f>
        <v/>
      </c>
      <c r="BI22" s="582"/>
      <c r="BJ22" s="582"/>
      <c r="BK22" s="583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2"/>
    </row>
    <row r="23" spans="1:109" ht="12" customHeight="1" x14ac:dyDescent="0.2">
      <c r="A23" s="333" t="s">
        <v>58</v>
      </c>
      <c r="B23" s="334"/>
      <c r="C23" s="334"/>
      <c r="D23" s="409"/>
      <c r="E23" s="409"/>
      <c r="F23" s="409"/>
      <c r="G23" s="409"/>
      <c r="H23" s="409"/>
      <c r="I23" s="410"/>
      <c r="J23" s="42"/>
      <c r="K23" s="77"/>
      <c r="L23" s="77"/>
      <c r="M23" s="78"/>
      <c r="N23" s="333" t="s">
        <v>208</v>
      </c>
      <c r="O23" s="334"/>
      <c r="P23" s="334"/>
      <c r="Q23" s="400"/>
      <c r="R23" s="400"/>
      <c r="S23" s="400"/>
      <c r="T23" s="513">
        <f>T21-T22</f>
        <v>0</v>
      </c>
      <c r="U23" s="513"/>
      <c r="V23" s="514"/>
      <c r="W23" s="79"/>
      <c r="X23" s="79"/>
      <c r="Y23" s="79"/>
      <c r="Z23" s="42"/>
      <c r="AA23" s="333" t="s">
        <v>58</v>
      </c>
      <c r="AB23" s="334"/>
      <c r="AC23" s="334"/>
      <c r="AD23" s="409"/>
      <c r="AE23" s="409"/>
      <c r="AF23" s="409"/>
      <c r="AG23" s="409"/>
      <c r="AH23" s="409"/>
      <c r="AI23" s="410"/>
      <c r="AJ23" s="44"/>
      <c r="AK23" s="457" t="s">
        <v>200</v>
      </c>
      <c r="AL23" s="289"/>
      <c r="AM23" s="289"/>
      <c r="AN23" s="289"/>
      <c r="AO23" s="289"/>
      <c r="AP23" s="289"/>
      <c r="AQ23" s="289"/>
      <c r="AR23" s="289"/>
      <c r="AS23" s="289"/>
      <c r="AT23" s="476" t="str">
        <f>IFERROR(IF((H46*1.57)+(H48*1.57)+(H51*2)&lt;&gt;0,(H46*1.57)+(H48*1.57)+(H51*2),""),"")</f>
        <v/>
      </c>
      <c r="AU23" s="476"/>
      <c r="AV23" s="477"/>
      <c r="AW23" s="56" t="s">
        <v>201</v>
      </c>
      <c r="AX23" s="80"/>
      <c r="AY23" s="457" t="s">
        <v>200</v>
      </c>
      <c r="AZ23" s="289"/>
      <c r="BA23" s="289"/>
      <c r="BB23" s="289"/>
      <c r="BC23" s="289"/>
      <c r="BD23" s="289"/>
      <c r="BE23" s="289"/>
      <c r="BF23" s="289"/>
      <c r="BG23" s="289"/>
      <c r="BH23" s="476" t="str">
        <f>IFERROR(IF((Z46*1.57)+(Z48*1.57)+(Z51*2)&lt;&gt;0,(Z46*1.57)+(Z48*1.57)+(Z51*2),""),"")</f>
        <v/>
      </c>
      <c r="BI23" s="476"/>
      <c r="BJ23" s="477"/>
      <c r="BK23" s="56" t="s">
        <v>201</v>
      </c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2"/>
    </row>
    <row r="24" spans="1:109" ht="12" customHeight="1" thickBot="1" x14ac:dyDescent="0.25">
      <c r="A24" s="573" t="s">
        <v>59</v>
      </c>
      <c r="B24" s="574"/>
      <c r="C24" s="574"/>
      <c r="D24" s="400"/>
      <c r="E24" s="400"/>
      <c r="F24" s="400"/>
      <c r="G24" s="400"/>
      <c r="H24" s="400"/>
      <c r="I24" s="401"/>
      <c r="J24" s="42"/>
      <c r="K24" s="77"/>
      <c r="L24" s="77"/>
      <c r="M24" s="78"/>
      <c r="N24" s="568" t="s">
        <v>284</v>
      </c>
      <c r="O24" s="569"/>
      <c r="P24" s="569"/>
      <c r="Q24" s="349"/>
      <c r="R24" s="349"/>
      <c r="S24" s="349"/>
      <c r="T24" s="349"/>
      <c r="U24" s="349"/>
      <c r="V24" s="469"/>
      <c r="W24" s="79"/>
      <c r="X24" s="79"/>
      <c r="Y24" s="79"/>
      <c r="Z24" s="42"/>
      <c r="AA24" s="573" t="s">
        <v>59</v>
      </c>
      <c r="AB24" s="574"/>
      <c r="AC24" s="574"/>
      <c r="AD24" s="577"/>
      <c r="AE24" s="577"/>
      <c r="AF24" s="577"/>
      <c r="AG24" s="577"/>
      <c r="AH24" s="577"/>
      <c r="AI24" s="578"/>
      <c r="AJ24" s="44"/>
      <c r="AK24" s="457" t="s">
        <v>202</v>
      </c>
      <c r="AL24" s="289"/>
      <c r="AM24" s="289"/>
      <c r="AN24" s="289"/>
      <c r="AO24" s="289"/>
      <c r="AP24" s="289"/>
      <c r="AQ24" s="289"/>
      <c r="AR24" s="289"/>
      <c r="AS24" s="289"/>
      <c r="AT24" s="458" t="str">
        <f>IFERROR(M37*AT22,"")</f>
        <v/>
      </c>
      <c r="AU24" s="458"/>
      <c r="AV24" s="458"/>
      <c r="AW24" s="459"/>
      <c r="AX24" s="44"/>
      <c r="AY24" s="457" t="s">
        <v>202</v>
      </c>
      <c r="AZ24" s="289"/>
      <c r="BA24" s="289"/>
      <c r="BB24" s="289"/>
      <c r="BC24" s="289"/>
      <c r="BD24" s="289"/>
      <c r="BE24" s="289"/>
      <c r="BF24" s="289"/>
      <c r="BG24" s="289"/>
      <c r="BH24" s="458" t="str">
        <f>IFERROR(AE37*BH22,"")</f>
        <v/>
      </c>
      <c r="BI24" s="458"/>
      <c r="BJ24" s="458"/>
      <c r="BK24" s="459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51"/>
      <c r="CD24" s="51"/>
      <c r="CE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2"/>
    </row>
    <row r="25" spans="1:109" ht="12" customHeight="1" thickBot="1" x14ac:dyDescent="0.25">
      <c r="A25" s="573" t="s">
        <v>60</v>
      </c>
      <c r="B25" s="574"/>
      <c r="C25" s="574"/>
      <c r="D25" s="409"/>
      <c r="E25" s="409"/>
      <c r="F25" s="409"/>
      <c r="G25" s="575" t="str">
        <f>IFERROR(IF(AT10="Single Phase",((H34*AN5*AQ5)/(H38*H41))*G31,IF(AT10="Three Phase",(AN8*AQ8*AT6*AT8*1.73/746)*G31,"")),"")</f>
        <v/>
      </c>
      <c r="H25" s="575"/>
      <c r="I25" s="576"/>
      <c r="J25" s="42"/>
      <c r="K25" s="77"/>
      <c r="L25" s="77"/>
      <c r="M25" s="77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42"/>
      <c r="AA25" s="573" t="s">
        <v>60</v>
      </c>
      <c r="AB25" s="574"/>
      <c r="AC25" s="574"/>
      <c r="AD25" s="409"/>
      <c r="AE25" s="409"/>
      <c r="AF25" s="409"/>
      <c r="AG25" s="575" t="str">
        <f>IFERROR(IF(AT19="Single Phase",((Z34*AN14*AQ14)/(Z38*Z41))*Y31,IF(AT19="Three Phase",(AN17*AQ17*AT15*AT17*1.73/746)*Y31,"")),"")</f>
        <v/>
      </c>
      <c r="AH25" s="575"/>
      <c r="AI25" s="576"/>
      <c r="AJ25" s="44"/>
      <c r="AK25" s="457" t="s">
        <v>206</v>
      </c>
      <c r="AL25" s="289"/>
      <c r="AM25" s="289"/>
      <c r="AN25" s="289"/>
      <c r="AO25" s="289"/>
      <c r="AP25" s="289"/>
      <c r="AQ25" s="289"/>
      <c r="AR25" s="289"/>
      <c r="AS25" s="289"/>
      <c r="AT25" s="458" t="str">
        <f>IFERROR(IF(((H29/60)*(H37))*((H46-0.5))/((H48-0.5))&lt;&gt;0,((H29/60)*(H37))*((H46-0.5))/((H48-0.5)),""),"")</f>
        <v/>
      </c>
      <c r="AU25" s="458"/>
      <c r="AV25" s="458"/>
      <c r="AW25" s="459"/>
      <c r="AX25" s="44"/>
      <c r="AY25" s="457" t="s">
        <v>206</v>
      </c>
      <c r="AZ25" s="289"/>
      <c r="BA25" s="289"/>
      <c r="BB25" s="289"/>
      <c r="BC25" s="289"/>
      <c r="BD25" s="289"/>
      <c r="BE25" s="289"/>
      <c r="BF25" s="289"/>
      <c r="BG25" s="289"/>
      <c r="BH25" s="458" t="str">
        <f>IFERROR(IF(((AF29/60)*(Z37))*((Z46-0.5))/((Z48-0.5))&lt;&gt;0,((AF29/60)*(Z37))*((Z46-0.5))/((Z48-0.5)),""),"")</f>
        <v/>
      </c>
      <c r="BI25" s="458"/>
      <c r="BJ25" s="458"/>
      <c r="BK25" s="459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51"/>
      <c r="CD25" s="51"/>
      <c r="CE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2"/>
    </row>
    <row r="26" spans="1:109" ht="12" customHeight="1" thickBot="1" x14ac:dyDescent="0.25">
      <c r="A26" s="568" t="s">
        <v>194</v>
      </c>
      <c r="B26" s="569"/>
      <c r="C26" s="569"/>
      <c r="D26" s="570"/>
      <c r="E26" s="571"/>
      <c r="F26" s="571"/>
      <c r="G26" s="570"/>
      <c r="H26" s="571"/>
      <c r="I26" s="572"/>
      <c r="J26" s="42"/>
      <c r="K26" s="77"/>
      <c r="L26" s="77"/>
      <c r="M26" s="77"/>
      <c r="N26" s="314" t="s">
        <v>285</v>
      </c>
      <c r="O26" s="315"/>
      <c r="P26" s="315"/>
      <c r="Q26" s="315"/>
      <c r="R26" s="315"/>
      <c r="S26" s="315"/>
      <c r="T26" s="315"/>
      <c r="U26" s="315"/>
      <c r="V26" s="316"/>
      <c r="W26" s="79"/>
      <c r="X26" s="79"/>
      <c r="Y26" s="79"/>
      <c r="Z26" s="42"/>
      <c r="AA26" s="568" t="s">
        <v>194</v>
      </c>
      <c r="AB26" s="569"/>
      <c r="AC26" s="569"/>
      <c r="AD26" s="570"/>
      <c r="AE26" s="571"/>
      <c r="AF26" s="571"/>
      <c r="AG26" s="570"/>
      <c r="AH26" s="571"/>
      <c r="AI26" s="572"/>
      <c r="AJ26" s="44"/>
      <c r="AK26" s="444" t="s">
        <v>210</v>
      </c>
      <c r="AL26" s="445"/>
      <c r="AM26" s="445"/>
      <c r="AN26" s="445"/>
      <c r="AO26" s="445"/>
      <c r="AP26" s="445"/>
      <c r="AQ26" s="445"/>
      <c r="AR26" s="445"/>
      <c r="AS26" s="445"/>
      <c r="AT26" s="445"/>
      <c r="AU26" s="445"/>
      <c r="AV26" s="445"/>
      <c r="AW26" s="446"/>
      <c r="AX26" s="44"/>
      <c r="AY26" s="444" t="s">
        <v>210</v>
      </c>
      <c r="AZ26" s="445"/>
      <c r="BA26" s="445"/>
      <c r="BB26" s="445"/>
      <c r="BC26" s="445"/>
      <c r="BD26" s="445"/>
      <c r="BE26" s="445"/>
      <c r="BF26" s="445"/>
      <c r="BG26" s="445"/>
      <c r="BH26" s="445"/>
      <c r="BI26" s="445"/>
      <c r="BJ26" s="445"/>
      <c r="BK26" s="446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51"/>
      <c r="CD26" s="51"/>
      <c r="CE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2"/>
    </row>
    <row r="27" spans="1:109" ht="12" customHeight="1" thickBot="1" x14ac:dyDescent="0.25">
      <c r="A27" s="561"/>
      <c r="B27" s="561"/>
      <c r="C27" s="561"/>
      <c r="D27" s="562"/>
      <c r="E27" s="562"/>
      <c r="F27" s="562"/>
      <c r="G27" s="563"/>
      <c r="H27" s="563"/>
      <c r="I27" s="563"/>
      <c r="J27" s="42"/>
      <c r="K27" s="77"/>
      <c r="L27" s="77"/>
      <c r="M27" s="77"/>
      <c r="N27" s="360" t="s">
        <v>232</v>
      </c>
      <c r="O27" s="361"/>
      <c r="P27" s="361"/>
      <c r="Q27" s="361"/>
      <c r="R27" s="361"/>
      <c r="S27" s="564"/>
      <c r="T27" s="565"/>
      <c r="U27" s="566" t="s">
        <v>187</v>
      </c>
      <c r="V27" s="567"/>
      <c r="W27" s="79"/>
      <c r="X27" s="79"/>
      <c r="Y27" s="79"/>
      <c r="Z27" s="42"/>
      <c r="AA27" s="77"/>
      <c r="AB27" s="77"/>
      <c r="AC27" s="77"/>
      <c r="AD27" s="79"/>
      <c r="AE27" s="79"/>
      <c r="AF27" s="79"/>
      <c r="AG27" s="81"/>
      <c r="AH27" s="81"/>
      <c r="AI27" s="81"/>
      <c r="AJ27" s="44"/>
      <c r="AK27" s="447"/>
      <c r="AL27" s="448"/>
      <c r="AM27" s="448"/>
      <c r="AN27" s="448"/>
      <c r="AO27" s="448"/>
      <c r="AP27" s="448"/>
      <c r="AQ27" s="448"/>
      <c r="AR27" s="448"/>
      <c r="AS27" s="448"/>
      <c r="AT27" s="448"/>
      <c r="AU27" s="448"/>
      <c r="AV27" s="448"/>
      <c r="AW27" s="449"/>
      <c r="AX27" s="44"/>
      <c r="AY27" s="447"/>
      <c r="AZ27" s="448"/>
      <c r="BA27" s="448"/>
      <c r="BB27" s="448"/>
      <c r="BC27" s="448"/>
      <c r="BD27" s="448"/>
      <c r="BE27" s="448"/>
      <c r="BF27" s="448"/>
      <c r="BG27" s="448"/>
      <c r="BH27" s="448"/>
      <c r="BI27" s="448"/>
      <c r="BJ27" s="448"/>
      <c r="BK27" s="449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51"/>
      <c r="CD27" s="51"/>
      <c r="CE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2"/>
    </row>
    <row r="28" spans="1:109" ht="12" customHeight="1" thickBot="1" x14ac:dyDescent="0.25">
      <c r="A28" s="338" t="s">
        <v>238</v>
      </c>
      <c r="B28" s="339"/>
      <c r="C28" s="339"/>
      <c r="D28" s="339"/>
      <c r="E28" s="339"/>
      <c r="F28" s="339"/>
      <c r="G28" s="339"/>
      <c r="H28" s="339"/>
      <c r="I28" s="339"/>
      <c r="J28" s="339"/>
      <c r="K28" s="339"/>
      <c r="L28" s="340"/>
      <c r="M28" s="77"/>
      <c r="N28" s="333" t="s">
        <v>286</v>
      </c>
      <c r="O28" s="334"/>
      <c r="P28" s="334"/>
      <c r="Q28" s="334"/>
      <c r="R28" s="334"/>
      <c r="S28" s="474"/>
      <c r="T28" s="558"/>
      <c r="U28" s="418" t="s">
        <v>187</v>
      </c>
      <c r="V28" s="503"/>
      <c r="W28" s="79"/>
      <c r="X28" s="338" t="s">
        <v>287</v>
      </c>
      <c r="Y28" s="339"/>
      <c r="Z28" s="339"/>
      <c r="AA28" s="339"/>
      <c r="AB28" s="339"/>
      <c r="AC28" s="339"/>
      <c r="AD28" s="339"/>
      <c r="AE28" s="339"/>
      <c r="AF28" s="339"/>
      <c r="AG28" s="339"/>
      <c r="AH28" s="339"/>
      <c r="AI28" s="340"/>
      <c r="AJ28" s="44"/>
      <c r="AK28" s="82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51"/>
      <c r="CD28" s="51"/>
      <c r="CE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  <c r="DE28" s="52"/>
    </row>
    <row r="29" spans="1:109" ht="12" customHeight="1" thickTop="1" thickBot="1" x14ac:dyDescent="0.25">
      <c r="A29" s="353" t="s">
        <v>288</v>
      </c>
      <c r="B29" s="354"/>
      <c r="C29" s="354"/>
      <c r="D29" s="354"/>
      <c r="E29" s="354"/>
      <c r="F29" s="354"/>
      <c r="G29" s="354"/>
      <c r="H29" s="355"/>
      <c r="I29" s="356"/>
      <c r="J29" s="357"/>
      <c r="K29" s="322"/>
      <c r="L29" s="323"/>
      <c r="M29" s="77"/>
      <c r="N29" s="347" t="s">
        <v>199</v>
      </c>
      <c r="O29" s="348"/>
      <c r="P29" s="348"/>
      <c r="Q29" s="348"/>
      <c r="R29" s="348"/>
      <c r="S29" s="559"/>
      <c r="T29" s="560"/>
      <c r="U29" s="556" t="s">
        <v>187</v>
      </c>
      <c r="V29" s="557"/>
      <c r="W29" s="79"/>
      <c r="X29" s="353" t="s">
        <v>289</v>
      </c>
      <c r="Y29" s="354"/>
      <c r="Z29" s="354"/>
      <c r="AA29" s="354"/>
      <c r="AB29" s="354"/>
      <c r="AC29" s="354"/>
      <c r="AD29" s="354"/>
      <c r="AE29" s="355"/>
      <c r="AF29" s="356"/>
      <c r="AG29" s="357"/>
      <c r="AH29" s="322"/>
      <c r="AI29" s="323"/>
      <c r="AJ29" s="44"/>
      <c r="AK29" s="372" t="s">
        <v>229</v>
      </c>
      <c r="AL29" s="373"/>
      <c r="AM29" s="373"/>
      <c r="AN29" s="373"/>
      <c r="AO29" s="373"/>
      <c r="AP29" s="373"/>
      <c r="AQ29" s="373"/>
      <c r="AR29" s="373"/>
      <c r="AS29" s="373"/>
      <c r="AT29" s="373"/>
      <c r="AU29" s="373"/>
      <c r="AV29" s="37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51"/>
      <c r="CD29" s="51"/>
      <c r="CE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2"/>
    </row>
    <row r="30" spans="1:109" ht="12" customHeight="1" thickTop="1" thickBot="1" x14ac:dyDescent="0.25">
      <c r="A30" s="42"/>
      <c r="B30" s="42"/>
      <c r="C30" s="42"/>
      <c r="D30" s="42"/>
      <c r="E30" s="42"/>
      <c r="F30" s="42"/>
      <c r="G30" s="42"/>
      <c r="I30" s="42"/>
      <c r="J30" s="42"/>
      <c r="K30" s="42"/>
      <c r="L30" s="42"/>
      <c r="M30" s="42"/>
      <c r="N30" s="42"/>
      <c r="O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4"/>
      <c r="AK30" s="381" t="str">
        <f>IF(S53&lt;&gt;"",IF(S53&gt;=S52*1.2,"Actual DP setpoint exceeds Design + 20% by "&amp;S53-S52*1.2&amp;" in. w.c. If higher DP is correct create a write-up for Remarks of why.",""),"")</f>
        <v/>
      </c>
      <c r="AL30" s="382"/>
      <c r="AM30" s="382"/>
      <c r="AN30" s="382"/>
      <c r="AO30" s="382"/>
      <c r="AP30" s="382"/>
      <c r="AQ30" s="382"/>
      <c r="AR30" s="382"/>
      <c r="AS30" s="382"/>
      <c r="AT30" s="382"/>
      <c r="AU30" s="382"/>
      <c r="AV30" s="383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54"/>
      <c r="BP30" s="54"/>
      <c r="BQ30" s="54"/>
      <c r="BR30" s="54"/>
      <c r="BS30" s="54"/>
      <c r="BT30" s="44"/>
      <c r="BU30" s="44"/>
      <c r="BV30" s="44"/>
      <c r="BW30" s="44"/>
      <c r="BX30" s="44"/>
      <c r="BY30" s="44"/>
      <c r="BZ30" s="44"/>
      <c r="CA30" s="44"/>
      <c r="CB30" s="44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2"/>
    </row>
    <row r="31" spans="1:109" ht="12" customHeight="1" thickBot="1" x14ac:dyDescent="0.25">
      <c r="A31" s="314" t="s">
        <v>221</v>
      </c>
      <c r="B31" s="315"/>
      <c r="C31" s="315"/>
      <c r="D31" s="315"/>
      <c r="E31" s="315"/>
      <c r="F31" s="57" t="s">
        <v>205</v>
      </c>
      <c r="G31" s="411"/>
      <c r="H31" s="411"/>
      <c r="I31" s="411"/>
      <c r="J31" s="411"/>
      <c r="K31" s="411"/>
      <c r="L31" s="411"/>
      <c r="M31" s="411"/>
      <c r="N31" s="411"/>
      <c r="O31" s="411"/>
      <c r="P31" s="411"/>
      <c r="Q31" s="412"/>
      <c r="R31" s="42"/>
      <c r="S31" s="314" t="s">
        <v>221</v>
      </c>
      <c r="T31" s="315"/>
      <c r="U31" s="315"/>
      <c r="V31" s="315"/>
      <c r="W31" s="315"/>
      <c r="X31" s="57" t="s">
        <v>205</v>
      </c>
      <c r="Y31" s="411"/>
      <c r="Z31" s="411"/>
      <c r="AA31" s="411"/>
      <c r="AB31" s="411"/>
      <c r="AC31" s="411"/>
      <c r="AD31" s="411"/>
      <c r="AE31" s="411"/>
      <c r="AF31" s="411"/>
      <c r="AG31" s="411"/>
      <c r="AH31" s="411"/>
      <c r="AI31" s="412"/>
      <c r="AJ31" s="44"/>
      <c r="AK31" s="384"/>
      <c r="AL31" s="385"/>
      <c r="AM31" s="385"/>
      <c r="AN31" s="385"/>
      <c r="AO31" s="385"/>
      <c r="AP31" s="385"/>
      <c r="AQ31" s="385"/>
      <c r="AR31" s="385"/>
      <c r="AS31" s="385"/>
      <c r="AT31" s="385"/>
      <c r="AU31" s="385"/>
      <c r="AV31" s="386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54"/>
      <c r="BP31" s="54"/>
      <c r="BQ31" s="54"/>
      <c r="BR31" s="54"/>
      <c r="BS31" s="54"/>
      <c r="BT31" s="44"/>
      <c r="BU31" s="44"/>
      <c r="BV31" s="44"/>
      <c r="BW31" s="44"/>
      <c r="BX31" s="44"/>
      <c r="BY31" s="44"/>
      <c r="BZ31" s="44"/>
      <c r="CA31" s="44"/>
      <c r="CB31" s="44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1"/>
      <c r="CV31" s="51"/>
      <c r="CW31" s="51"/>
      <c r="CX31" s="51"/>
      <c r="CY31" s="51"/>
      <c r="CZ31" s="51"/>
      <c r="DA31" s="51"/>
      <c r="DB31" s="51"/>
      <c r="DC31" s="51"/>
      <c r="DD31" s="51"/>
      <c r="DE31" s="52"/>
    </row>
    <row r="32" spans="1:109" ht="12.75" thickTop="1" x14ac:dyDescent="0.2">
      <c r="A32" s="360" t="s">
        <v>168</v>
      </c>
      <c r="B32" s="361"/>
      <c r="C32" s="361"/>
      <c r="D32" s="361"/>
      <c r="E32" s="361"/>
      <c r="F32" s="361"/>
      <c r="G32" s="361"/>
      <c r="H32" s="362"/>
      <c r="I32" s="362"/>
      <c r="J32" s="362"/>
      <c r="K32" s="362"/>
      <c r="L32" s="362"/>
      <c r="M32" s="362"/>
      <c r="N32" s="362"/>
      <c r="O32" s="362"/>
      <c r="P32" s="362"/>
      <c r="Q32" s="364"/>
      <c r="R32" s="42"/>
      <c r="S32" s="360" t="s">
        <v>168</v>
      </c>
      <c r="T32" s="361"/>
      <c r="U32" s="361"/>
      <c r="V32" s="361"/>
      <c r="W32" s="361"/>
      <c r="X32" s="361"/>
      <c r="Y32" s="361"/>
      <c r="Z32" s="362"/>
      <c r="AA32" s="362"/>
      <c r="AB32" s="362"/>
      <c r="AC32" s="362"/>
      <c r="AD32" s="362"/>
      <c r="AE32" s="362"/>
      <c r="AF32" s="362"/>
      <c r="AG32" s="362"/>
      <c r="AH32" s="362"/>
      <c r="AI32" s="364"/>
      <c r="AJ32" s="44"/>
      <c r="AK32" s="384"/>
      <c r="AL32" s="385"/>
      <c r="AM32" s="385"/>
      <c r="AN32" s="385"/>
      <c r="AO32" s="385"/>
      <c r="AP32" s="385"/>
      <c r="AQ32" s="385"/>
      <c r="AR32" s="385"/>
      <c r="AS32" s="385"/>
      <c r="AT32" s="385"/>
      <c r="AU32" s="385"/>
      <c r="AV32" s="386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54"/>
      <c r="BP32" s="54"/>
      <c r="BQ32" s="54"/>
      <c r="BR32" s="54"/>
      <c r="BS32" s="54"/>
      <c r="BT32" s="44"/>
      <c r="BU32" s="44"/>
      <c r="BV32" s="44"/>
      <c r="BW32" s="44"/>
      <c r="BX32" s="44"/>
      <c r="BY32" s="44"/>
      <c r="BZ32" s="44"/>
      <c r="CA32" s="44"/>
      <c r="CB32" s="44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51"/>
      <c r="CQ32" s="51"/>
      <c r="CR32" s="51"/>
      <c r="CS32" s="51"/>
      <c r="CT32" s="51"/>
      <c r="CU32" s="51"/>
      <c r="CV32" s="51"/>
      <c r="CW32" s="51"/>
      <c r="CX32" s="51"/>
      <c r="CY32" s="51"/>
      <c r="CZ32" s="51"/>
      <c r="DA32" s="51"/>
      <c r="DB32" s="51"/>
      <c r="DC32" s="51"/>
      <c r="DD32" s="51"/>
      <c r="DE32" s="52"/>
    </row>
    <row r="33" spans="1:85" ht="12" customHeight="1" thickBot="1" x14ac:dyDescent="0.25">
      <c r="A33" s="333" t="s">
        <v>225</v>
      </c>
      <c r="B33" s="334"/>
      <c r="C33" s="334"/>
      <c r="D33" s="334"/>
      <c r="E33" s="334"/>
      <c r="F33" s="334"/>
      <c r="G33" s="334"/>
      <c r="H33" s="400"/>
      <c r="I33" s="400"/>
      <c r="J33" s="400"/>
      <c r="K33" s="400"/>
      <c r="L33" s="400"/>
      <c r="M33" s="400"/>
      <c r="N33" s="400"/>
      <c r="O33" s="400"/>
      <c r="P33" s="400"/>
      <c r="Q33" s="401"/>
      <c r="R33" s="42"/>
      <c r="S33" s="333" t="s">
        <v>225</v>
      </c>
      <c r="T33" s="334"/>
      <c r="U33" s="334"/>
      <c r="V33" s="334"/>
      <c r="W33" s="334"/>
      <c r="X33" s="334"/>
      <c r="Y33" s="334"/>
      <c r="Z33" s="400"/>
      <c r="AA33" s="400"/>
      <c r="AB33" s="400"/>
      <c r="AC33" s="400"/>
      <c r="AD33" s="400"/>
      <c r="AE33" s="400"/>
      <c r="AF33" s="400"/>
      <c r="AG33" s="400"/>
      <c r="AH33" s="400"/>
      <c r="AI33" s="401"/>
      <c r="AJ33" s="44"/>
      <c r="AK33" s="387"/>
      <c r="AL33" s="388"/>
      <c r="AM33" s="388"/>
      <c r="AN33" s="388"/>
      <c r="AO33" s="388"/>
      <c r="AP33" s="388"/>
      <c r="AQ33" s="388"/>
      <c r="AR33" s="388"/>
      <c r="AS33" s="388"/>
      <c r="AT33" s="388"/>
      <c r="AU33" s="388"/>
      <c r="AV33" s="389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54"/>
      <c r="BP33" s="54"/>
      <c r="BQ33" s="54"/>
      <c r="BR33" s="54"/>
      <c r="BS33" s="54"/>
      <c r="BT33" s="44"/>
      <c r="BU33" s="44"/>
      <c r="BV33" s="44"/>
      <c r="BW33" s="44"/>
      <c r="BX33" s="44"/>
      <c r="BY33" s="44"/>
      <c r="BZ33" s="44"/>
      <c r="CA33" s="44"/>
      <c r="CB33" s="44"/>
      <c r="CC33" s="51"/>
      <c r="CD33" s="51"/>
      <c r="CE33" s="51"/>
      <c r="CF33" s="51"/>
      <c r="CG33" s="51"/>
    </row>
    <row r="34" spans="1:85" ht="12" customHeight="1" thickBot="1" x14ac:dyDescent="0.25">
      <c r="A34" s="406" t="s">
        <v>228</v>
      </c>
      <c r="B34" s="407"/>
      <c r="C34" s="407"/>
      <c r="D34" s="407"/>
      <c r="E34" s="407"/>
      <c r="F34" s="407"/>
      <c r="G34" s="408"/>
      <c r="H34" s="409"/>
      <c r="I34" s="409"/>
      <c r="J34" s="409"/>
      <c r="K34" s="409"/>
      <c r="L34" s="409"/>
      <c r="M34" s="409"/>
      <c r="N34" s="409"/>
      <c r="O34" s="409"/>
      <c r="P34" s="409"/>
      <c r="Q34" s="410"/>
      <c r="R34" s="42"/>
      <c r="S34" s="406" t="s">
        <v>228</v>
      </c>
      <c r="T34" s="407"/>
      <c r="U34" s="407"/>
      <c r="V34" s="407"/>
      <c r="W34" s="407"/>
      <c r="X34" s="407"/>
      <c r="Y34" s="408"/>
      <c r="Z34" s="409"/>
      <c r="AA34" s="409"/>
      <c r="AB34" s="409"/>
      <c r="AC34" s="409"/>
      <c r="AD34" s="409"/>
      <c r="AE34" s="409"/>
      <c r="AF34" s="409"/>
      <c r="AG34" s="409"/>
      <c r="AH34" s="409"/>
      <c r="AI34" s="410"/>
      <c r="AJ34" s="44"/>
      <c r="AK34" s="82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54"/>
      <c r="BP34" s="54"/>
      <c r="BQ34" s="54"/>
      <c r="BR34" s="54"/>
      <c r="BS34" s="54"/>
      <c r="BT34" s="44"/>
      <c r="BU34" s="44"/>
      <c r="BV34" s="44"/>
      <c r="BW34" s="44"/>
      <c r="BX34" s="44"/>
      <c r="BY34" s="44"/>
      <c r="BZ34" s="44"/>
      <c r="CA34" s="44"/>
      <c r="CB34" s="44"/>
      <c r="CC34" s="51"/>
      <c r="CD34" s="51"/>
      <c r="CE34" s="51"/>
      <c r="CF34" s="51"/>
      <c r="CG34" s="51"/>
    </row>
    <row r="35" spans="1:85" ht="12" customHeight="1" thickBot="1" x14ac:dyDescent="0.25">
      <c r="A35" s="333" t="s">
        <v>230</v>
      </c>
      <c r="B35" s="334"/>
      <c r="C35" s="334"/>
      <c r="D35" s="334"/>
      <c r="E35" s="334"/>
      <c r="F35" s="334"/>
      <c r="G35" s="334"/>
      <c r="H35" s="375"/>
      <c r="I35" s="376"/>
      <c r="J35" s="376"/>
      <c r="K35" s="376"/>
      <c r="L35" s="376"/>
      <c r="M35" s="376"/>
      <c r="N35" s="376"/>
      <c r="O35" s="376"/>
      <c r="P35" s="376"/>
      <c r="Q35" s="377"/>
      <c r="R35" s="42"/>
      <c r="S35" s="333" t="s">
        <v>230</v>
      </c>
      <c r="T35" s="334"/>
      <c r="U35" s="334"/>
      <c r="V35" s="334"/>
      <c r="W35" s="334"/>
      <c r="X35" s="334"/>
      <c r="Y35" s="334"/>
      <c r="Z35" s="375"/>
      <c r="AA35" s="376"/>
      <c r="AB35" s="376"/>
      <c r="AC35" s="376"/>
      <c r="AD35" s="376"/>
      <c r="AE35" s="376"/>
      <c r="AF35" s="376"/>
      <c r="AG35" s="376"/>
      <c r="AH35" s="376"/>
      <c r="AI35" s="377"/>
      <c r="AJ35" s="44"/>
      <c r="AK35" s="471" t="s">
        <v>240</v>
      </c>
      <c r="AL35" s="472"/>
      <c r="AM35" s="472"/>
      <c r="AN35" s="472"/>
      <c r="AO35" s="472"/>
      <c r="AP35" s="472"/>
      <c r="AQ35" s="472"/>
      <c r="AR35" s="472"/>
      <c r="AS35" s="472"/>
      <c r="AT35" s="472"/>
      <c r="AU35" s="472"/>
      <c r="AV35" s="472"/>
      <c r="AW35" s="472"/>
      <c r="AX35" s="472"/>
      <c r="AY35" s="472"/>
      <c r="AZ35" s="472"/>
      <c r="BA35" s="472"/>
      <c r="BB35" s="472"/>
      <c r="BC35" s="472"/>
      <c r="BD35" s="472"/>
      <c r="BE35" s="472"/>
      <c r="BF35" s="472"/>
      <c r="BG35" s="472"/>
      <c r="BH35" s="472"/>
      <c r="BI35" s="472"/>
      <c r="BJ35" s="472"/>
      <c r="BK35" s="472"/>
      <c r="BL35" s="472"/>
      <c r="BM35" s="472"/>
      <c r="BN35" s="472"/>
      <c r="BO35" s="472"/>
      <c r="BP35" s="472"/>
      <c r="BQ35" s="473"/>
      <c r="BR35" s="54"/>
      <c r="BS35" s="54"/>
      <c r="BT35" s="44"/>
      <c r="BU35" s="44"/>
      <c r="BV35" s="44"/>
      <c r="BW35" s="44"/>
      <c r="BX35" s="44"/>
      <c r="BY35" s="44"/>
      <c r="BZ35" s="44"/>
      <c r="CA35" s="44"/>
      <c r="CB35" s="44"/>
      <c r="CC35" s="51"/>
      <c r="CD35" s="51"/>
      <c r="CE35" s="51"/>
      <c r="CF35" s="51"/>
      <c r="CG35" s="51"/>
    </row>
    <row r="36" spans="1:85" ht="12" customHeight="1" thickTop="1" thickBot="1" x14ac:dyDescent="0.25">
      <c r="A36" s="390"/>
      <c r="B36" s="391"/>
      <c r="C36" s="391"/>
      <c r="D36" s="391"/>
      <c r="E36" s="391"/>
      <c r="F36" s="391"/>
      <c r="G36" s="391"/>
      <c r="H36" s="392" t="s">
        <v>197</v>
      </c>
      <c r="I36" s="392"/>
      <c r="J36" s="392"/>
      <c r="K36" s="392"/>
      <c r="L36" s="392"/>
      <c r="M36" s="392" t="s">
        <v>199</v>
      </c>
      <c r="N36" s="392"/>
      <c r="O36" s="392"/>
      <c r="P36" s="392"/>
      <c r="Q36" s="393"/>
      <c r="R36" s="42"/>
      <c r="S36" s="390"/>
      <c r="T36" s="391"/>
      <c r="U36" s="391"/>
      <c r="V36" s="391"/>
      <c r="W36" s="391"/>
      <c r="X36" s="391"/>
      <c r="Y36" s="391"/>
      <c r="Z36" s="392" t="s">
        <v>197</v>
      </c>
      <c r="AA36" s="392"/>
      <c r="AB36" s="392"/>
      <c r="AC36" s="392"/>
      <c r="AD36" s="392"/>
      <c r="AE36" s="392" t="s">
        <v>199</v>
      </c>
      <c r="AF36" s="392"/>
      <c r="AG36" s="392"/>
      <c r="AH36" s="392"/>
      <c r="AI36" s="393"/>
      <c r="AJ36" s="44"/>
      <c r="AK36" s="324"/>
      <c r="AL36" s="325"/>
      <c r="AM36" s="327">
        <v>1</v>
      </c>
      <c r="AN36" s="327"/>
      <c r="AO36" s="331" t="s">
        <v>242</v>
      </c>
      <c r="AP36" s="331"/>
      <c r="AQ36" s="331"/>
      <c r="AR36" s="331"/>
      <c r="AS36" s="331"/>
      <c r="AT36" s="331"/>
      <c r="AU36" s="331"/>
      <c r="AV36" s="331"/>
      <c r="AW36" s="331"/>
      <c r="AX36" s="331"/>
      <c r="AY36" s="331"/>
      <c r="AZ36" s="331"/>
      <c r="BA36" s="331"/>
      <c r="BB36" s="331"/>
      <c r="BC36" s="331"/>
      <c r="BD36" s="331"/>
      <c r="BE36" s="331"/>
      <c r="BF36" s="331"/>
      <c r="BG36" s="331"/>
      <c r="BH36" s="331"/>
      <c r="BI36" s="331"/>
      <c r="BJ36" s="331"/>
      <c r="BK36" s="331"/>
      <c r="BL36" s="331"/>
      <c r="BM36" s="331"/>
      <c r="BN36" s="331"/>
      <c r="BO36" s="331"/>
      <c r="BP36" s="331"/>
      <c r="BQ36" s="332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</row>
    <row r="37" spans="1:85" ht="12.75" customHeight="1" thickTop="1" x14ac:dyDescent="0.2">
      <c r="A37" s="360" t="s">
        <v>59</v>
      </c>
      <c r="B37" s="361"/>
      <c r="C37" s="361"/>
      <c r="D37" s="361"/>
      <c r="E37" s="361"/>
      <c r="F37" s="361"/>
      <c r="G37" s="361"/>
      <c r="H37" s="363"/>
      <c r="I37" s="362"/>
      <c r="J37" s="362"/>
      <c r="K37" s="362"/>
      <c r="L37" s="364"/>
      <c r="M37" s="363"/>
      <c r="N37" s="362"/>
      <c r="O37" s="362"/>
      <c r="P37" s="362"/>
      <c r="Q37" s="364"/>
      <c r="R37" s="42"/>
      <c r="S37" s="360" t="s">
        <v>59</v>
      </c>
      <c r="T37" s="361"/>
      <c r="U37" s="361"/>
      <c r="V37" s="361"/>
      <c r="W37" s="361"/>
      <c r="X37" s="361"/>
      <c r="Y37" s="361"/>
      <c r="Z37" s="362"/>
      <c r="AA37" s="362"/>
      <c r="AB37" s="362"/>
      <c r="AC37" s="362"/>
      <c r="AD37" s="362"/>
      <c r="AE37" s="363"/>
      <c r="AF37" s="362"/>
      <c r="AG37" s="362"/>
      <c r="AH37" s="362"/>
      <c r="AI37" s="364"/>
      <c r="AJ37" s="44"/>
      <c r="AK37" s="287"/>
      <c r="AL37" s="288"/>
      <c r="AM37" s="296">
        <v>2</v>
      </c>
      <c r="AN37" s="296"/>
      <c r="AO37" s="289" t="s">
        <v>245</v>
      </c>
      <c r="AP37" s="289"/>
      <c r="AQ37" s="289"/>
      <c r="AR37" s="289"/>
      <c r="AS37" s="289"/>
      <c r="AT37" s="289"/>
      <c r="AU37" s="289"/>
      <c r="AV37" s="289"/>
      <c r="AW37" s="289"/>
      <c r="AX37" s="289"/>
      <c r="AY37" s="289"/>
      <c r="AZ37" s="289"/>
      <c r="BA37" s="289"/>
      <c r="BB37" s="289"/>
      <c r="BC37" s="289"/>
      <c r="BD37" s="289"/>
      <c r="BE37" s="289"/>
      <c r="BF37" s="289"/>
      <c r="BG37" s="289"/>
      <c r="BH37" s="289"/>
      <c r="BI37" s="289"/>
      <c r="BJ37" s="289"/>
      <c r="BK37" s="289"/>
      <c r="BL37" s="289"/>
      <c r="BM37" s="289"/>
      <c r="BN37" s="289"/>
      <c r="BO37" s="289"/>
      <c r="BP37" s="289"/>
      <c r="BQ37" s="290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</row>
    <row r="38" spans="1:85" ht="12.75" customHeight="1" x14ac:dyDescent="0.2">
      <c r="A38" s="333" t="s">
        <v>234</v>
      </c>
      <c r="B38" s="334"/>
      <c r="C38" s="334"/>
      <c r="D38" s="334"/>
      <c r="E38" s="334"/>
      <c r="F38" s="334"/>
      <c r="G38" s="334"/>
      <c r="H38" s="399"/>
      <c r="I38" s="399"/>
      <c r="J38" s="399"/>
      <c r="K38" s="399"/>
      <c r="L38" s="399"/>
      <c r="M38" s="335" t="s">
        <v>235</v>
      </c>
      <c r="N38" s="336"/>
      <c r="O38" s="336"/>
      <c r="P38" s="336"/>
      <c r="Q38" s="337"/>
      <c r="R38" s="42"/>
      <c r="S38" s="333" t="s">
        <v>234</v>
      </c>
      <c r="T38" s="334"/>
      <c r="U38" s="334"/>
      <c r="V38" s="334"/>
      <c r="W38" s="334"/>
      <c r="X38" s="334"/>
      <c r="Y38" s="334"/>
      <c r="Z38" s="399"/>
      <c r="AA38" s="399"/>
      <c r="AB38" s="399"/>
      <c r="AC38" s="399"/>
      <c r="AD38" s="399"/>
      <c r="AE38" s="335" t="s">
        <v>235</v>
      </c>
      <c r="AF38" s="336"/>
      <c r="AG38" s="336"/>
      <c r="AH38" s="336"/>
      <c r="AI38" s="337"/>
      <c r="AJ38" s="44"/>
      <c r="AK38" s="287"/>
      <c r="AL38" s="288"/>
      <c r="AM38" s="296">
        <v>3</v>
      </c>
      <c r="AN38" s="296"/>
      <c r="AO38" s="289" t="s">
        <v>248</v>
      </c>
      <c r="AP38" s="289"/>
      <c r="AQ38" s="289"/>
      <c r="AR38" s="289"/>
      <c r="AS38" s="289"/>
      <c r="AT38" s="289"/>
      <c r="AU38" s="289"/>
      <c r="AV38" s="289"/>
      <c r="AW38" s="289"/>
      <c r="AX38" s="289"/>
      <c r="AY38" s="289"/>
      <c r="AZ38" s="289"/>
      <c r="BA38" s="289"/>
      <c r="BB38" s="289"/>
      <c r="BC38" s="289"/>
      <c r="BD38" s="289"/>
      <c r="BE38" s="289"/>
      <c r="BF38" s="289"/>
      <c r="BG38" s="289"/>
      <c r="BH38" s="289"/>
      <c r="BI38" s="289"/>
      <c r="BJ38" s="289"/>
      <c r="BK38" s="289"/>
      <c r="BL38" s="289"/>
      <c r="BM38" s="289"/>
      <c r="BN38" s="289"/>
      <c r="BO38" s="289"/>
      <c r="BP38" s="289"/>
      <c r="BQ38" s="290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</row>
    <row r="39" spans="1:85" ht="12" customHeight="1" x14ac:dyDescent="0.2">
      <c r="A39" s="333" t="s">
        <v>236</v>
      </c>
      <c r="B39" s="334"/>
      <c r="C39" s="334"/>
      <c r="D39" s="334"/>
      <c r="E39" s="334"/>
      <c r="F39" s="334"/>
      <c r="G39" s="334"/>
      <c r="H39" s="335" t="s">
        <v>235</v>
      </c>
      <c r="I39" s="336"/>
      <c r="J39" s="336"/>
      <c r="K39" s="336"/>
      <c r="L39" s="336"/>
      <c r="M39" s="336" t="str">
        <f>IF(H35&lt;&gt;"---",IF(H38*H35&lt;&gt;0,H38*H35, ""),"---")</f>
        <v/>
      </c>
      <c r="N39" s="336"/>
      <c r="O39" s="336"/>
      <c r="P39" s="336"/>
      <c r="Q39" s="337"/>
      <c r="R39" s="42"/>
      <c r="S39" s="333" t="s">
        <v>236</v>
      </c>
      <c r="T39" s="334"/>
      <c r="U39" s="334"/>
      <c r="V39" s="334"/>
      <c r="W39" s="334"/>
      <c r="X39" s="334"/>
      <c r="Y39" s="334"/>
      <c r="Z39" s="335" t="s">
        <v>235</v>
      </c>
      <c r="AA39" s="336"/>
      <c r="AB39" s="336"/>
      <c r="AC39" s="336"/>
      <c r="AD39" s="336"/>
      <c r="AE39" s="336" t="str">
        <f>IF(Z35&lt;&gt;"---",IF(Z38*Z35&lt;&gt;0,Z38*Z35, ""),"---")</f>
        <v/>
      </c>
      <c r="AF39" s="336"/>
      <c r="AG39" s="336"/>
      <c r="AH39" s="336"/>
      <c r="AI39" s="337"/>
      <c r="AJ39" s="44"/>
      <c r="AK39" s="287"/>
      <c r="AL39" s="288"/>
      <c r="AM39" s="296">
        <v>4</v>
      </c>
      <c r="AN39" s="296"/>
      <c r="AO39" s="289" t="s">
        <v>250</v>
      </c>
      <c r="AP39" s="289"/>
      <c r="AQ39" s="289"/>
      <c r="AR39" s="289"/>
      <c r="AS39" s="289"/>
      <c r="AT39" s="289"/>
      <c r="AU39" s="289"/>
      <c r="AV39" s="289"/>
      <c r="AW39" s="289"/>
      <c r="AX39" s="289"/>
      <c r="AY39" s="289"/>
      <c r="AZ39" s="289"/>
      <c r="BA39" s="289"/>
      <c r="BB39" s="289"/>
      <c r="BC39" s="289"/>
      <c r="BD39" s="289"/>
      <c r="BE39" s="289"/>
      <c r="BF39" s="289"/>
      <c r="BG39" s="289"/>
      <c r="BH39" s="289"/>
      <c r="BI39" s="289"/>
      <c r="BJ39" s="289"/>
      <c r="BK39" s="289"/>
      <c r="BL39" s="289"/>
      <c r="BM39" s="289"/>
      <c r="BN39" s="289"/>
      <c r="BO39" s="289"/>
      <c r="BP39" s="289"/>
      <c r="BQ39" s="290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</row>
    <row r="40" spans="1:85" ht="12" x14ac:dyDescent="0.2">
      <c r="A40" s="333" t="s">
        <v>237</v>
      </c>
      <c r="B40" s="334"/>
      <c r="C40" s="334"/>
      <c r="D40" s="334"/>
      <c r="E40" s="334"/>
      <c r="F40" s="334"/>
      <c r="G40" s="334"/>
      <c r="H40" s="335" t="s">
        <v>235</v>
      </c>
      <c r="I40" s="336"/>
      <c r="J40" s="336"/>
      <c r="K40" s="336"/>
      <c r="L40" s="336"/>
      <c r="M40" s="336" t="str">
        <f>IF(AT10="Single Phase",AN5,IF(AT10="Three Phase",IF(MOD(AN5,1)=0,AN5&amp;".0",AN5)&amp;", "&amp;IF(MOD(AN6,1)=0,AN6&amp;".0",AN6)&amp;", "&amp;IF(MOD(AN7,1)=0,AN7&amp;".0",AN7),""))</f>
        <v/>
      </c>
      <c r="N40" s="336"/>
      <c r="O40" s="336"/>
      <c r="P40" s="336"/>
      <c r="Q40" s="337"/>
      <c r="R40" s="42"/>
      <c r="S40" s="333" t="s">
        <v>237</v>
      </c>
      <c r="T40" s="334"/>
      <c r="U40" s="334"/>
      <c r="V40" s="334"/>
      <c r="W40" s="334"/>
      <c r="X40" s="334"/>
      <c r="Y40" s="334"/>
      <c r="Z40" s="335" t="s">
        <v>235</v>
      </c>
      <c r="AA40" s="336"/>
      <c r="AB40" s="336"/>
      <c r="AC40" s="336"/>
      <c r="AD40" s="336"/>
      <c r="AE40" s="336" t="str">
        <f>IF(AT19="Single Phase",AN14,IF(AT19="Three Phase",IF(MOD(AN14,1)=0,AN14&amp;".0",AN14)&amp;", "&amp;IF(MOD(AN15,1)=0,AN15&amp;".0",AN15)&amp;", "&amp;IF(MOD(AN16,1)=0,AN16&amp;".0",AN16),""))</f>
        <v/>
      </c>
      <c r="AF40" s="336"/>
      <c r="AG40" s="336"/>
      <c r="AH40" s="336"/>
      <c r="AI40" s="337"/>
      <c r="AJ40" s="44"/>
      <c r="AK40" s="287"/>
      <c r="AL40" s="288"/>
      <c r="AM40" s="296">
        <v>5</v>
      </c>
      <c r="AN40" s="296"/>
      <c r="AO40" s="289" t="s">
        <v>252</v>
      </c>
      <c r="AP40" s="289"/>
      <c r="AQ40" s="289"/>
      <c r="AR40" s="289"/>
      <c r="AS40" s="289"/>
      <c r="AT40" s="289"/>
      <c r="AU40" s="289"/>
      <c r="AV40" s="289"/>
      <c r="AW40" s="289"/>
      <c r="AX40" s="289"/>
      <c r="AY40" s="289"/>
      <c r="AZ40" s="289"/>
      <c r="BA40" s="289"/>
      <c r="BB40" s="289"/>
      <c r="BC40" s="289"/>
      <c r="BD40" s="289"/>
      <c r="BE40" s="289"/>
      <c r="BF40" s="289"/>
      <c r="BG40" s="289"/>
      <c r="BH40" s="289"/>
      <c r="BI40" s="289"/>
      <c r="BJ40" s="289"/>
      <c r="BK40" s="289"/>
      <c r="BL40" s="289"/>
      <c r="BM40" s="289"/>
      <c r="BN40" s="289"/>
      <c r="BO40" s="289"/>
      <c r="BP40" s="289"/>
      <c r="BQ40" s="290"/>
      <c r="BR40" s="83"/>
      <c r="BS40" s="83"/>
      <c r="BT40" s="83"/>
      <c r="BU40" s="83"/>
      <c r="BV40" s="83"/>
      <c r="BW40" s="83"/>
      <c r="BX40" s="83"/>
      <c r="BY40" s="83"/>
      <c r="BZ40" s="83"/>
      <c r="CA40" s="83"/>
      <c r="CB40" s="44"/>
    </row>
    <row r="41" spans="1:85" ht="12.75" thickBot="1" x14ac:dyDescent="0.25">
      <c r="A41" s="347" t="s">
        <v>171</v>
      </c>
      <c r="B41" s="348"/>
      <c r="C41" s="348"/>
      <c r="D41" s="348"/>
      <c r="E41" s="348"/>
      <c r="F41" s="348"/>
      <c r="G41" s="348"/>
      <c r="H41" s="555"/>
      <c r="I41" s="555"/>
      <c r="J41" s="555"/>
      <c r="K41" s="555"/>
      <c r="L41" s="555"/>
      <c r="M41" s="350" t="str">
        <f>IF(AT10="Single Phase",AQ5,IF(AT10="Three Phase",AQ5 &amp;", " &amp;AQ6 &amp; ", " &amp;AQ7,""))</f>
        <v/>
      </c>
      <c r="N41" s="351"/>
      <c r="O41" s="351"/>
      <c r="P41" s="351"/>
      <c r="Q41" s="352"/>
      <c r="R41" s="42"/>
      <c r="S41" s="347" t="s">
        <v>171</v>
      </c>
      <c r="T41" s="348"/>
      <c r="U41" s="348"/>
      <c r="V41" s="348"/>
      <c r="W41" s="348"/>
      <c r="X41" s="348"/>
      <c r="Y41" s="348"/>
      <c r="Z41" s="349"/>
      <c r="AA41" s="349"/>
      <c r="AB41" s="349"/>
      <c r="AC41" s="349"/>
      <c r="AD41" s="349"/>
      <c r="AE41" s="350" t="str">
        <f>IF(AT19="Single Phase",AQ14,IF(AT19="Three Phase",AQ14 &amp;", " &amp;AQ15 &amp; ", " &amp;AQ16,""))</f>
        <v/>
      </c>
      <c r="AF41" s="351"/>
      <c r="AG41" s="351"/>
      <c r="AH41" s="351"/>
      <c r="AI41" s="352"/>
      <c r="AJ41" s="44"/>
      <c r="AK41" s="287"/>
      <c r="AL41" s="288"/>
      <c r="AM41" s="296">
        <v>6</v>
      </c>
      <c r="AN41" s="296"/>
      <c r="AO41" s="289" t="s">
        <v>254</v>
      </c>
      <c r="AP41" s="289"/>
      <c r="AQ41" s="289"/>
      <c r="AR41" s="289"/>
      <c r="AS41" s="289"/>
      <c r="AT41" s="289"/>
      <c r="AU41" s="289"/>
      <c r="AV41" s="289"/>
      <c r="AW41" s="289"/>
      <c r="AX41" s="289"/>
      <c r="AY41" s="289"/>
      <c r="AZ41" s="289"/>
      <c r="BA41" s="289"/>
      <c r="BB41" s="289"/>
      <c r="BC41" s="289"/>
      <c r="BD41" s="289"/>
      <c r="BE41" s="289"/>
      <c r="BF41" s="289"/>
      <c r="BG41" s="289"/>
      <c r="BH41" s="289"/>
      <c r="BI41" s="289"/>
      <c r="BJ41" s="289"/>
      <c r="BK41" s="289"/>
      <c r="BL41" s="289"/>
      <c r="BM41" s="289"/>
      <c r="BN41" s="289"/>
      <c r="BO41" s="289"/>
      <c r="BP41" s="289"/>
      <c r="BQ41" s="290"/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44"/>
    </row>
    <row r="42" spans="1:85" ht="12.6" customHeight="1" thickBot="1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4"/>
      <c r="AK42" s="287"/>
      <c r="AL42" s="288"/>
      <c r="AM42" s="296">
        <v>7</v>
      </c>
      <c r="AN42" s="296"/>
      <c r="AO42" s="289" t="s">
        <v>257</v>
      </c>
      <c r="AP42" s="289"/>
      <c r="AQ42" s="289"/>
      <c r="AR42" s="289"/>
      <c r="AS42" s="289"/>
      <c r="AT42" s="289"/>
      <c r="AU42" s="289"/>
      <c r="AV42" s="289"/>
      <c r="AW42" s="289"/>
      <c r="AX42" s="289"/>
      <c r="AY42" s="289"/>
      <c r="AZ42" s="289"/>
      <c r="BA42" s="289"/>
      <c r="BB42" s="289"/>
      <c r="BC42" s="289"/>
      <c r="BD42" s="289"/>
      <c r="BE42" s="289"/>
      <c r="BF42" s="289"/>
      <c r="BG42" s="289"/>
      <c r="BH42" s="289"/>
      <c r="BI42" s="289"/>
      <c r="BJ42" s="289"/>
      <c r="BK42" s="289"/>
      <c r="BL42" s="289"/>
      <c r="BM42" s="289"/>
      <c r="BN42" s="289"/>
      <c r="BO42" s="289"/>
      <c r="BP42" s="289"/>
      <c r="BQ42" s="290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44"/>
    </row>
    <row r="43" spans="1:85" ht="12" customHeight="1" thickBot="1" x14ac:dyDescent="0.25">
      <c r="A43" s="314" t="s">
        <v>204</v>
      </c>
      <c r="B43" s="315"/>
      <c r="C43" s="315"/>
      <c r="D43" s="315"/>
      <c r="E43" s="315"/>
      <c r="F43" s="315"/>
      <c r="G43" s="315"/>
      <c r="H43" s="315"/>
      <c r="I43" s="315"/>
      <c r="J43" s="315"/>
      <c r="K43" s="57" t="s">
        <v>205</v>
      </c>
      <c r="L43" s="315" t="str">
        <f>IF(G31&lt;&gt;0,G31,"")</f>
        <v/>
      </c>
      <c r="M43" s="315"/>
      <c r="N43" s="315"/>
      <c r="O43" s="315"/>
      <c r="P43" s="315"/>
      <c r="Q43" s="316"/>
      <c r="R43" s="42"/>
      <c r="S43" s="314" t="s">
        <v>204</v>
      </c>
      <c r="T43" s="315"/>
      <c r="U43" s="315"/>
      <c r="V43" s="315"/>
      <c r="W43" s="315"/>
      <c r="X43" s="315"/>
      <c r="Y43" s="315"/>
      <c r="Z43" s="315"/>
      <c r="AA43" s="315"/>
      <c r="AB43" s="315"/>
      <c r="AC43" s="57" t="s">
        <v>205</v>
      </c>
      <c r="AD43" s="315" t="str">
        <f>IF(Y31&lt;&gt;0,Y31,"")</f>
        <v/>
      </c>
      <c r="AE43" s="315"/>
      <c r="AF43" s="315"/>
      <c r="AG43" s="315"/>
      <c r="AH43" s="315"/>
      <c r="AI43" s="316"/>
      <c r="AJ43" s="44"/>
      <c r="AK43" s="287"/>
      <c r="AL43" s="288"/>
      <c r="AM43" s="296">
        <v>8</v>
      </c>
      <c r="AN43" s="296"/>
      <c r="AO43" s="289" t="s">
        <v>259</v>
      </c>
      <c r="AP43" s="289"/>
      <c r="AQ43" s="289"/>
      <c r="AR43" s="289"/>
      <c r="AS43" s="289"/>
      <c r="AT43" s="289"/>
      <c r="AU43" s="289"/>
      <c r="AV43" s="289"/>
      <c r="AW43" s="289"/>
      <c r="AX43" s="289"/>
      <c r="AY43" s="289"/>
      <c r="AZ43" s="289"/>
      <c r="BA43" s="289"/>
      <c r="BB43" s="289"/>
      <c r="BC43" s="289"/>
      <c r="BD43" s="289"/>
      <c r="BE43" s="289"/>
      <c r="BF43" s="289"/>
      <c r="BG43" s="289"/>
      <c r="BH43" s="289"/>
      <c r="BI43" s="289"/>
      <c r="BJ43" s="289"/>
      <c r="BK43" s="289"/>
      <c r="BL43" s="289"/>
      <c r="BM43" s="289"/>
      <c r="BN43" s="289"/>
      <c r="BO43" s="289"/>
      <c r="BP43" s="289"/>
      <c r="BQ43" s="290"/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44"/>
    </row>
    <row r="44" spans="1:85" ht="12" customHeight="1" thickTop="1" x14ac:dyDescent="0.2">
      <c r="A44" s="360" t="s">
        <v>209</v>
      </c>
      <c r="B44" s="361"/>
      <c r="C44" s="361"/>
      <c r="D44" s="361"/>
      <c r="E44" s="361"/>
      <c r="F44" s="361"/>
      <c r="G44" s="361"/>
      <c r="H44" s="441"/>
      <c r="I44" s="442"/>
      <c r="J44" s="442"/>
      <c r="K44" s="442"/>
      <c r="L44" s="442"/>
      <c r="M44" s="442"/>
      <c r="N44" s="442"/>
      <c r="O44" s="442"/>
      <c r="P44" s="442"/>
      <c r="Q44" s="443"/>
      <c r="R44" s="42"/>
      <c r="S44" s="360" t="s">
        <v>209</v>
      </c>
      <c r="T44" s="361"/>
      <c r="U44" s="361"/>
      <c r="V44" s="361"/>
      <c r="W44" s="361"/>
      <c r="X44" s="361"/>
      <c r="Y44" s="361"/>
      <c r="Z44" s="441"/>
      <c r="AA44" s="442"/>
      <c r="AB44" s="442"/>
      <c r="AC44" s="442"/>
      <c r="AD44" s="442"/>
      <c r="AE44" s="442"/>
      <c r="AF44" s="442"/>
      <c r="AG44" s="442"/>
      <c r="AH44" s="442"/>
      <c r="AI44" s="443"/>
      <c r="AJ44" s="44"/>
      <c r="AK44" s="287"/>
      <c r="AL44" s="288"/>
      <c r="AM44" s="296">
        <v>9</v>
      </c>
      <c r="AN44" s="296"/>
      <c r="AO44" s="289" t="s">
        <v>261</v>
      </c>
      <c r="AP44" s="289"/>
      <c r="AQ44" s="289"/>
      <c r="AR44" s="289"/>
      <c r="AS44" s="289"/>
      <c r="AT44" s="289"/>
      <c r="AU44" s="289"/>
      <c r="AV44" s="289"/>
      <c r="AW44" s="289"/>
      <c r="AX44" s="289"/>
      <c r="AY44" s="289"/>
      <c r="AZ44" s="289"/>
      <c r="BA44" s="289"/>
      <c r="BB44" s="289"/>
      <c r="BC44" s="289"/>
      <c r="BD44" s="289"/>
      <c r="BE44" s="289"/>
      <c r="BF44" s="289"/>
      <c r="BG44" s="289"/>
      <c r="BH44" s="289"/>
      <c r="BI44" s="289"/>
      <c r="BJ44" s="289"/>
      <c r="BK44" s="289"/>
      <c r="BL44" s="289"/>
      <c r="BM44" s="289"/>
      <c r="BN44" s="289"/>
      <c r="BO44" s="289"/>
      <c r="BP44" s="289"/>
      <c r="BQ44" s="290"/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44"/>
    </row>
    <row r="45" spans="1:85" ht="12" customHeight="1" x14ac:dyDescent="0.2">
      <c r="A45" s="455" t="s">
        <v>212</v>
      </c>
      <c r="B45" s="456"/>
      <c r="C45" s="456"/>
      <c r="D45" s="456"/>
      <c r="E45" s="456"/>
      <c r="F45" s="456"/>
      <c r="G45" s="456"/>
      <c r="H45" s="413"/>
      <c r="I45" s="414"/>
      <c r="J45" s="414"/>
      <c r="K45" s="414"/>
      <c r="L45" s="414"/>
      <c r="M45" s="414"/>
      <c r="N45" s="414"/>
      <c r="O45" s="414"/>
      <c r="P45" s="414"/>
      <c r="Q45" s="415"/>
      <c r="R45" s="42"/>
      <c r="S45" s="455" t="s">
        <v>212</v>
      </c>
      <c r="T45" s="456"/>
      <c r="U45" s="456"/>
      <c r="V45" s="456"/>
      <c r="W45" s="456"/>
      <c r="X45" s="456"/>
      <c r="Y45" s="456"/>
      <c r="Z45" s="413"/>
      <c r="AA45" s="414"/>
      <c r="AB45" s="414"/>
      <c r="AC45" s="414"/>
      <c r="AD45" s="414"/>
      <c r="AE45" s="414"/>
      <c r="AF45" s="414"/>
      <c r="AG45" s="414"/>
      <c r="AH45" s="414"/>
      <c r="AI45" s="415"/>
      <c r="AJ45" s="44"/>
      <c r="AK45" s="287"/>
      <c r="AL45" s="288"/>
      <c r="AM45" s="296">
        <v>10</v>
      </c>
      <c r="AN45" s="296"/>
      <c r="AO45" s="289" t="s">
        <v>264</v>
      </c>
      <c r="AP45" s="289"/>
      <c r="AQ45" s="289"/>
      <c r="AR45" s="289"/>
      <c r="AS45" s="289"/>
      <c r="AT45" s="289"/>
      <c r="AU45" s="289"/>
      <c r="AV45" s="289"/>
      <c r="AW45" s="289"/>
      <c r="AX45" s="289"/>
      <c r="AY45" s="289"/>
      <c r="AZ45" s="289"/>
      <c r="BA45" s="289"/>
      <c r="BB45" s="289"/>
      <c r="BC45" s="289"/>
      <c r="BD45" s="289"/>
      <c r="BE45" s="289"/>
      <c r="BF45" s="289"/>
      <c r="BG45" s="289"/>
      <c r="BH45" s="289"/>
      <c r="BI45" s="289"/>
      <c r="BJ45" s="289"/>
      <c r="BK45" s="289"/>
      <c r="BL45" s="289"/>
      <c r="BM45" s="289"/>
      <c r="BN45" s="289"/>
      <c r="BO45" s="289"/>
      <c r="BP45" s="289"/>
      <c r="BQ45" s="290"/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44"/>
    </row>
    <row r="46" spans="1:85" ht="12" customHeight="1" x14ac:dyDescent="0.2">
      <c r="A46" s="333" t="s">
        <v>214</v>
      </c>
      <c r="B46" s="334"/>
      <c r="C46" s="334"/>
      <c r="D46" s="334"/>
      <c r="E46" s="334"/>
      <c r="F46" s="334"/>
      <c r="G46" s="334"/>
      <c r="H46" s="422"/>
      <c r="I46" s="422"/>
      <c r="J46" s="422"/>
      <c r="K46" s="423" t="s">
        <v>215</v>
      </c>
      <c r="L46" s="424"/>
      <c r="M46" s="422"/>
      <c r="N46" s="422"/>
      <c r="O46" s="422"/>
      <c r="P46" s="423" t="s">
        <v>216</v>
      </c>
      <c r="Q46" s="425"/>
      <c r="R46" s="42"/>
      <c r="S46" s="333" t="s">
        <v>214</v>
      </c>
      <c r="T46" s="334"/>
      <c r="U46" s="334"/>
      <c r="V46" s="334"/>
      <c r="W46" s="334"/>
      <c r="X46" s="334"/>
      <c r="Y46" s="334"/>
      <c r="Z46" s="422"/>
      <c r="AA46" s="422"/>
      <c r="AB46" s="422"/>
      <c r="AC46" s="423" t="s">
        <v>215</v>
      </c>
      <c r="AD46" s="424"/>
      <c r="AE46" s="422"/>
      <c r="AF46" s="422"/>
      <c r="AG46" s="422"/>
      <c r="AH46" s="423" t="s">
        <v>216</v>
      </c>
      <c r="AI46" s="425"/>
      <c r="AJ46" s="44"/>
      <c r="AK46" s="287"/>
      <c r="AL46" s="288"/>
      <c r="AM46" s="296">
        <v>11</v>
      </c>
      <c r="AN46" s="296"/>
      <c r="AO46" s="289" t="s">
        <v>265</v>
      </c>
      <c r="AP46" s="289"/>
      <c r="AQ46" s="289"/>
      <c r="AR46" s="289"/>
      <c r="AS46" s="289"/>
      <c r="AT46" s="289"/>
      <c r="AU46" s="289"/>
      <c r="AV46" s="289"/>
      <c r="AW46" s="289"/>
      <c r="AX46" s="289"/>
      <c r="AY46" s="289"/>
      <c r="AZ46" s="289"/>
      <c r="BA46" s="289"/>
      <c r="BB46" s="289"/>
      <c r="BC46" s="289"/>
      <c r="BD46" s="289"/>
      <c r="BE46" s="289"/>
      <c r="BF46" s="289"/>
      <c r="BG46" s="289"/>
      <c r="BH46" s="289"/>
      <c r="BI46" s="289"/>
      <c r="BJ46" s="289"/>
      <c r="BK46" s="289"/>
      <c r="BL46" s="289"/>
      <c r="BM46" s="289"/>
      <c r="BN46" s="289"/>
      <c r="BO46" s="289"/>
      <c r="BP46" s="289"/>
      <c r="BQ46" s="290"/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44"/>
    </row>
    <row r="47" spans="1:85" ht="12" customHeight="1" x14ac:dyDescent="0.2">
      <c r="A47" s="333" t="s">
        <v>219</v>
      </c>
      <c r="B47" s="334"/>
      <c r="C47" s="334"/>
      <c r="D47" s="334"/>
      <c r="E47" s="334"/>
      <c r="F47" s="334"/>
      <c r="G47" s="334"/>
      <c r="H47" s="413"/>
      <c r="I47" s="414"/>
      <c r="J47" s="414"/>
      <c r="K47" s="414"/>
      <c r="L47" s="414"/>
      <c r="M47" s="414"/>
      <c r="N47" s="414"/>
      <c r="O47" s="414"/>
      <c r="P47" s="414"/>
      <c r="Q47" s="415"/>
      <c r="R47" s="42"/>
      <c r="S47" s="333" t="s">
        <v>219</v>
      </c>
      <c r="T47" s="334"/>
      <c r="U47" s="334"/>
      <c r="V47" s="334"/>
      <c r="W47" s="334"/>
      <c r="X47" s="334"/>
      <c r="Y47" s="334"/>
      <c r="Z47" s="413"/>
      <c r="AA47" s="414"/>
      <c r="AB47" s="414"/>
      <c r="AC47" s="414"/>
      <c r="AD47" s="414"/>
      <c r="AE47" s="414"/>
      <c r="AF47" s="414"/>
      <c r="AG47" s="414"/>
      <c r="AH47" s="414"/>
      <c r="AI47" s="415"/>
      <c r="AJ47" s="44"/>
      <c r="AK47" s="287"/>
      <c r="AL47" s="288"/>
      <c r="AM47" s="296">
        <v>12</v>
      </c>
      <c r="AN47" s="296"/>
      <c r="AO47" s="289" t="s">
        <v>266</v>
      </c>
      <c r="AP47" s="289"/>
      <c r="AQ47" s="289"/>
      <c r="AR47" s="289"/>
      <c r="AS47" s="289"/>
      <c r="AT47" s="289"/>
      <c r="AU47" s="289"/>
      <c r="AV47" s="289"/>
      <c r="AW47" s="289"/>
      <c r="AX47" s="289"/>
      <c r="AY47" s="289"/>
      <c r="AZ47" s="289"/>
      <c r="BA47" s="289"/>
      <c r="BB47" s="289"/>
      <c r="BC47" s="289"/>
      <c r="BD47" s="289"/>
      <c r="BE47" s="289"/>
      <c r="BF47" s="289"/>
      <c r="BG47" s="289"/>
      <c r="BH47" s="289"/>
      <c r="BI47" s="289"/>
      <c r="BJ47" s="289"/>
      <c r="BK47" s="289"/>
      <c r="BL47" s="289"/>
      <c r="BM47" s="289"/>
      <c r="BN47" s="289"/>
      <c r="BO47" s="289"/>
      <c r="BP47" s="289"/>
      <c r="BQ47" s="290"/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44"/>
    </row>
    <row r="48" spans="1:85" ht="12" customHeight="1" x14ac:dyDescent="0.2">
      <c r="A48" s="333" t="s">
        <v>220</v>
      </c>
      <c r="B48" s="334"/>
      <c r="C48" s="334"/>
      <c r="D48" s="334"/>
      <c r="E48" s="334"/>
      <c r="F48" s="334"/>
      <c r="G48" s="334"/>
      <c r="H48" s="422"/>
      <c r="I48" s="422"/>
      <c r="J48" s="422"/>
      <c r="K48" s="423" t="s">
        <v>215</v>
      </c>
      <c r="L48" s="424"/>
      <c r="M48" s="422"/>
      <c r="N48" s="422"/>
      <c r="O48" s="422"/>
      <c r="P48" s="423" t="s">
        <v>216</v>
      </c>
      <c r="Q48" s="425"/>
      <c r="R48" s="42"/>
      <c r="S48" s="333" t="s">
        <v>220</v>
      </c>
      <c r="T48" s="334"/>
      <c r="U48" s="334"/>
      <c r="V48" s="334"/>
      <c r="W48" s="334"/>
      <c r="X48" s="334"/>
      <c r="Y48" s="334"/>
      <c r="Z48" s="422"/>
      <c r="AA48" s="422"/>
      <c r="AB48" s="422"/>
      <c r="AC48" s="423" t="s">
        <v>215</v>
      </c>
      <c r="AD48" s="424"/>
      <c r="AE48" s="422"/>
      <c r="AF48" s="422"/>
      <c r="AG48" s="422"/>
      <c r="AH48" s="423" t="s">
        <v>216</v>
      </c>
      <c r="AI48" s="425"/>
      <c r="AJ48" s="44"/>
      <c r="AK48" s="287"/>
      <c r="AL48" s="288"/>
      <c r="AM48" s="296">
        <v>13</v>
      </c>
      <c r="AN48" s="296"/>
      <c r="AO48" s="289" t="s">
        <v>267</v>
      </c>
      <c r="AP48" s="289"/>
      <c r="AQ48" s="289"/>
      <c r="AR48" s="289"/>
      <c r="AS48" s="289"/>
      <c r="AT48" s="289"/>
      <c r="AU48" s="289"/>
      <c r="AV48" s="289"/>
      <c r="AW48" s="289"/>
      <c r="AX48" s="289"/>
      <c r="AY48" s="289"/>
      <c r="AZ48" s="289"/>
      <c r="BA48" s="289"/>
      <c r="BB48" s="289"/>
      <c r="BC48" s="289"/>
      <c r="BD48" s="289"/>
      <c r="BE48" s="289"/>
      <c r="BF48" s="289"/>
      <c r="BG48" s="289"/>
      <c r="BH48" s="289"/>
      <c r="BI48" s="289"/>
      <c r="BJ48" s="289"/>
      <c r="BK48" s="289"/>
      <c r="BL48" s="289"/>
      <c r="BM48" s="289"/>
      <c r="BN48" s="289"/>
      <c r="BO48" s="289"/>
      <c r="BP48" s="289"/>
      <c r="BQ48" s="290"/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44"/>
    </row>
    <row r="49" spans="1:80" ht="12" customHeight="1" x14ac:dyDescent="0.2">
      <c r="A49" s="333" t="s">
        <v>222</v>
      </c>
      <c r="B49" s="334"/>
      <c r="C49" s="334"/>
      <c r="D49" s="334"/>
      <c r="E49" s="334"/>
      <c r="F49" s="334"/>
      <c r="G49" s="334"/>
      <c r="H49" s="413"/>
      <c r="I49" s="414"/>
      <c r="J49" s="414"/>
      <c r="K49" s="414"/>
      <c r="L49" s="414"/>
      <c r="M49" s="414"/>
      <c r="N49" s="414"/>
      <c r="O49" s="414"/>
      <c r="P49" s="414"/>
      <c r="Q49" s="415"/>
      <c r="R49" s="42"/>
      <c r="S49" s="333" t="s">
        <v>222</v>
      </c>
      <c r="T49" s="334"/>
      <c r="U49" s="334"/>
      <c r="V49" s="334"/>
      <c r="W49" s="334"/>
      <c r="X49" s="334"/>
      <c r="Y49" s="334"/>
      <c r="Z49" s="413"/>
      <c r="AA49" s="414"/>
      <c r="AB49" s="414"/>
      <c r="AC49" s="414"/>
      <c r="AD49" s="414"/>
      <c r="AE49" s="414"/>
      <c r="AF49" s="414"/>
      <c r="AG49" s="414"/>
      <c r="AH49" s="414"/>
      <c r="AI49" s="415"/>
      <c r="AJ49" s="44"/>
      <c r="AK49" s="287"/>
      <c r="AL49" s="288"/>
      <c r="AM49" s="296">
        <v>14</v>
      </c>
      <c r="AN49" s="296"/>
      <c r="AO49" s="289" t="s">
        <v>268</v>
      </c>
      <c r="AP49" s="289"/>
      <c r="AQ49" s="289"/>
      <c r="AR49" s="289"/>
      <c r="AS49" s="289"/>
      <c r="AT49" s="289"/>
      <c r="AU49" s="289"/>
      <c r="AV49" s="289"/>
      <c r="AW49" s="289"/>
      <c r="AX49" s="289"/>
      <c r="AY49" s="289"/>
      <c r="AZ49" s="289"/>
      <c r="BA49" s="289"/>
      <c r="BB49" s="289"/>
      <c r="BC49" s="289"/>
      <c r="BD49" s="289"/>
      <c r="BE49" s="289"/>
      <c r="BF49" s="289"/>
      <c r="BG49" s="289"/>
      <c r="BH49" s="289"/>
      <c r="BI49" s="289"/>
      <c r="BJ49" s="289"/>
      <c r="BK49" s="289"/>
      <c r="BL49" s="289"/>
      <c r="BM49" s="289"/>
      <c r="BN49" s="289"/>
      <c r="BO49" s="289"/>
      <c r="BP49" s="289"/>
      <c r="BQ49" s="290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44"/>
    </row>
    <row r="50" spans="1:80" ht="12" customHeight="1" x14ac:dyDescent="0.2">
      <c r="A50" s="333" t="s">
        <v>223</v>
      </c>
      <c r="B50" s="334"/>
      <c r="C50" s="334"/>
      <c r="D50" s="334"/>
      <c r="E50" s="334"/>
      <c r="F50" s="334"/>
      <c r="G50" s="334"/>
      <c r="H50" s="416"/>
      <c r="I50" s="417"/>
      <c r="J50" s="417"/>
      <c r="K50" s="417"/>
      <c r="L50" s="418" t="s">
        <v>224</v>
      </c>
      <c r="M50" s="418"/>
      <c r="N50" s="553"/>
      <c r="O50" s="553"/>
      <c r="P50" s="553"/>
      <c r="Q50" s="554"/>
      <c r="R50" s="42"/>
      <c r="S50" s="333" t="s">
        <v>223</v>
      </c>
      <c r="T50" s="334"/>
      <c r="U50" s="334"/>
      <c r="V50" s="334"/>
      <c r="W50" s="334"/>
      <c r="X50" s="334"/>
      <c r="Y50" s="334"/>
      <c r="Z50" s="416"/>
      <c r="AA50" s="417"/>
      <c r="AB50" s="417"/>
      <c r="AC50" s="417"/>
      <c r="AD50" s="418" t="s">
        <v>224</v>
      </c>
      <c r="AE50" s="418"/>
      <c r="AF50" s="419"/>
      <c r="AG50" s="419"/>
      <c r="AH50" s="419"/>
      <c r="AI50" s="420"/>
      <c r="AJ50" s="44"/>
      <c r="AK50" s="287"/>
      <c r="AL50" s="288"/>
      <c r="AM50" s="296">
        <v>15</v>
      </c>
      <c r="AN50" s="296"/>
      <c r="AO50" s="289" t="s">
        <v>269</v>
      </c>
      <c r="AP50" s="289"/>
      <c r="AQ50" s="289"/>
      <c r="AR50" s="289"/>
      <c r="AS50" s="289"/>
      <c r="AT50" s="289"/>
      <c r="AU50" s="289"/>
      <c r="AV50" s="289"/>
      <c r="AW50" s="289"/>
      <c r="AX50" s="289"/>
      <c r="AY50" s="289"/>
      <c r="AZ50" s="289"/>
      <c r="BA50" s="289"/>
      <c r="BB50" s="289"/>
      <c r="BC50" s="289"/>
      <c r="BD50" s="289"/>
      <c r="BE50" s="289"/>
      <c r="BF50" s="289"/>
      <c r="BG50" s="289"/>
      <c r="BH50" s="289"/>
      <c r="BI50" s="289"/>
      <c r="BJ50" s="289"/>
      <c r="BK50" s="289"/>
      <c r="BL50" s="289"/>
      <c r="BM50" s="289"/>
      <c r="BN50" s="289"/>
      <c r="BO50" s="289"/>
      <c r="BP50" s="289"/>
      <c r="BQ50" s="290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44"/>
    </row>
    <row r="51" spans="1:80" ht="12" customHeight="1" thickBot="1" x14ac:dyDescent="0.25">
      <c r="A51" s="347" t="s">
        <v>226</v>
      </c>
      <c r="B51" s="348"/>
      <c r="C51" s="348"/>
      <c r="D51" s="348"/>
      <c r="E51" s="348"/>
      <c r="F51" s="348"/>
      <c r="G51" s="348"/>
      <c r="H51" s="402"/>
      <c r="I51" s="403"/>
      <c r="J51" s="403"/>
      <c r="K51" s="403"/>
      <c r="L51" s="403"/>
      <c r="M51" s="404" t="s">
        <v>227</v>
      </c>
      <c r="N51" s="404"/>
      <c r="O51" s="404"/>
      <c r="P51" s="404"/>
      <c r="Q51" s="405"/>
      <c r="R51" s="42"/>
      <c r="S51" s="347" t="s">
        <v>226</v>
      </c>
      <c r="T51" s="348"/>
      <c r="U51" s="348"/>
      <c r="V51" s="348"/>
      <c r="W51" s="348"/>
      <c r="X51" s="348"/>
      <c r="Y51" s="348"/>
      <c r="Z51" s="402"/>
      <c r="AA51" s="403"/>
      <c r="AB51" s="403"/>
      <c r="AC51" s="403"/>
      <c r="AD51" s="403"/>
      <c r="AE51" s="404" t="s">
        <v>227</v>
      </c>
      <c r="AF51" s="404"/>
      <c r="AG51" s="404"/>
      <c r="AH51" s="404"/>
      <c r="AI51" s="405"/>
      <c r="AJ51" s="44"/>
      <c r="AK51" s="287"/>
      <c r="AL51" s="288"/>
      <c r="AM51" s="296">
        <v>16</v>
      </c>
      <c r="AN51" s="296"/>
      <c r="AO51" s="289" t="s">
        <v>270</v>
      </c>
      <c r="AP51" s="289"/>
      <c r="AQ51" s="289"/>
      <c r="AR51" s="289"/>
      <c r="AS51" s="289"/>
      <c r="AT51" s="289"/>
      <c r="AU51" s="289"/>
      <c r="AV51" s="289"/>
      <c r="AW51" s="289"/>
      <c r="AX51" s="289"/>
      <c r="AY51" s="289"/>
      <c r="AZ51" s="289"/>
      <c r="BA51" s="289"/>
      <c r="BB51" s="289"/>
      <c r="BC51" s="289"/>
      <c r="BD51" s="289"/>
      <c r="BE51" s="289"/>
      <c r="BF51" s="289"/>
      <c r="BG51" s="289"/>
      <c r="BH51" s="289"/>
      <c r="BI51" s="289"/>
      <c r="BJ51" s="289"/>
      <c r="BK51" s="289"/>
      <c r="BL51" s="289"/>
      <c r="BM51" s="289"/>
      <c r="BN51" s="289"/>
      <c r="BO51" s="289"/>
      <c r="BP51" s="289"/>
      <c r="BQ51" s="290"/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44"/>
    </row>
    <row r="52" spans="1:80" ht="12" customHeight="1" x14ac:dyDescent="0.2">
      <c r="A52" s="73"/>
      <c r="B52" s="84"/>
      <c r="C52" s="84"/>
      <c r="D52" s="84"/>
      <c r="E52" s="84"/>
      <c r="F52" s="84"/>
      <c r="G52" s="84"/>
      <c r="H52" s="73"/>
      <c r="I52" s="84"/>
      <c r="J52" s="84"/>
      <c r="K52" s="84"/>
      <c r="L52" s="84"/>
      <c r="M52" s="84"/>
      <c r="N52" s="84"/>
      <c r="O52" s="73"/>
      <c r="P52" s="84"/>
      <c r="Q52" s="84"/>
      <c r="R52" s="84"/>
      <c r="S52" s="84"/>
      <c r="T52" s="73"/>
      <c r="U52" s="84"/>
      <c r="V52" s="84"/>
      <c r="W52" s="73"/>
      <c r="X52" s="84"/>
      <c r="Y52" s="84"/>
      <c r="Z52" s="84"/>
      <c r="AA52" s="73"/>
      <c r="AB52" s="84"/>
      <c r="AC52" s="73"/>
      <c r="AD52" s="84"/>
      <c r="AE52" s="84"/>
      <c r="AF52" s="84"/>
      <c r="AG52" s="84"/>
      <c r="AH52" s="84"/>
      <c r="AI52" s="84"/>
      <c r="AJ52" s="44"/>
      <c r="AK52" s="287"/>
      <c r="AL52" s="288"/>
      <c r="AM52" s="296">
        <v>17</v>
      </c>
      <c r="AN52" s="296"/>
      <c r="AO52" s="289" t="s">
        <v>271</v>
      </c>
      <c r="AP52" s="289"/>
      <c r="AQ52" s="289"/>
      <c r="AR52" s="289"/>
      <c r="AS52" s="289"/>
      <c r="AT52" s="289"/>
      <c r="AU52" s="289"/>
      <c r="AV52" s="289"/>
      <c r="AW52" s="289"/>
      <c r="AX52" s="289"/>
      <c r="AY52" s="289"/>
      <c r="AZ52" s="289"/>
      <c r="BA52" s="289"/>
      <c r="BB52" s="289"/>
      <c r="BC52" s="289"/>
      <c r="BD52" s="289"/>
      <c r="BE52" s="289"/>
      <c r="BF52" s="289"/>
      <c r="BG52" s="289"/>
      <c r="BH52" s="289"/>
      <c r="BI52" s="289"/>
      <c r="BJ52" s="289"/>
      <c r="BK52" s="289"/>
      <c r="BL52" s="289"/>
      <c r="BM52" s="289"/>
      <c r="BN52" s="289"/>
      <c r="BO52" s="289"/>
      <c r="BP52" s="289"/>
      <c r="BQ52" s="290"/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44"/>
    </row>
    <row r="53" spans="1:80" ht="12" customHeight="1" x14ac:dyDescent="0.2">
      <c r="A53" s="85"/>
      <c r="B53" s="42" t="s">
        <v>262</v>
      </c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44"/>
      <c r="AK53" s="287"/>
      <c r="AL53" s="288"/>
      <c r="AM53" s="296">
        <v>18</v>
      </c>
      <c r="AN53" s="296"/>
      <c r="AO53" s="289" t="s">
        <v>272</v>
      </c>
      <c r="AP53" s="289"/>
      <c r="AQ53" s="289"/>
      <c r="AR53" s="289"/>
      <c r="AS53" s="289"/>
      <c r="AT53" s="289"/>
      <c r="AU53" s="289"/>
      <c r="AV53" s="289"/>
      <c r="AW53" s="289"/>
      <c r="AX53" s="289"/>
      <c r="AY53" s="289"/>
      <c r="AZ53" s="289"/>
      <c r="BA53" s="289"/>
      <c r="BB53" s="289"/>
      <c r="BC53" s="289"/>
      <c r="BD53" s="289"/>
      <c r="BE53" s="289"/>
      <c r="BF53" s="289"/>
      <c r="BG53" s="289"/>
      <c r="BH53" s="289"/>
      <c r="BI53" s="289"/>
      <c r="BJ53" s="289"/>
      <c r="BK53" s="289"/>
      <c r="BL53" s="289"/>
      <c r="BM53" s="289"/>
      <c r="BN53" s="289"/>
      <c r="BO53" s="289"/>
      <c r="BP53" s="289"/>
      <c r="BQ53" s="290"/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44"/>
    </row>
    <row r="54" spans="1:80" ht="12" customHeight="1" x14ac:dyDescent="0.2">
      <c r="A54" s="73"/>
      <c r="B54" s="281"/>
      <c r="C54" s="281"/>
      <c r="D54" s="281"/>
      <c r="E54" s="281"/>
      <c r="F54" s="281"/>
      <c r="G54" s="281"/>
      <c r="H54" s="281"/>
      <c r="I54" s="281"/>
      <c r="J54" s="281"/>
      <c r="K54" s="281"/>
      <c r="L54" s="281"/>
      <c r="M54" s="281"/>
      <c r="N54" s="281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  <c r="AF54" s="281"/>
      <c r="AG54" s="281"/>
      <c r="AH54" s="281"/>
      <c r="AI54" s="281"/>
      <c r="AJ54" s="44"/>
      <c r="AK54" s="287"/>
      <c r="AL54" s="288"/>
      <c r="AM54" s="296">
        <v>19</v>
      </c>
      <c r="AN54" s="296"/>
      <c r="AO54" s="289" t="s">
        <v>273</v>
      </c>
      <c r="AP54" s="289"/>
      <c r="AQ54" s="289"/>
      <c r="AR54" s="289"/>
      <c r="AS54" s="289"/>
      <c r="AT54" s="289"/>
      <c r="AU54" s="289"/>
      <c r="AV54" s="289"/>
      <c r="AW54" s="289"/>
      <c r="AX54" s="289"/>
      <c r="AY54" s="289"/>
      <c r="AZ54" s="289"/>
      <c r="BA54" s="289"/>
      <c r="BB54" s="289"/>
      <c r="BC54" s="289"/>
      <c r="BD54" s="289"/>
      <c r="BE54" s="289"/>
      <c r="BF54" s="289"/>
      <c r="BG54" s="289"/>
      <c r="BH54" s="289"/>
      <c r="BI54" s="289"/>
      <c r="BJ54" s="289"/>
      <c r="BK54" s="289"/>
      <c r="BL54" s="289"/>
      <c r="BM54" s="289"/>
      <c r="BN54" s="289"/>
      <c r="BO54" s="289"/>
      <c r="BP54" s="289"/>
      <c r="BQ54" s="290"/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44"/>
    </row>
    <row r="55" spans="1:80" ht="12" customHeight="1" x14ac:dyDescent="0.2">
      <c r="A55" s="73"/>
      <c r="B55" s="281"/>
      <c r="C55" s="281"/>
      <c r="D55" s="281"/>
      <c r="E55" s="281"/>
      <c r="F55" s="281"/>
      <c r="G55" s="281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  <c r="AF55" s="281"/>
      <c r="AG55" s="281"/>
      <c r="AH55" s="281"/>
      <c r="AI55" s="281"/>
      <c r="AJ55" s="44"/>
      <c r="AK55" s="287"/>
      <c r="AL55" s="288"/>
      <c r="AM55" s="296">
        <v>20</v>
      </c>
      <c r="AN55" s="296"/>
      <c r="AO55" s="289" t="s">
        <v>275</v>
      </c>
      <c r="AP55" s="289"/>
      <c r="AQ55" s="289"/>
      <c r="AR55" s="289"/>
      <c r="AS55" s="289"/>
      <c r="AT55" s="289"/>
      <c r="AU55" s="289"/>
      <c r="AV55" s="289"/>
      <c r="AW55" s="289"/>
      <c r="AX55" s="289"/>
      <c r="AY55" s="289"/>
      <c r="AZ55" s="289"/>
      <c r="BA55" s="289"/>
      <c r="BB55" s="289"/>
      <c r="BC55" s="289"/>
      <c r="BD55" s="289"/>
      <c r="BE55" s="289"/>
      <c r="BF55" s="289"/>
      <c r="BG55" s="289"/>
      <c r="BH55" s="289"/>
      <c r="BI55" s="289"/>
      <c r="BJ55" s="289"/>
      <c r="BK55" s="289"/>
      <c r="BL55" s="289"/>
      <c r="BM55" s="289"/>
      <c r="BN55" s="289"/>
      <c r="BO55" s="289"/>
      <c r="BP55" s="289"/>
      <c r="BQ55" s="290"/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44"/>
    </row>
    <row r="56" spans="1:80" ht="12" customHeight="1" thickBot="1" x14ac:dyDescent="0.25">
      <c r="A56" s="73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44"/>
      <c r="AK56" s="552" t="s">
        <v>274</v>
      </c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4"/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44"/>
    </row>
    <row r="57" spans="1:80" ht="12" customHeight="1" x14ac:dyDescent="0.2">
      <c r="A57" s="73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54"/>
      <c r="BP57" s="54"/>
      <c r="BQ57" s="54"/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44"/>
    </row>
    <row r="58" spans="1:80" ht="12" customHeight="1" x14ac:dyDescent="0.2">
      <c r="A58" s="73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44"/>
    </row>
    <row r="59" spans="1:80" ht="12" customHeight="1" x14ac:dyDescent="0.2">
      <c r="A59" s="73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44"/>
    </row>
    <row r="60" spans="1:80" ht="12" customHeight="1" x14ac:dyDescent="0.2">
      <c r="A60" s="73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44"/>
    </row>
    <row r="61" spans="1:80" ht="12" customHeight="1" x14ac:dyDescent="0.2">
      <c r="A61" s="71"/>
      <c r="B61" s="551"/>
      <c r="C61" s="551"/>
      <c r="D61" s="551"/>
      <c r="E61" s="551"/>
      <c r="F61" s="551"/>
      <c r="G61" s="551"/>
      <c r="H61" s="551"/>
      <c r="I61" s="551"/>
      <c r="J61" s="551"/>
      <c r="K61" s="551"/>
      <c r="L61" s="551"/>
      <c r="M61" s="551"/>
      <c r="N61" s="551"/>
      <c r="O61" s="551"/>
      <c r="P61" s="551"/>
      <c r="Q61" s="551"/>
      <c r="R61" s="551"/>
      <c r="S61" s="551"/>
      <c r="T61" s="551"/>
      <c r="U61" s="551"/>
      <c r="V61" s="551"/>
      <c r="W61" s="551"/>
      <c r="X61" s="551"/>
      <c r="Y61" s="551"/>
      <c r="Z61" s="551"/>
      <c r="AA61" s="551"/>
      <c r="AB61" s="551"/>
      <c r="AC61" s="551"/>
      <c r="AD61" s="551"/>
      <c r="AE61" s="551"/>
      <c r="AF61" s="551"/>
      <c r="AG61" s="551"/>
      <c r="AH61" s="551"/>
      <c r="AI61" s="551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44"/>
    </row>
    <row r="62" spans="1:80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</row>
  </sheetData>
  <mergeCells count="395">
    <mergeCell ref="AJ1:CB1"/>
    <mergeCell ref="AK3:BO3"/>
    <mergeCell ref="AK4:AM4"/>
    <mergeCell ref="AN4:AP4"/>
    <mergeCell ref="AQ4:AS4"/>
    <mergeCell ref="AT4:AY4"/>
    <mergeCell ref="AZ4:BG4"/>
    <mergeCell ref="BH4:BO4"/>
    <mergeCell ref="A7:E7"/>
    <mergeCell ref="F7:P7"/>
    <mergeCell ref="T7:X7"/>
    <mergeCell ref="Y7:AI7"/>
    <mergeCell ref="AK7:AM7"/>
    <mergeCell ref="AN7:AP7"/>
    <mergeCell ref="BH5:BO5"/>
    <mergeCell ref="AK6:AM6"/>
    <mergeCell ref="AN6:AP6"/>
    <mergeCell ref="AQ6:AS6"/>
    <mergeCell ref="AT6:AY6"/>
    <mergeCell ref="AZ6:BG6"/>
    <mergeCell ref="BH6:BO6"/>
    <mergeCell ref="M5:AI5"/>
    <mergeCell ref="AK5:AM5"/>
    <mergeCell ref="AN5:AP5"/>
    <mergeCell ref="AQ5:AS5"/>
    <mergeCell ref="AT5:AY5"/>
    <mergeCell ref="AZ5:BG5"/>
    <mergeCell ref="AQ7:AS7"/>
    <mergeCell ref="AT7:AY7"/>
    <mergeCell ref="AZ7:BG7"/>
    <mergeCell ref="BH7:BO7"/>
    <mergeCell ref="AK8:AM8"/>
    <mergeCell ref="AN8:AP8"/>
    <mergeCell ref="AQ8:AS8"/>
    <mergeCell ref="AT8:AY8"/>
    <mergeCell ref="AZ8:BO8"/>
    <mergeCell ref="AZ9:BO10"/>
    <mergeCell ref="AT10:AY10"/>
    <mergeCell ref="A11:P11"/>
    <mergeCell ref="T11:AI11"/>
    <mergeCell ref="A12:F12"/>
    <mergeCell ref="G12:P12"/>
    <mergeCell ref="T12:Y12"/>
    <mergeCell ref="Z12:AD12"/>
    <mergeCell ref="AE12:AI12"/>
    <mergeCell ref="AK12:BO12"/>
    <mergeCell ref="A9:E9"/>
    <mergeCell ref="F9:P9"/>
    <mergeCell ref="T9:X9"/>
    <mergeCell ref="Y9:AI9"/>
    <mergeCell ref="AK9:AS10"/>
    <mergeCell ref="AT9:AY9"/>
    <mergeCell ref="A14:F14"/>
    <mergeCell ref="G14:P14"/>
    <mergeCell ref="T14:Y14"/>
    <mergeCell ref="Z14:AD14"/>
    <mergeCell ref="AE14:AI14"/>
    <mergeCell ref="A13:F13"/>
    <mergeCell ref="G13:P13"/>
    <mergeCell ref="T13:Y13"/>
    <mergeCell ref="Z13:AD13"/>
    <mergeCell ref="AE13:AI13"/>
    <mergeCell ref="AK14:AM14"/>
    <mergeCell ref="AN14:AP14"/>
    <mergeCell ref="AQ14:AS14"/>
    <mergeCell ref="AT14:AY14"/>
    <mergeCell ref="AZ14:BG14"/>
    <mergeCell ref="BH14:BO14"/>
    <mergeCell ref="AN13:AP13"/>
    <mergeCell ref="AQ13:AS13"/>
    <mergeCell ref="AT13:AY13"/>
    <mergeCell ref="AZ13:BG13"/>
    <mergeCell ref="BH13:BO13"/>
    <mergeCell ref="AK13:AM13"/>
    <mergeCell ref="AN15:AP15"/>
    <mergeCell ref="AQ15:AS15"/>
    <mergeCell ref="AT15:AY15"/>
    <mergeCell ref="AZ15:BG15"/>
    <mergeCell ref="BH15:BO15"/>
    <mergeCell ref="A16:F16"/>
    <mergeCell ref="G16:P16"/>
    <mergeCell ref="T16:Y16"/>
    <mergeCell ref="Z16:AB16"/>
    <mergeCell ref="AC16:AD16"/>
    <mergeCell ref="A15:F15"/>
    <mergeCell ref="G15:P15"/>
    <mergeCell ref="T15:Y15"/>
    <mergeCell ref="Z15:AD15"/>
    <mergeCell ref="AE15:AI15"/>
    <mergeCell ref="AK15:AM15"/>
    <mergeCell ref="AK18:AS19"/>
    <mergeCell ref="AT18:AY18"/>
    <mergeCell ref="AZ18:BO19"/>
    <mergeCell ref="A19:I19"/>
    <mergeCell ref="N19:V19"/>
    <mergeCell ref="AA19:AI19"/>
    <mergeCell ref="AT19:AY19"/>
    <mergeCell ref="AZ16:BG16"/>
    <mergeCell ref="BH16:BO16"/>
    <mergeCell ref="T17:Y17"/>
    <mergeCell ref="Z17:AD17"/>
    <mergeCell ref="AE17:AI17"/>
    <mergeCell ref="AK17:AM17"/>
    <mergeCell ref="AN17:AP17"/>
    <mergeCell ref="AQ17:AS17"/>
    <mergeCell ref="AT17:AY17"/>
    <mergeCell ref="AZ17:BO17"/>
    <mergeCell ref="AE16:AG16"/>
    <mergeCell ref="AH16:AI16"/>
    <mergeCell ref="AK16:AM16"/>
    <mergeCell ref="AN16:AP16"/>
    <mergeCell ref="AQ16:AS16"/>
    <mergeCell ref="AT16:AY16"/>
    <mergeCell ref="AA20:AC20"/>
    <mergeCell ref="AD20:AF20"/>
    <mergeCell ref="AG20:AI20"/>
    <mergeCell ref="A21:C21"/>
    <mergeCell ref="D21:F21"/>
    <mergeCell ref="G21:I21"/>
    <mergeCell ref="N21:P21"/>
    <mergeCell ref="Q21:S21"/>
    <mergeCell ref="T21:V21"/>
    <mergeCell ref="AA21:AC21"/>
    <mergeCell ref="A20:C20"/>
    <mergeCell ref="D20:F20"/>
    <mergeCell ref="G20:I20"/>
    <mergeCell ref="N20:P20"/>
    <mergeCell ref="Q20:S20"/>
    <mergeCell ref="T20:V20"/>
    <mergeCell ref="AD21:AF21"/>
    <mergeCell ref="AG21:AI21"/>
    <mergeCell ref="AA23:AC23"/>
    <mergeCell ref="AD23:AF23"/>
    <mergeCell ref="AG23:AI23"/>
    <mergeCell ref="AK21:AW21"/>
    <mergeCell ref="AY21:BK21"/>
    <mergeCell ref="A22:C22"/>
    <mergeCell ref="D22:F22"/>
    <mergeCell ref="G22:I22"/>
    <mergeCell ref="N22:P22"/>
    <mergeCell ref="Q22:S22"/>
    <mergeCell ref="T22:V22"/>
    <mergeCell ref="BH22:BK22"/>
    <mergeCell ref="AA22:AC22"/>
    <mergeCell ref="AD22:AF22"/>
    <mergeCell ref="AG22:AI22"/>
    <mergeCell ref="AK22:AS22"/>
    <mergeCell ref="AT22:AW22"/>
    <mergeCell ref="AY22:BG22"/>
    <mergeCell ref="AY25:BG25"/>
    <mergeCell ref="AK23:AS23"/>
    <mergeCell ref="AT23:AV23"/>
    <mergeCell ref="AY23:BG23"/>
    <mergeCell ref="BH23:BJ23"/>
    <mergeCell ref="A24:C24"/>
    <mergeCell ref="D24:F24"/>
    <mergeCell ref="G24:I24"/>
    <mergeCell ref="N24:P24"/>
    <mergeCell ref="Q24:S24"/>
    <mergeCell ref="T24:V24"/>
    <mergeCell ref="BH24:BK24"/>
    <mergeCell ref="AA24:AC24"/>
    <mergeCell ref="AD24:AF24"/>
    <mergeCell ref="AG24:AI24"/>
    <mergeCell ref="AK24:AS24"/>
    <mergeCell ref="AT24:AW24"/>
    <mergeCell ref="AY24:BG24"/>
    <mergeCell ref="A23:C23"/>
    <mergeCell ref="D23:F23"/>
    <mergeCell ref="G23:I23"/>
    <mergeCell ref="N23:P23"/>
    <mergeCell ref="Q23:S23"/>
    <mergeCell ref="T23:V23"/>
    <mergeCell ref="A27:C27"/>
    <mergeCell ref="D27:F27"/>
    <mergeCell ref="G27:I27"/>
    <mergeCell ref="N27:R27"/>
    <mergeCell ref="S27:T27"/>
    <mergeCell ref="U27:V27"/>
    <mergeCell ref="BH25:BK25"/>
    <mergeCell ref="A26:C26"/>
    <mergeCell ref="D26:F26"/>
    <mergeCell ref="G26:I26"/>
    <mergeCell ref="N26:V26"/>
    <mergeCell ref="AA26:AC26"/>
    <mergeCell ref="AD26:AF26"/>
    <mergeCell ref="AG26:AI26"/>
    <mergeCell ref="AK26:AW27"/>
    <mergeCell ref="AY26:BK27"/>
    <mergeCell ref="A25:C25"/>
    <mergeCell ref="D25:F25"/>
    <mergeCell ref="G25:I25"/>
    <mergeCell ref="AA25:AC25"/>
    <mergeCell ref="AD25:AF25"/>
    <mergeCell ref="AG25:AI25"/>
    <mergeCell ref="AK25:AS25"/>
    <mergeCell ref="AT25:AW25"/>
    <mergeCell ref="U29:V29"/>
    <mergeCell ref="X29:AE29"/>
    <mergeCell ref="AF29:AG29"/>
    <mergeCell ref="AH29:AI29"/>
    <mergeCell ref="AK29:AV29"/>
    <mergeCell ref="AK30:AV33"/>
    <mergeCell ref="A28:L28"/>
    <mergeCell ref="N28:R28"/>
    <mergeCell ref="S28:T28"/>
    <mergeCell ref="U28:V28"/>
    <mergeCell ref="X28:AI28"/>
    <mergeCell ref="A29:H29"/>
    <mergeCell ref="I29:J29"/>
    <mergeCell ref="K29:L29"/>
    <mergeCell ref="N29:R29"/>
    <mergeCell ref="S29:T29"/>
    <mergeCell ref="A33:G33"/>
    <mergeCell ref="H33:Q33"/>
    <mergeCell ref="S33:Y33"/>
    <mergeCell ref="Z33:AI33"/>
    <mergeCell ref="A34:G34"/>
    <mergeCell ref="H34:Q34"/>
    <mergeCell ref="S34:Y34"/>
    <mergeCell ref="Z34:AI34"/>
    <mergeCell ref="A31:E31"/>
    <mergeCell ref="G31:Q31"/>
    <mergeCell ref="S31:W31"/>
    <mergeCell ref="Y31:AI31"/>
    <mergeCell ref="A32:G32"/>
    <mergeCell ref="H32:Q32"/>
    <mergeCell ref="S32:Y32"/>
    <mergeCell ref="Z32:AI32"/>
    <mergeCell ref="A35:G35"/>
    <mergeCell ref="H35:Q35"/>
    <mergeCell ref="S35:Y35"/>
    <mergeCell ref="Z35:AI35"/>
    <mergeCell ref="AK35:BQ35"/>
    <mergeCell ref="A36:G36"/>
    <mergeCell ref="H36:L36"/>
    <mergeCell ref="M36:Q36"/>
    <mergeCell ref="S36:Y36"/>
    <mergeCell ref="Z36:AD36"/>
    <mergeCell ref="AE36:AI36"/>
    <mergeCell ref="AK36:AL36"/>
    <mergeCell ref="AM36:AN36"/>
    <mergeCell ref="AO36:BQ36"/>
    <mergeCell ref="A37:G37"/>
    <mergeCell ref="H37:L37"/>
    <mergeCell ref="M37:Q37"/>
    <mergeCell ref="S37:Y37"/>
    <mergeCell ref="Z37:AD37"/>
    <mergeCell ref="AE37:AI37"/>
    <mergeCell ref="AK37:AL37"/>
    <mergeCell ref="AM37:AN37"/>
    <mergeCell ref="AO37:BQ37"/>
    <mergeCell ref="A38:G38"/>
    <mergeCell ref="H38:L38"/>
    <mergeCell ref="M38:Q38"/>
    <mergeCell ref="S38:Y38"/>
    <mergeCell ref="Z38:AD38"/>
    <mergeCell ref="AE38:AI38"/>
    <mergeCell ref="AK38:AL38"/>
    <mergeCell ref="AM38:AN38"/>
    <mergeCell ref="AO38:BQ38"/>
    <mergeCell ref="A39:G39"/>
    <mergeCell ref="H39:L39"/>
    <mergeCell ref="M39:Q39"/>
    <mergeCell ref="S39:Y39"/>
    <mergeCell ref="Z39:AD39"/>
    <mergeCell ref="AE39:AI39"/>
    <mergeCell ref="AK39:AL39"/>
    <mergeCell ref="AM39:AN39"/>
    <mergeCell ref="AO39:BQ39"/>
    <mergeCell ref="A40:G40"/>
    <mergeCell ref="H40:L40"/>
    <mergeCell ref="M40:Q40"/>
    <mergeCell ref="S40:Y40"/>
    <mergeCell ref="Z40:AD40"/>
    <mergeCell ref="AE40:AI40"/>
    <mergeCell ref="AK40:AL40"/>
    <mergeCell ref="AM40:AN40"/>
    <mergeCell ref="AO40:BQ40"/>
    <mergeCell ref="AK41:AL41"/>
    <mergeCell ref="AM41:AN41"/>
    <mergeCell ref="AO41:BQ41"/>
    <mergeCell ref="AK42:AL42"/>
    <mergeCell ref="AM42:AN42"/>
    <mergeCell ref="AO42:BQ42"/>
    <mergeCell ref="A41:G41"/>
    <mergeCell ref="H41:L41"/>
    <mergeCell ref="M41:Q41"/>
    <mergeCell ref="S41:Y41"/>
    <mergeCell ref="Z41:AD41"/>
    <mergeCell ref="AE41:AI41"/>
    <mergeCell ref="AO43:BQ43"/>
    <mergeCell ref="A44:G44"/>
    <mergeCell ref="H44:Q44"/>
    <mergeCell ref="S44:Y44"/>
    <mergeCell ref="Z44:AI44"/>
    <mergeCell ref="AK44:AL44"/>
    <mergeCell ref="AM44:AN44"/>
    <mergeCell ref="AO44:BQ44"/>
    <mergeCell ref="A43:J43"/>
    <mergeCell ref="L43:Q43"/>
    <mergeCell ref="S43:AB43"/>
    <mergeCell ref="AD43:AI43"/>
    <mergeCell ref="AK43:AL43"/>
    <mergeCell ref="AM43:AN43"/>
    <mergeCell ref="AO45:BQ45"/>
    <mergeCell ref="A46:G46"/>
    <mergeCell ref="H46:J46"/>
    <mergeCell ref="K46:L46"/>
    <mergeCell ref="M46:O46"/>
    <mergeCell ref="P46:Q46"/>
    <mergeCell ref="S46:Y46"/>
    <mergeCell ref="Z46:AB46"/>
    <mergeCell ref="AC46:AD46"/>
    <mergeCell ref="AE46:AG46"/>
    <mergeCell ref="A45:G45"/>
    <mergeCell ref="H45:Q45"/>
    <mergeCell ref="S45:Y45"/>
    <mergeCell ref="Z45:AI45"/>
    <mergeCell ref="AK45:AL45"/>
    <mergeCell ref="AM45:AN45"/>
    <mergeCell ref="AH46:AI46"/>
    <mergeCell ref="AK46:AL46"/>
    <mergeCell ref="AM46:AN46"/>
    <mergeCell ref="AO46:BQ46"/>
    <mergeCell ref="A47:G47"/>
    <mergeCell ref="H47:Q47"/>
    <mergeCell ref="S47:Y47"/>
    <mergeCell ref="Z47:AI47"/>
    <mergeCell ref="AK47:AL47"/>
    <mergeCell ref="AM47:AN47"/>
    <mergeCell ref="AO47:BQ47"/>
    <mergeCell ref="A48:G48"/>
    <mergeCell ref="H48:J48"/>
    <mergeCell ref="K48:L48"/>
    <mergeCell ref="M48:O48"/>
    <mergeCell ref="P48:Q48"/>
    <mergeCell ref="S48:Y48"/>
    <mergeCell ref="Z48:AB48"/>
    <mergeCell ref="AC48:AD48"/>
    <mergeCell ref="AE48:AG48"/>
    <mergeCell ref="AH48:AI48"/>
    <mergeCell ref="AK48:AL48"/>
    <mergeCell ref="AM48:AN48"/>
    <mergeCell ref="AO48:BQ48"/>
    <mergeCell ref="A49:G49"/>
    <mergeCell ref="H49:Q49"/>
    <mergeCell ref="S49:Y49"/>
    <mergeCell ref="Z49:AI49"/>
    <mergeCell ref="AK49:AL49"/>
    <mergeCell ref="AM49:AN49"/>
    <mergeCell ref="AO49:BQ49"/>
    <mergeCell ref="A50:G50"/>
    <mergeCell ref="H50:K50"/>
    <mergeCell ref="L50:M50"/>
    <mergeCell ref="N50:Q50"/>
    <mergeCell ref="S50:Y50"/>
    <mergeCell ref="Z50:AC50"/>
    <mergeCell ref="AD50:AE50"/>
    <mergeCell ref="AF50:AI50"/>
    <mergeCell ref="AK50:AL50"/>
    <mergeCell ref="AM50:AN50"/>
    <mergeCell ref="AO50:BQ50"/>
    <mergeCell ref="AO54:BQ54"/>
    <mergeCell ref="B55:AI55"/>
    <mergeCell ref="AK55:AL55"/>
    <mergeCell ref="AM55:AN55"/>
    <mergeCell ref="AO55:BQ55"/>
    <mergeCell ref="AO51:BQ51"/>
    <mergeCell ref="AK52:AL52"/>
    <mergeCell ref="AM52:AN52"/>
    <mergeCell ref="AO52:BQ52"/>
    <mergeCell ref="AK53:AL53"/>
    <mergeCell ref="AM53:AN53"/>
    <mergeCell ref="AO53:BQ53"/>
    <mergeCell ref="A51:G51"/>
    <mergeCell ref="H51:L51"/>
    <mergeCell ref="M51:Q51"/>
    <mergeCell ref="S51:Y51"/>
    <mergeCell ref="Z51:AD51"/>
    <mergeCell ref="AE51:AI51"/>
    <mergeCell ref="AK51:AL51"/>
    <mergeCell ref="AM51:AN51"/>
    <mergeCell ref="B54:AI54"/>
    <mergeCell ref="AK54:AL54"/>
    <mergeCell ref="AM54:AN54"/>
    <mergeCell ref="B61:AI61"/>
    <mergeCell ref="E62:K62"/>
    <mergeCell ref="V62:AI62"/>
    <mergeCell ref="B56:AI56"/>
    <mergeCell ref="AK56:BQ56"/>
    <mergeCell ref="B57:AI57"/>
    <mergeCell ref="B58:AI58"/>
    <mergeCell ref="B59:AI59"/>
    <mergeCell ref="B60:AI60"/>
  </mergeCells>
  <conditionalFormatting sqref="V62:AI62 E62:K62 H41:L41 H38:L38 H32:Q35 H51:L51 N50:Q50 H50:K50 H49:Q49 H47:Q47 H46:J46 G12:P14 Y9:AI9 Y7:AI7 F9:P9 F7:P7 M46:O46 M48:O48 H48:J48 H44:Q45 G16:P16 H37:Q37">
    <cfRule type="containsBlanks" dxfId="390" priority="90">
      <formula>LEN(TRIM(E7))=0</formula>
    </cfRule>
  </conditionalFormatting>
  <conditionalFormatting sqref="M38:Q41">
    <cfRule type="containsText" dxfId="389" priority="89" operator="containsText" text="CALC.">
      <formula>NOT(ISERROR(SEARCH("CALC.",M38)))</formula>
    </cfRule>
  </conditionalFormatting>
  <conditionalFormatting sqref="A45:Q51">
    <cfRule type="expression" dxfId="388" priority="88">
      <formula>$H$44="Direct Drive"</formula>
    </cfRule>
  </conditionalFormatting>
  <conditionalFormatting sqref="A47:G47 A49:G49 A46:O46 A48:O48 A50:M50 A45:G45">
    <cfRule type="expression" dxfId="387" priority="87">
      <formula>$H$44="Direct Drive"</formula>
    </cfRule>
  </conditionalFormatting>
  <conditionalFormatting sqref="A51:G51">
    <cfRule type="expression" dxfId="386" priority="86">
      <formula>$H$44="Direct Drive"</formula>
    </cfRule>
  </conditionalFormatting>
  <conditionalFormatting sqref="H45:Q45 P46:Q46 H47:Q47 P48:Q48 H49:Q49 N50:Q50">
    <cfRule type="expression" dxfId="385" priority="85">
      <formula>$H$44="Direct Drive"</formula>
    </cfRule>
  </conditionalFormatting>
  <conditionalFormatting sqref="G31">
    <cfRule type="containsBlanks" dxfId="384" priority="84">
      <formula>LEN(TRIM(G31))=0</formula>
    </cfRule>
  </conditionalFormatting>
  <conditionalFormatting sqref="Z41:AD41 Z38:AD38 Z37:AI37 Z32:AI35 Z51:AD51 AF50:AI50 Z50:AC50 Z49:AI49 Z47:AI47 Z46:AB46 AE46:AG46 AE48:AG48 Z48:AB48 Z44:AI45">
    <cfRule type="containsBlanks" dxfId="383" priority="83">
      <formula>LEN(TRIM(Z32))=0</formula>
    </cfRule>
  </conditionalFormatting>
  <conditionalFormatting sqref="AE38:AI39">
    <cfRule type="containsText" dxfId="382" priority="82" operator="containsText" text="CALC.">
      <formula>NOT(ISERROR(SEARCH("CALC.",AE38)))</formula>
    </cfRule>
  </conditionalFormatting>
  <conditionalFormatting sqref="S47:Y47 S49:Y49 S46:AG46 S48:AG48 S50:AE50 S45:Y45">
    <cfRule type="expression" dxfId="381" priority="80">
      <formula>$Z$44="Direct Drive"</formula>
    </cfRule>
  </conditionalFormatting>
  <conditionalFormatting sqref="Z45:AI45 AH46:AI46 Z47:AI47 AH48:AI48 Z49:AI49 AF50:AI50">
    <cfRule type="expression" dxfId="380" priority="78">
      <formula>$Z$44="Direct Drive"</formula>
    </cfRule>
  </conditionalFormatting>
  <conditionalFormatting sqref="Y31">
    <cfRule type="containsBlanks" dxfId="379" priority="77">
      <formula>LEN(TRIM(Y31))=0</formula>
    </cfRule>
  </conditionalFormatting>
  <conditionalFormatting sqref="S51:Y51">
    <cfRule type="expression" dxfId="378" priority="79">
      <formula>$Z$44="Direct Drive"</formula>
    </cfRule>
  </conditionalFormatting>
  <conditionalFormatting sqref="S45:AI51">
    <cfRule type="expression" dxfId="377" priority="81">
      <formula>$Z$44="Direct Drive"</formula>
    </cfRule>
  </conditionalFormatting>
  <conditionalFormatting sqref="S29:T29">
    <cfRule type="containsBlanks" dxfId="376" priority="75">
      <formula>LEN(TRIM(S29))=0</formula>
    </cfRule>
  </conditionalFormatting>
  <conditionalFormatting sqref="S27:T28">
    <cfRule type="containsBlanks" dxfId="375" priority="76">
      <formula>LEN(TRIM(S27))=0</formula>
    </cfRule>
  </conditionalFormatting>
  <conditionalFormatting sqref="G25:I25">
    <cfRule type="expression" dxfId="374" priority="73">
      <formula>$P$22&gt;$H$33</formula>
    </cfRule>
    <cfRule type="containsText" dxfId="373" priority="74" operator="containsText" text="CALC.">
      <formula>NOT(ISERROR(SEARCH("CALC.",G25)))</formula>
    </cfRule>
  </conditionalFormatting>
  <conditionalFormatting sqref="AG25:AI25">
    <cfRule type="expression" dxfId="372" priority="71">
      <formula>$P$22&gt;$H$33</formula>
    </cfRule>
    <cfRule type="containsText" dxfId="371" priority="72" operator="containsText" text="CALC.">
      <formula>NOT(ISERROR(SEARCH("CALC.",AG25)))</formula>
    </cfRule>
  </conditionalFormatting>
  <conditionalFormatting sqref="AZ5:BO7">
    <cfRule type="notContainsBlanks" dxfId="370" priority="70">
      <formula>LEN(TRIM(AZ5))&gt;0</formula>
    </cfRule>
  </conditionalFormatting>
  <conditionalFormatting sqref="AN5:AS7 AT6 AT8 AT10">
    <cfRule type="containsBlanks" dxfId="369" priority="69">
      <formula>LEN(TRIM(AN5))=0</formula>
    </cfRule>
  </conditionalFormatting>
  <conditionalFormatting sqref="AN8:AS8">
    <cfRule type="containsText" dxfId="368" priority="68" operator="containsText" text="CALC.">
      <formula>NOT(ISERROR(SEARCH("CALC.",AN8)))</formula>
    </cfRule>
  </conditionalFormatting>
  <conditionalFormatting sqref="AK6:AS8 AZ4:BO10 AT4:AY8">
    <cfRule type="expression" dxfId="367" priority="67">
      <formula>$AT$10="Single Phase"</formula>
    </cfRule>
  </conditionalFormatting>
  <conditionalFormatting sqref="AT25:AW25">
    <cfRule type="expression" dxfId="366" priority="66">
      <formula>IF($AT$24&lt;&gt;"CALC.",$M$36&lt;$AT$24)</formula>
    </cfRule>
  </conditionalFormatting>
  <conditionalFormatting sqref="AT24:AW25 AT23:AV23 AT22:AW22">
    <cfRule type="containsText" dxfId="365" priority="65" operator="containsText" text="CALC.">
      <formula>NOT(ISERROR(SEARCH("CALC.",AT22)))</formula>
    </cfRule>
  </conditionalFormatting>
  <conditionalFormatting sqref="AK22:AW27">
    <cfRule type="expression" dxfId="364" priority="64">
      <formula>$Z$25="Direct Drive"</formula>
    </cfRule>
  </conditionalFormatting>
  <conditionalFormatting sqref="AK22:AS25">
    <cfRule type="expression" dxfId="363" priority="63">
      <formula>$Z$25="Direct Drive"</formula>
    </cfRule>
  </conditionalFormatting>
  <conditionalFormatting sqref="AT22:AW25">
    <cfRule type="expression" dxfId="362" priority="62">
      <formula>$Z$25="Direct Drive"</formula>
    </cfRule>
  </conditionalFormatting>
  <conditionalFormatting sqref="AZ14:BO16">
    <cfRule type="notContainsBlanks" dxfId="361" priority="61">
      <formula>LEN(TRIM(AZ14))&gt;0</formula>
    </cfRule>
  </conditionalFormatting>
  <conditionalFormatting sqref="AN14:AS16 AT19">
    <cfRule type="containsBlanks" dxfId="360" priority="60">
      <formula>LEN(TRIM(AN14))=0</formula>
    </cfRule>
  </conditionalFormatting>
  <conditionalFormatting sqref="AN17:AS17">
    <cfRule type="containsText" dxfId="359" priority="59" operator="containsText" text="CALC.">
      <formula>NOT(ISERROR(SEARCH("CALC.",AN17)))</formula>
    </cfRule>
  </conditionalFormatting>
  <conditionalFormatting sqref="AK15:AS17 AZ13:BO19 AT13:AY14 AT16:AY16">
    <cfRule type="expression" dxfId="358" priority="58">
      <formula>$AT$19="Single Phase"</formula>
    </cfRule>
  </conditionalFormatting>
  <conditionalFormatting sqref="BH22:BK25">
    <cfRule type="expression" dxfId="357" priority="53">
      <formula>$Z$25="Direct Drive"</formula>
    </cfRule>
  </conditionalFormatting>
  <conditionalFormatting sqref="BH25:BK25">
    <cfRule type="expression" dxfId="356" priority="57">
      <formula>IF($AT$24&lt;&gt;"CALC.",$M$36&lt;$AT$24)</formula>
    </cfRule>
  </conditionalFormatting>
  <conditionalFormatting sqref="BH24:BK25 BH23:BJ23 BH22:BK22">
    <cfRule type="containsText" dxfId="355" priority="56" operator="containsText" text="CALC.">
      <formula>NOT(ISERROR(SEARCH("CALC.",BH22)))</formula>
    </cfRule>
  </conditionalFormatting>
  <conditionalFormatting sqref="AY22:BK27">
    <cfRule type="expression" dxfId="354" priority="55">
      <formula>$Z$25="Direct Drive"</formula>
    </cfRule>
  </conditionalFormatting>
  <conditionalFormatting sqref="AY22:BG25">
    <cfRule type="expression" dxfId="353" priority="54">
      <formula>$Z$25="Direct Drive"</formula>
    </cfRule>
  </conditionalFormatting>
  <conditionalFormatting sqref="AK30">
    <cfRule type="notContainsBlanks" dxfId="352" priority="52">
      <formula>LEN(TRIM(AK30))&gt;0</formula>
    </cfRule>
  </conditionalFormatting>
  <conditionalFormatting sqref="AK36:BQ55">
    <cfRule type="expression" dxfId="351" priority="51">
      <formula>NOT(ISBLANK($AU36))</formula>
    </cfRule>
  </conditionalFormatting>
  <conditionalFormatting sqref="AE40:AI41">
    <cfRule type="containsText" dxfId="350" priority="50" operator="containsText" text="CALC.">
      <formula>NOT(ISERROR(SEARCH("CALC.",AE40)))</formula>
    </cfRule>
  </conditionalFormatting>
  <conditionalFormatting sqref="Z17:AI17 AE16:AG16 AE12:AI14 Z16:AB16 Z13:AD14 Z12">
    <cfRule type="containsBlanks" dxfId="349" priority="49">
      <formula>LEN(TRIM(Z12))=0</formula>
    </cfRule>
  </conditionalFormatting>
  <conditionalFormatting sqref="Z13:AD14 Z16:AD16">
    <cfRule type="expression" dxfId="348" priority="48">
      <formula>$Z$12="N/A"</formula>
    </cfRule>
  </conditionalFormatting>
  <conditionalFormatting sqref="Z17:AD17">
    <cfRule type="expression" dxfId="347" priority="47">
      <formula>$Z$12="N/A"</formula>
    </cfRule>
  </conditionalFormatting>
  <conditionalFormatting sqref="AE13:AI14 AE16:AI16">
    <cfRule type="expression" dxfId="346" priority="46">
      <formula>$AE$12="N/A"</formula>
    </cfRule>
  </conditionalFormatting>
  <conditionalFormatting sqref="AE17:AI17">
    <cfRule type="expression" dxfId="345" priority="45">
      <formula>$AE$12="N/A"</formula>
    </cfRule>
  </conditionalFormatting>
  <conditionalFormatting sqref="D26">
    <cfRule type="containsBlanks" dxfId="344" priority="44">
      <formula>LEN(TRIM(D26))=0</formula>
    </cfRule>
  </conditionalFormatting>
  <conditionalFormatting sqref="G26">
    <cfRule type="containsBlanks" dxfId="343" priority="43">
      <formula>LEN(TRIM(G26))=0</formula>
    </cfRule>
  </conditionalFormatting>
  <conditionalFormatting sqref="AD26">
    <cfRule type="containsBlanks" dxfId="342" priority="42">
      <formula>LEN(TRIM(AD26))=0</formula>
    </cfRule>
  </conditionalFormatting>
  <conditionalFormatting sqref="AG26">
    <cfRule type="containsBlanks" dxfId="341" priority="41">
      <formula>LEN(TRIM(AG26))=0</formula>
    </cfRule>
  </conditionalFormatting>
  <conditionalFormatting sqref="D21:F21">
    <cfRule type="containsBlanks" dxfId="340" priority="40">
      <formula>LEN(TRIM(D21))=0</formula>
    </cfRule>
  </conditionalFormatting>
  <conditionalFormatting sqref="G21:I21">
    <cfRule type="containsBlanks" dxfId="339" priority="39">
      <formula>LEN(TRIM(G21))=0</formula>
    </cfRule>
  </conditionalFormatting>
  <conditionalFormatting sqref="D22:F22">
    <cfRule type="containsBlanks" dxfId="338" priority="38">
      <formula>LEN(TRIM(D22))=0</formula>
    </cfRule>
  </conditionalFormatting>
  <conditionalFormatting sqref="G22:I22">
    <cfRule type="containsBlanks" dxfId="337" priority="37">
      <formula>LEN(TRIM(G22))=0</formula>
    </cfRule>
  </conditionalFormatting>
  <conditionalFormatting sqref="D23:F23">
    <cfRule type="containsBlanks" dxfId="336" priority="36">
      <formula>LEN(TRIM(D23))=0</formula>
    </cfRule>
  </conditionalFormatting>
  <conditionalFormatting sqref="G23:I23">
    <cfRule type="containsBlanks" dxfId="335" priority="35">
      <formula>LEN(TRIM(G23))=0</formula>
    </cfRule>
  </conditionalFormatting>
  <conditionalFormatting sqref="D24:F24">
    <cfRule type="containsBlanks" dxfId="334" priority="34">
      <formula>LEN(TRIM(D24))=0</formula>
    </cfRule>
  </conditionalFormatting>
  <conditionalFormatting sqref="G24:I24">
    <cfRule type="containsBlanks" dxfId="333" priority="33">
      <formula>LEN(TRIM(G24))=0</formula>
    </cfRule>
  </conditionalFormatting>
  <conditionalFormatting sqref="D25:F25">
    <cfRule type="containsBlanks" dxfId="332" priority="32">
      <formula>LEN(TRIM(D25))=0</formula>
    </cfRule>
  </conditionalFormatting>
  <conditionalFormatting sqref="AD21:AF21">
    <cfRule type="containsBlanks" dxfId="331" priority="31">
      <formula>LEN(TRIM(AD21))=0</formula>
    </cfRule>
  </conditionalFormatting>
  <conditionalFormatting sqref="AG21:AI21">
    <cfRule type="containsBlanks" dxfId="330" priority="30">
      <formula>LEN(TRIM(AG21))=0</formula>
    </cfRule>
  </conditionalFormatting>
  <conditionalFormatting sqref="AD22:AF22">
    <cfRule type="containsBlanks" dxfId="329" priority="29">
      <formula>LEN(TRIM(AD22))=0</formula>
    </cfRule>
  </conditionalFormatting>
  <conditionalFormatting sqref="AG22:AI22">
    <cfRule type="containsBlanks" dxfId="328" priority="28">
      <formula>LEN(TRIM(AG22))=0</formula>
    </cfRule>
  </conditionalFormatting>
  <conditionalFormatting sqref="AD23:AF23">
    <cfRule type="containsBlanks" dxfId="327" priority="27">
      <formula>LEN(TRIM(AD23))=0</formula>
    </cfRule>
  </conditionalFormatting>
  <conditionalFormatting sqref="AG23:AI23">
    <cfRule type="containsBlanks" dxfId="326" priority="26">
      <formula>LEN(TRIM(AG23))=0</formula>
    </cfRule>
  </conditionalFormatting>
  <conditionalFormatting sqref="AD24:AF24">
    <cfRule type="containsBlanks" dxfId="325" priority="25">
      <formula>LEN(TRIM(AD24))=0</formula>
    </cfRule>
  </conditionalFormatting>
  <conditionalFormatting sqref="AG24:AI24">
    <cfRule type="containsBlanks" dxfId="324" priority="24">
      <formula>LEN(TRIM(AG24))=0</formula>
    </cfRule>
  </conditionalFormatting>
  <conditionalFormatting sqref="AD25:AF25">
    <cfRule type="containsBlanks" dxfId="323" priority="23">
      <formula>LEN(TRIM(AD25))=0</formula>
    </cfRule>
  </conditionalFormatting>
  <conditionalFormatting sqref="Q21:S21">
    <cfRule type="containsBlanks" dxfId="322" priority="22">
      <formula>LEN(TRIM(Q21))=0</formula>
    </cfRule>
  </conditionalFormatting>
  <conditionalFormatting sqref="T21:V21">
    <cfRule type="containsBlanks" dxfId="321" priority="21">
      <formula>LEN(TRIM(T21))=0</formula>
    </cfRule>
  </conditionalFormatting>
  <conditionalFormatting sqref="Q22:S22">
    <cfRule type="containsBlanks" dxfId="320" priority="20">
      <formula>LEN(TRIM(Q22))=0</formula>
    </cfRule>
  </conditionalFormatting>
  <conditionalFormatting sqref="T22:V22">
    <cfRule type="containsBlanks" dxfId="319" priority="19">
      <formula>LEN(TRIM(T22))=0</formula>
    </cfRule>
  </conditionalFormatting>
  <conditionalFormatting sqref="Q23:S23">
    <cfRule type="containsBlanks" dxfId="318" priority="18">
      <formula>LEN(TRIM(Q23))=0</formula>
    </cfRule>
  </conditionalFormatting>
  <conditionalFormatting sqref="T23:V23">
    <cfRule type="containsBlanks" dxfId="317" priority="17">
      <formula>LEN(TRIM(T23))=0</formula>
    </cfRule>
  </conditionalFormatting>
  <conditionalFormatting sqref="Q24:S24">
    <cfRule type="containsBlanks" dxfId="316" priority="16">
      <formula>LEN(TRIM(Q24))=0</formula>
    </cfRule>
  </conditionalFormatting>
  <conditionalFormatting sqref="T24:V24">
    <cfRule type="containsBlanks" dxfId="315" priority="15">
      <formula>LEN(TRIM(T24))=0</formula>
    </cfRule>
  </conditionalFormatting>
  <conditionalFormatting sqref="Z15:AI15">
    <cfRule type="containsBlanks" dxfId="314" priority="14">
      <formula>LEN(TRIM(Z15))=0</formula>
    </cfRule>
  </conditionalFormatting>
  <conditionalFormatting sqref="Z15:AD15">
    <cfRule type="expression" dxfId="313" priority="13">
      <formula>$Z$12="N/A"</formula>
    </cfRule>
  </conditionalFormatting>
  <conditionalFormatting sqref="AE15:AI15">
    <cfRule type="expression" dxfId="312" priority="12">
      <formula>$AE$12="N/A"</formula>
    </cfRule>
  </conditionalFormatting>
  <conditionalFormatting sqref="G15:P15">
    <cfRule type="containsBlanks" dxfId="311" priority="11">
      <formula>LEN(TRIM(G15))=0</formula>
    </cfRule>
  </conditionalFormatting>
  <conditionalFormatting sqref="AF29:AH29">
    <cfRule type="containsBlanks" dxfId="310" priority="10">
      <formula>LEN(TRIM(AF29))=0</formula>
    </cfRule>
  </conditionalFormatting>
  <conditionalFormatting sqref="AF29:AI29">
    <cfRule type="expression" dxfId="309" priority="9">
      <formula>$X$29="FIXED SPEED"</formula>
    </cfRule>
  </conditionalFormatting>
  <conditionalFormatting sqref="X29">
    <cfRule type="containsBlanks" dxfId="308" priority="8">
      <formula>LEN(TRIM(X29))=0</formula>
    </cfRule>
  </conditionalFormatting>
  <conditionalFormatting sqref="I29:K29">
    <cfRule type="containsBlanks" dxfId="307" priority="7">
      <formula>LEN(TRIM(I29))=0</formula>
    </cfRule>
  </conditionalFormatting>
  <conditionalFormatting sqref="I29:L29">
    <cfRule type="expression" dxfId="306" priority="6">
      <formula>$A$29="FIXED SPEED"</formula>
    </cfRule>
  </conditionalFormatting>
  <conditionalFormatting sqref="A29">
    <cfRule type="containsBlanks" dxfId="305" priority="5">
      <formula>LEN(TRIM(A29))=0</formula>
    </cfRule>
  </conditionalFormatting>
  <conditionalFormatting sqref="AT15">
    <cfRule type="containsBlanks" dxfId="304" priority="4">
      <formula>LEN(TRIM(AT15))=0</formula>
    </cfRule>
  </conditionalFormatting>
  <conditionalFormatting sqref="AT15:AY15">
    <cfRule type="expression" dxfId="303" priority="3">
      <formula>$AT$10="Single Phase"</formula>
    </cfRule>
  </conditionalFormatting>
  <conditionalFormatting sqref="AT17">
    <cfRule type="containsBlanks" dxfId="302" priority="2">
      <formula>LEN(TRIM(AT17))=0</formula>
    </cfRule>
  </conditionalFormatting>
  <conditionalFormatting sqref="AT17:AY17">
    <cfRule type="expression" dxfId="301" priority="1">
      <formula>$AT$10="Single Phase"</formula>
    </cfRule>
  </conditionalFormatting>
  <dataValidations count="19">
    <dataValidation type="list" allowBlank="1" showInputMessage="1" sqref="G31:Q31 Y31:AI31" xr:uid="{1EFEA01A-3F71-49E2-A1F8-00C817430C76}">
      <formula1>"1,2,3,4,6,8"</formula1>
    </dataValidation>
    <dataValidation allowBlank="1" showInputMessage="1" showErrorMessage="1" prompt="Typical Service Factor is 1.15. If unknown then use '---" sqref="H35:Q35 Z35:AI35" xr:uid="{CD2F88B1-76C2-4B44-9559-7B4BFC3D9AF7}"/>
    <dataValidation type="list" allowBlank="1" showInputMessage="1" showErrorMessage="1" sqref="H44:Q44 Z44:AI44" xr:uid="{6A0B4542-93E5-408F-824F-00016A11D9EC}">
      <formula1>"Belt Drive,Direct Drive"</formula1>
    </dataValidation>
    <dataValidation type="list" allowBlank="1" showInputMessage="1" sqref="H47:Q47 H45:Q45 Z45:AI45 Z47:AI47" xr:uid="{B9A8C035-5577-4A20-A892-973B15502127}">
      <formula1>"Browning,Campbell,Congress,Dayton,Fenner Drives, TB Wood's"</formula1>
    </dataValidation>
    <dataValidation type="list" allowBlank="1" showInputMessage="1" sqref="Z17:AI17" xr:uid="{B84B5A9D-E4B0-4714-99A5-A05400BF9331}">
      <formula1>"Clean,Slightly Dirty, Dirty"</formula1>
    </dataValidation>
    <dataValidation type="list" allowBlank="1" showInputMessage="1" sqref="Z12:AI12" xr:uid="{E53ACB4E-70A7-4DB2-B61D-946299F6EA50}">
      <formula1>"PRE FILTER,FINAL FILTER,N/A"</formula1>
    </dataValidation>
    <dataValidation type="list" allowBlank="1" showInputMessage="1" sqref="H32:Q32 Z32:AI32" xr:uid="{C35156B7-2FC5-4BF2-9FB1-FDD0205BC9DF}">
      <formula1>"Baldor,Dayton,Emmerson,FASCO,GE,GENTEQ,Marathon,Trane,WEG,Westinghouse"</formula1>
    </dataValidation>
    <dataValidation type="list" allowBlank="1" showInputMessage="1" sqref="G13:P13" xr:uid="{0A3A7833-8910-4C23-AA7B-486F661ABC7E}">
      <formula1>"HDT,HBT,VBT,VDT"</formula1>
    </dataValidation>
    <dataValidation type="list" allowBlank="1" showInputMessage="1" sqref="H34:Q34 Z34:AI34" xr:uid="{0DA6819C-8C27-4B22-A63D-911A67DE6930}">
      <formula1>".17,.25,.33,.5,.75,1,2,3,5,7.5,10,15,20,25,30,40,50,60,75,100,125,150,200"</formula1>
    </dataValidation>
    <dataValidation type="whole" allowBlank="1" showInputMessage="1" showErrorMessage="1" error="This Remarks section is limited to 10." sqref="H52 O52 T52 W52 AA52 AC52 A52:A53" xr:uid="{C031EC8A-5C8A-46F0-BF07-2B707787A7E8}">
      <formula1>1</formula1>
      <formula2>10</formula2>
    </dataValidation>
    <dataValidation type="list" allowBlank="1" showInputMessage="1" showErrorMessage="1" sqref="AH29:AI29 K29:L29" xr:uid="{D5E91CDE-6168-4DC5-9844-439CF8CE602D}">
      <formula1>"Hz, %"</formula1>
    </dataValidation>
    <dataValidation allowBlank="1" showInputMessage="1" showErrorMessage="1" prompt="If EFF is unatainable use .90" sqref="AT6:AY6 AT15:AY15" xr:uid="{0C98C6FB-6A6E-4ED9-A73C-924C6AA5CFA1}"/>
    <dataValidation allowBlank="1" showInputMessage="1" showErrorMessage="1" prompt="If PF is unattainable use .80" sqref="AT8:AY8 AT17:AY17" xr:uid="{DBE99454-440A-43B1-814E-794B61E9BC97}"/>
    <dataValidation type="list" allowBlank="1" showInputMessage="1" showErrorMessage="1" promptTitle="Phase Selection" prompt="Select Single or Three Phase" sqref="AT10:AY10 AT19:AY19" xr:uid="{9927471D-7848-4D82-9D66-0F734ABAE743}">
      <formula1>"Single Phase, Three Phase"</formula1>
    </dataValidation>
    <dataValidation type="list" allowBlank="1" showInputMessage="1" showErrorMessage="1" prompt="See Internal Use Area on right for assistance determining fan rotation." sqref="AD26 D26 G26 AG26" xr:uid="{9DB223BD-C33F-403D-9AE1-76C0F85634D5}">
      <formula1>"CW, CCW,'---"</formula1>
    </dataValidation>
    <dataValidation allowBlank="1" showInputMessage="1" promptTitle="BHP Calc Info" prompt="If Single Phase, BHP=# of Motors * (HP*Amps*Volts)/(NP Amps*NP Volts)_x000a__x000a_If Three Phase, BHP=# of Motors * (Avg. Amps*Avg. Volts*Motor Eff.*Power Factor*1.73)/746" sqref="G25:I25 AG25:AI25" xr:uid="{EAABB670-D28D-4D2C-8531-5915EE1A7502}"/>
    <dataValidation type="whole" allowBlank="1" showInputMessage="1" showErrorMessage="1" error="This Remarks section is limited to 10." sqref="A54:A60" xr:uid="{DC17B5B8-F06D-4BA1-820C-30109B54C0AC}">
      <formula1>1</formula1>
      <formula2>100</formula2>
    </dataValidation>
    <dataValidation type="list" allowBlank="1" showInputMessage="1" sqref="Z15:AI15" xr:uid="{06ED65E4-5634-45D8-B70E-96F05C49A0D8}">
      <formula1>"Bag,Box,Disposable,Electrostatic,HEPA,Fibrous,Pleated,Washable"</formula1>
    </dataValidation>
    <dataValidation type="list" allowBlank="1" showInputMessage="1" showErrorMessage="1" sqref="X29 A29" xr:uid="{7C455850-8E2B-48E4-8A18-B6EE9134EAAC}">
      <formula1>"VFD SETTING, ECM SETTING, FIXED SPEED"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BCD73-81C7-4EA6-8282-A2CE899E5544}">
  <sheetPr codeName="Sheet45">
    <pageSetUpPr fitToPage="1"/>
  </sheetPr>
  <dimension ref="A1:FW62"/>
  <sheetViews>
    <sheetView zoomScaleNormal="100" workbookViewId="0">
      <selection sqref="A1:C1"/>
    </sheetView>
  </sheetViews>
  <sheetFormatPr defaultColWidth="0" defaultRowHeight="0" customHeight="1" zeroHeight="1" x14ac:dyDescent="0.2"/>
  <cols>
    <col min="1" max="80" width="2.7109375" style="12" customWidth="1"/>
    <col min="81" max="179" width="2.7109375" style="12" hidden="1" customWidth="1"/>
    <col min="180" max="16384" width="9.140625" style="12" hidden="1"/>
  </cols>
  <sheetData>
    <row r="1" spans="1:109" ht="12" customHeight="1" x14ac:dyDescent="0.2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</row>
    <row r="2" spans="1:109" ht="12" customHeight="1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546" t="s">
        <v>159</v>
      </c>
      <c r="AK2" s="546"/>
      <c r="AL2" s="546"/>
      <c r="AM2" s="546"/>
      <c r="AN2" s="546"/>
      <c r="AO2" s="546"/>
      <c r="AP2" s="546"/>
      <c r="AQ2" s="546"/>
      <c r="AR2" s="546"/>
      <c r="AS2" s="546"/>
      <c r="AT2" s="546"/>
      <c r="AU2" s="546"/>
      <c r="AV2" s="546"/>
      <c r="AW2" s="546"/>
      <c r="AX2" s="546"/>
      <c r="AY2" s="546"/>
      <c r="AZ2" s="546"/>
      <c r="BA2" s="546"/>
      <c r="BB2" s="546"/>
      <c r="BC2" s="546"/>
      <c r="BD2" s="546"/>
      <c r="BE2" s="546"/>
      <c r="BF2" s="546"/>
      <c r="BG2" s="546"/>
      <c r="BH2" s="546"/>
      <c r="BI2" s="546"/>
      <c r="BJ2" s="546"/>
      <c r="BK2" s="546"/>
      <c r="BL2" s="546"/>
      <c r="BM2" s="546"/>
      <c r="BN2" s="546"/>
      <c r="BO2" s="546"/>
      <c r="BP2" s="546"/>
      <c r="BQ2" s="546"/>
      <c r="BR2" s="546"/>
      <c r="BS2" s="546"/>
      <c r="BT2" s="546"/>
      <c r="BU2" s="546"/>
      <c r="BV2" s="546"/>
      <c r="BW2" s="546"/>
      <c r="BX2" s="546"/>
      <c r="BY2" s="546"/>
      <c r="BZ2" s="546"/>
      <c r="CA2" s="546"/>
      <c r="CB2" s="546"/>
    </row>
    <row r="3" spans="1:109" ht="12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4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44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</row>
    <row r="4" spans="1:109" ht="12" customHeight="1" thickBot="1" x14ac:dyDescent="0.25">
      <c r="A4" s="48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4"/>
      <c r="AK4" s="44"/>
      <c r="AL4" s="44"/>
      <c r="AM4" s="44"/>
      <c r="AN4" s="44"/>
      <c r="AO4" s="44"/>
      <c r="AP4" s="92"/>
      <c r="AQ4" s="92"/>
      <c r="AR4" s="92"/>
      <c r="AS4" s="92"/>
      <c r="AT4" s="92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</row>
    <row r="5" spans="1:109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44"/>
      <c r="AK5" s="341" t="s">
        <v>239</v>
      </c>
      <c r="AL5" s="342"/>
      <c r="AM5" s="342"/>
      <c r="AN5" s="342"/>
      <c r="AO5" s="342"/>
      <c r="AP5" s="342"/>
      <c r="AQ5" s="342"/>
      <c r="AR5" s="342"/>
      <c r="AS5" s="343"/>
      <c r="AT5" s="92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</row>
    <row r="6" spans="1:109" ht="12" customHeight="1" thickBot="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44"/>
      <c r="AK6" s="344"/>
      <c r="AL6" s="345"/>
      <c r="AM6" s="345"/>
      <c r="AN6" s="345"/>
      <c r="AO6" s="345"/>
      <c r="AP6" s="345"/>
      <c r="AQ6" s="345"/>
      <c r="AR6" s="345"/>
      <c r="AS6" s="346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</row>
    <row r="7" spans="1:109" ht="12" customHeight="1" thickTop="1" thickBot="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44"/>
      <c r="AK7" s="326" t="s">
        <v>241</v>
      </c>
      <c r="AL7" s="327"/>
      <c r="AM7" s="328"/>
      <c r="AN7" s="329"/>
      <c r="AO7" s="329"/>
      <c r="AP7" s="329"/>
      <c r="AQ7" s="329"/>
      <c r="AR7" s="329"/>
      <c r="AS7" s="330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</row>
    <row r="8" spans="1:109" ht="12" customHeight="1" thickBot="1" x14ac:dyDescent="0.25">
      <c r="A8" s="314" t="s">
        <v>243</v>
      </c>
      <c r="B8" s="315"/>
      <c r="C8" s="315"/>
      <c r="D8" s="315"/>
      <c r="E8" s="315"/>
      <c r="F8" s="315"/>
      <c r="G8" s="315"/>
      <c r="H8" s="315"/>
      <c r="I8" s="315"/>
      <c r="J8" s="315"/>
      <c r="K8" s="315"/>
      <c r="L8" s="315"/>
      <c r="M8" s="315"/>
      <c r="N8" s="315"/>
      <c r="O8" s="315"/>
      <c r="P8" s="315"/>
      <c r="Q8" s="315"/>
      <c r="R8" s="315"/>
      <c r="S8" s="315"/>
      <c r="T8" s="315"/>
      <c r="U8" s="315"/>
      <c r="V8" s="315"/>
      <c r="W8" s="315"/>
      <c r="X8" s="315"/>
      <c r="Y8" s="315"/>
      <c r="Z8" s="315"/>
      <c r="AA8" s="315"/>
      <c r="AB8" s="315"/>
      <c r="AC8" s="315"/>
      <c r="AD8" s="315"/>
      <c r="AE8" s="315"/>
      <c r="AF8" s="315"/>
      <c r="AG8" s="315"/>
      <c r="AH8" s="315"/>
      <c r="AI8" s="316"/>
      <c r="AJ8" s="44"/>
      <c r="AK8" s="295" t="s">
        <v>244</v>
      </c>
      <c r="AL8" s="296"/>
      <c r="AM8" s="297"/>
      <c r="AN8" s="297"/>
      <c r="AO8" s="297"/>
      <c r="AP8" s="297"/>
      <c r="AQ8" s="297"/>
      <c r="AR8" s="297"/>
      <c r="AS8" s="29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</row>
    <row r="9" spans="1:109" ht="12" customHeight="1" thickTop="1" x14ac:dyDescent="0.2">
      <c r="A9" s="317" t="s">
        <v>246</v>
      </c>
      <c r="B9" s="318"/>
      <c r="C9" s="319"/>
      <c r="D9" s="320" t="str">
        <f>IF(AM7&lt;&gt;"","A","")</f>
        <v/>
      </c>
      <c r="E9" s="321"/>
      <c r="F9" s="313" t="str">
        <f>IF(AM7&lt;&gt;"",AM7,"")</f>
        <v/>
      </c>
      <c r="G9" s="306" t="str">
        <f>IF(AM7&lt;&gt;"","B","")</f>
        <v/>
      </c>
      <c r="H9" s="310"/>
      <c r="I9" s="311" t="str">
        <f>IF(AM8&lt;&gt;"",AM8,"")</f>
        <v/>
      </c>
      <c r="J9" s="306" t="str">
        <f>IF(AM8&lt;&gt;"","C","")</f>
        <v/>
      </c>
      <c r="K9" s="310"/>
      <c r="L9" s="311" t="str">
        <f>IF(AM9&lt;&gt;"",AM9,"")</f>
        <v/>
      </c>
      <c r="M9" s="306" t="str">
        <f>IF(AM9&lt;&gt;"","D","")</f>
        <v/>
      </c>
      <c r="N9" s="310"/>
      <c r="O9" s="311" t="str">
        <f>IF(AM10&lt;&gt;"",AM10,"")</f>
        <v/>
      </c>
      <c r="P9" s="306" t="str">
        <f>IF(AM10&lt;&gt;"","E","")</f>
        <v/>
      </c>
      <c r="Q9" s="310"/>
      <c r="R9" s="311" t="str">
        <f>IF(AM11&lt;&gt;"",AM11,"")</f>
        <v/>
      </c>
      <c r="S9" s="306" t="str">
        <f>IF(AM11&lt;&gt;"","F","")</f>
        <v/>
      </c>
      <c r="T9" s="310"/>
      <c r="U9" s="311" t="str">
        <f>IF(AM12&lt;&gt;"",AM12,"")</f>
        <v/>
      </c>
      <c r="V9" s="306" t="str">
        <f>IF(AM12&lt;&gt;"","G","")</f>
        <v/>
      </c>
      <c r="W9" s="310"/>
      <c r="X9" s="311" t="str">
        <f>IF(AM13&lt;&gt;"",AM13,"")</f>
        <v/>
      </c>
      <c r="Y9" s="306" t="str">
        <f>IF(AM13&lt;&gt;"","H","")</f>
        <v/>
      </c>
      <c r="Z9" s="310"/>
      <c r="AA9" s="311" t="str">
        <f>IF(AM14&lt;&gt;"",AM14,"")</f>
        <v/>
      </c>
      <c r="AB9" s="306" t="str">
        <f>IF(AM14&lt;&gt;"","I","")</f>
        <v/>
      </c>
      <c r="AC9" s="310"/>
      <c r="AD9" s="311" t="str">
        <f>IF(AM15&lt;&gt;"",AM15,"")</f>
        <v/>
      </c>
      <c r="AE9" s="306" t="str">
        <f>IF(AM15&lt;&gt;"","J","")</f>
        <v/>
      </c>
      <c r="AF9" s="310"/>
      <c r="AG9" s="313" t="str">
        <f>IF(AM16&lt;&gt;"",AM16,"")</f>
        <v/>
      </c>
      <c r="AH9" s="306" t="str">
        <f>IF(AM16&lt;&gt;"","K","")</f>
        <v/>
      </c>
      <c r="AI9" s="307"/>
      <c r="AJ9" s="44"/>
      <c r="AK9" s="295" t="s">
        <v>247</v>
      </c>
      <c r="AL9" s="296"/>
      <c r="AM9" s="297"/>
      <c r="AN9" s="297"/>
      <c r="AO9" s="297"/>
      <c r="AP9" s="297"/>
      <c r="AQ9" s="297"/>
      <c r="AR9" s="297"/>
      <c r="AS9" s="298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</row>
    <row r="10" spans="1:109" ht="12" customHeight="1" x14ac:dyDescent="0.2">
      <c r="A10" s="67"/>
      <c r="B10" s="68"/>
      <c r="C10" s="68"/>
      <c r="D10" s="302"/>
      <c r="E10" s="303"/>
      <c r="F10" s="311"/>
      <c r="G10" s="302"/>
      <c r="H10" s="303"/>
      <c r="I10" s="311"/>
      <c r="J10" s="302"/>
      <c r="K10" s="303"/>
      <c r="L10" s="311"/>
      <c r="M10" s="302"/>
      <c r="N10" s="303"/>
      <c r="O10" s="311"/>
      <c r="P10" s="302"/>
      <c r="Q10" s="303"/>
      <c r="R10" s="311"/>
      <c r="S10" s="302"/>
      <c r="T10" s="303"/>
      <c r="U10" s="311"/>
      <c r="V10" s="302"/>
      <c r="W10" s="303"/>
      <c r="X10" s="311"/>
      <c r="Y10" s="302"/>
      <c r="Z10" s="303"/>
      <c r="AA10" s="311"/>
      <c r="AB10" s="302"/>
      <c r="AC10" s="303"/>
      <c r="AD10" s="311"/>
      <c r="AE10" s="302"/>
      <c r="AF10" s="303"/>
      <c r="AG10" s="311"/>
      <c r="AH10" s="302"/>
      <c r="AI10" s="308"/>
      <c r="AJ10" s="44"/>
      <c r="AK10" s="295" t="s">
        <v>249</v>
      </c>
      <c r="AL10" s="296"/>
      <c r="AM10" s="297"/>
      <c r="AN10" s="297"/>
      <c r="AO10" s="297"/>
      <c r="AP10" s="297"/>
      <c r="AQ10" s="297"/>
      <c r="AR10" s="297"/>
      <c r="AS10" s="298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</row>
    <row r="11" spans="1:109" ht="12" customHeight="1" x14ac:dyDescent="0.2">
      <c r="A11" s="67"/>
      <c r="B11" s="68"/>
      <c r="C11" s="68"/>
      <c r="D11" s="302"/>
      <c r="E11" s="303"/>
      <c r="F11" s="311"/>
      <c r="G11" s="302"/>
      <c r="H11" s="303"/>
      <c r="I11" s="311"/>
      <c r="J11" s="302"/>
      <c r="K11" s="303"/>
      <c r="L11" s="311"/>
      <c r="M11" s="302"/>
      <c r="N11" s="303"/>
      <c r="O11" s="311"/>
      <c r="P11" s="302"/>
      <c r="Q11" s="303"/>
      <c r="R11" s="311"/>
      <c r="S11" s="302"/>
      <c r="T11" s="303"/>
      <c r="U11" s="311"/>
      <c r="V11" s="302"/>
      <c r="W11" s="303"/>
      <c r="X11" s="311"/>
      <c r="Y11" s="302"/>
      <c r="Z11" s="303"/>
      <c r="AA11" s="311"/>
      <c r="AB11" s="302"/>
      <c r="AC11" s="303"/>
      <c r="AD11" s="311"/>
      <c r="AE11" s="302"/>
      <c r="AF11" s="303"/>
      <c r="AG11" s="311"/>
      <c r="AH11" s="302"/>
      <c r="AI11" s="308"/>
      <c r="AJ11" s="44"/>
      <c r="AK11" s="295" t="s">
        <v>251</v>
      </c>
      <c r="AL11" s="296"/>
      <c r="AM11" s="297"/>
      <c r="AN11" s="297"/>
      <c r="AO11" s="297"/>
      <c r="AP11" s="297"/>
      <c r="AQ11" s="297"/>
      <c r="AR11" s="297"/>
      <c r="AS11" s="298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</row>
    <row r="12" spans="1:109" ht="12" customHeight="1" x14ac:dyDescent="0.2">
      <c r="A12" s="67"/>
      <c r="B12" s="68"/>
      <c r="C12" s="68"/>
      <c r="D12" s="302"/>
      <c r="E12" s="303"/>
      <c r="F12" s="311"/>
      <c r="G12" s="302"/>
      <c r="H12" s="303"/>
      <c r="I12" s="311"/>
      <c r="J12" s="302"/>
      <c r="K12" s="303"/>
      <c r="L12" s="311"/>
      <c r="M12" s="302"/>
      <c r="N12" s="303"/>
      <c r="O12" s="311"/>
      <c r="P12" s="302"/>
      <c r="Q12" s="303"/>
      <c r="R12" s="311"/>
      <c r="S12" s="302"/>
      <c r="T12" s="303"/>
      <c r="U12" s="311"/>
      <c r="V12" s="302"/>
      <c r="W12" s="303"/>
      <c r="X12" s="311"/>
      <c r="Y12" s="302"/>
      <c r="Z12" s="303"/>
      <c r="AA12" s="311"/>
      <c r="AB12" s="302"/>
      <c r="AC12" s="303"/>
      <c r="AD12" s="311"/>
      <c r="AE12" s="302"/>
      <c r="AF12" s="303"/>
      <c r="AG12" s="311"/>
      <c r="AH12" s="302"/>
      <c r="AI12" s="308"/>
      <c r="AJ12" s="44"/>
      <c r="AK12" s="295" t="s">
        <v>253</v>
      </c>
      <c r="AL12" s="296"/>
      <c r="AM12" s="297"/>
      <c r="AN12" s="297"/>
      <c r="AO12" s="297"/>
      <c r="AP12" s="297"/>
      <c r="AQ12" s="297"/>
      <c r="AR12" s="297"/>
      <c r="AS12" s="298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</row>
    <row r="13" spans="1:109" ht="14.45" customHeight="1" thickBot="1" x14ac:dyDescent="0.25">
      <c r="A13" s="299" t="s">
        <v>255</v>
      </c>
      <c r="B13" s="300"/>
      <c r="C13" s="301"/>
      <c r="D13" s="304"/>
      <c r="E13" s="305"/>
      <c r="F13" s="312"/>
      <c r="G13" s="304"/>
      <c r="H13" s="305"/>
      <c r="I13" s="312"/>
      <c r="J13" s="304"/>
      <c r="K13" s="305"/>
      <c r="L13" s="312"/>
      <c r="M13" s="304"/>
      <c r="N13" s="305"/>
      <c r="O13" s="312"/>
      <c r="P13" s="304"/>
      <c r="Q13" s="305"/>
      <c r="R13" s="312"/>
      <c r="S13" s="304"/>
      <c r="T13" s="305"/>
      <c r="U13" s="312"/>
      <c r="V13" s="304"/>
      <c r="W13" s="305"/>
      <c r="X13" s="312"/>
      <c r="Y13" s="304"/>
      <c r="Z13" s="305"/>
      <c r="AA13" s="312"/>
      <c r="AB13" s="304"/>
      <c r="AC13" s="305"/>
      <c r="AD13" s="312"/>
      <c r="AE13" s="304"/>
      <c r="AF13" s="305"/>
      <c r="AG13" s="312"/>
      <c r="AH13" s="304"/>
      <c r="AI13" s="309"/>
      <c r="AJ13" s="44"/>
      <c r="AK13" s="295" t="s">
        <v>256</v>
      </c>
      <c r="AL13" s="296"/>
      <c r="AM13" s="297"/>
      <c r="AN13" s="297"/>
      <c r="AO13" s="297"/>
      <c r="AP13" s="297"/>
      <c r="AQ13" s="297"/>
      <c r="AR13" s="297"/>
      <c r="AS13" s="298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L13" s="49"/>
      <c r="CM13" s="49"/>
      <c r="CN13" s="49"/>
      <c r="CO13" s="49"/>
      <c r="CP13" s="49"/>
      <c r="CQ13" s="49"/>
      <c r="CR13" s="49"/>
      <c r="CS13" s="49"/>
      <c r="CT13" s="49"/>
      <c r="CU13" s="49"/>
      <c r="CV13" s="49"/>
      <c r="CW13" s="49"/>
      <c r="CX13" s="49"/>
      <c r="CY13" s="49"/>
      <c r="CZ13" s="49"/>
      <c r="DA13" s="49"/>
      <c r="DB13" s="49"/>
      <c r="DC13" s="49"/>
      <c r="DD13" s="49"/>
    </row>
    <row r="14" spans="1:109" ht="12" customHeight="1" x14ac:dyDescent="0.2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44"/>
      <c r="AK14" s="295" t="s">
        <v>258</v>
      </c>
      <c r="AL14" s="296"/>
      <c r="AM14" s="297"/>
      <c r="AN14" s="297"/>
      <c r="AO14" s="297"/>
      <c r="AP14" s="297"/>
      <c r="AQ14" s="297"/>
      <c r="AR14" s="297"/>
      <c r="AS14" s="298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</row>
    <row r="15" spans="1:109" ht="12" customHeight="1" x14ac:dyDescent="0.2">
      <c r="A15" s="94"/>
      <c r="B15" s="42" t="s">
        <v>262</v>
      </c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44"/>
      <c r="AK15" s="295" t="s">
        <v>260</v>
      </c>
      <c r="AL15" s="296"/>
      <c r="AM15" s="297"/>
      <c r="AN15" s="297"/>
      <c r="AO15" s="297"/>
      <c r="AP15" s="297"/>
      <c r="AQ15" s="297"/>
      <c r="AR15" s="297"/>
      <c r="AS15" s="298"/>
      <c r="AT15" s="83"/>
      <c r="AU15" s="83"/>
      <c r="AV15" s="83"/>
      <c r="AW15" s="83"/>
      <c r="AX15" s="83"/>
      <c r="AY15" s="83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</row>
    <row r="16" spans="1:109" ht="12" customHeight="1" thickBot="1" x14ac:dyDescent="0.25">
      <c r="A16" s="84"/>
      <c r="B16" s="281"/>
      <c r="C16" s="281"/>
      <c r="D16" s="281"/>
      <c r="E16" s="281"/>
      <c r="F16" s="281"/>
      <c r="G16" s="281"/>
      <c r="H16" s="281"/>
      <c r="I16" s="281"/>
      <c r="J16" s="281"/>
      <c r="K16" s="281"/>
      <c r="L16" s="281"/>
      <c r="M16" s="281"/>
      <c r="N16" s="281"/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  <c r="AF16" s="281"/>
      <c r="AG16" s="281"/>
      <c r="AH16" s="281"/>
      <c r="AI16" s="281"/>
      <c r="AJ16" s="44"/>
      <c r="AK16" s="291" t="s">
        <v>263</v>
      </c>
      <c r="AL16" s="292"/>
      <c r="AM16" s="293"/>
      <c r="AN16" s="293"/>
      <c r="AO16" s="293"/>
      <c r="AP16" s="293"/>
      <c r="AQ16" s="293"/>
      <c r="AR16" s="293"/>
      <c r="AS16" s="294"/>
      <c r="AT16" s="96"/>
      <c r="AU16" s="96"/>
      <c r="AV16" s="96"/>
      <c r="AW16" s="96"/>
      <c r="AX16" s="96"/>
      <c r="AY16" s="96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2"/>
    </row>
    <row r="17" spans="1:109" ht="12" customHeight="1" x14ac:dyDescent="0.2">
      <c r="A17" s="84"/>
      <c r="B17" s="281"/>
      <c r="C17" s="281"/>
      <c r="D17" s="281"/>
      <c r="E17" s="281"/>
      <c r="F17" s="281"/>
      <c r="G17" s="281"/>
      <c r="H17" s="281"/>
      <c r="I17" s="281"/>
      <c r="J17" s="281"/>
      <c r="K17" s="281"/>
      <c r="L17" s="281"/>
      <c r="M17" s="281"/>
      <c r="N17" s="281"/>
      <c r="O17" s="281"/>
      <c r="P17" s="281"/>
      <c r="Q17" s="281"/>
      <c r="R17" s="281"/>
      <c r="S17" s="281"/>
      <c r="T17" s="281"/>
      <c r="U17" s="281"/>
      <c r="V17" s="281"/>
      <c r="W17" s="281"/>
      <c r="X17" s="281"/>
      <c r="Y17" s="281"/>
      <c r="Z17" s="281"/>
      <c r="AA17" s="281"/>
      <c r="AB17" s="281"/>
      <c r="AC17" s="281"/>
      <c r="AD17" s="281"/>
      <c r="AE17" s="281"/>
      <c r="AF17" s="281"/>
      <c r="AG17" s="281"/>
      <c r="AH17" s="281"/>
      <c r="AI17" s="281"/>
      <c r="AJ17" s="44"/>
      <c r="AK17" s="598"/>
      <c r="AL17" s="598"/>
      <c r="AM17" s="44"/>
      <c r="AN17" s="44"/>
      <c r="AO17" s="44"/>
      <c r="AP17" s="92"/>
      <c r="AQ17" s="92"/>
      <c r="AR17" s="92"/>
      <c r="AS17" s="92"/>
      <c r="AT17" s="83"/>
      <c r="AU17" s="83"/>
      <c r="AV17" s="83"/>
      <c r="AW17" s="83"/>
      <c r="AX17" s="83"/>
      <c r="AY17" s="83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2"/>
    </row>
    <row r="18" spans="1:109" ht="12" customHeight="1" x14ac:dyDescent="0.2">
      <c r="A18" s="84"/>
      <c r="B18" s="281"/>
      <c r="C18" s="281"/>
      <c r="D18" s="281"/>
      <c r="E18" s="281"/>
      <c r="F18" s="281"/>
      <c r="G18" s="281"/>
      <c r="H18" s="281"/>
      <c r="I18" s="281"/>
      <c r="J18" s="281"/>
      <c r="K18" s="281"/>
      <c r="L18" s="281"/>
      <c r="M18" s="281"/>
      <c r="N18" s="281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1"/>
      <c r="AC18" s="281"/>
      <c r="AD18" s="281"/>
      <c r="AE18" s="281"/>
      <c r="AF18" s="281"/>
      <c r="AG18" s="281"/>
      <c r="AH18" s="281"/>
      <c r="AI18" s="281"/>
      <c r="AJ18" s="44"/>
      <c r="AK18" s="44"/>
      <c r="AL18" s="44"/>
      <c r="AM18" s="44"/>
      <c r="AN18" s="44"/>
      <c r="AO18" s="44"/>
      <c r="AP18" s="92"/>
      <c r="AQ18" s="92"/>
      <c r="AR18" s="92"/>
      <c r="AS18" s="92"/>
      <c r="AT18" s="96"/>
      <c r="AU18" s="96"/>
      <c r="AV18" s="96"/>
      <c r="AW18" s="96"/>
      <c r="AX18" s="96"/>
      <c r="AY18" s="96"/>
      <c r="AZ18" s="97"/>
      <c r="BA18" s="97"/>
      <c r="BB18" s="97"/>
      <c r="BC18" s="97"/>
      <c r="BD18" s="97"/>
      <c r="BE18" s="97"/>
      <c r="BF18" s="97"/>
      <c r="BG18" s="97"/>
      <c r="BH18" s="97"/>
      <c r="BI18" s="97"/>
      <c r="BJ18" s="97"/>
      <c r="BK18" s="97"/>
      <c r="BL18" s="97"/>
      <c r="BM18" s="97"/>
      <c r="BN18" s="97"/>
      <c r="BO18" s="97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2"/>
    </row>
    <row r="19" spans="1:109" ht="12" customHeight="1" x14ac:dyDescent="0.2">
      <c r="A19" s="84"/>
      <c r="B19" s="281"/>
      <c r="C19" s="281"/>
      <c r="D19" s="281"/>
      <c r="E19" s="281"/>
      <c r="F19" s="281"/>
      <c r="G19" s="281"/>
      <c r="H19" s="281"/>
      <c r="I19" s="281"/>
      <c r="J19" s="281"/>
      <c r="K19" s="281"/>
      <c r="L19" s="281"/>
      <c r="M19" s="281"/>
      <c r="N19" s="281"/>
      <c r="O19" s="281"/>
      <c r="P19" s="281"/>
      <c r="Q19" s="281"/>
      <c r="R19" s="281"/>
      <c r="S19" s="281"/>
      <c r="T19" s="281"/>
      <c r="U19" s="281"/>
      <c r="V19" s="281"/>
      <c r="W19" s="281"/>
      <c r="X19" s="281"/>
      <c r="Y19" s="281"/>
      <c r="Z19" s="281"/>
      <c r="AA19" s="281"/>
      <c r="AB19" s="281"/>
      <c r="AC19" s="281"/>
      <c r="AD19" s="281"/>
      <c r="AE19" s="281"/>
      <c r="AF19" s="281"/>
      <c r="AG19" s="281"/>
      <c r="AH19" s="281"/>
      <c r="AI19" s="281"/>
      <c r="AJ19" s="44"/>
      <c r="AK19" s="44"/>
      <c r="AL19" s="44"/>
      <c r="AM19" s="44"/>
      <c r="AN19" s="44"/>
      <c r="AO19" s="44"/>
      <c r="AP19" s="92"/>
      <c r="AQ19" s="92"/>
      <c r="AR19" s="92"/>
      <c r="AS19" s="92"/>
      <c r="AT19" s="83"/>
      <c r="AU19" s="83"/>
      <c r="AV19" s="83"/>
      <c r="AW19" s="83"/>
      <c r="AX19" s="83"/>
      <c r="AY19" s="83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2"/>
    </row>
    <row r="20" spans="1:109" ht="12" customHeight="1" x14ac:dyDescent="0.2">
      <c r="A20" s="84"/>
      <c r="B20" s="281"/>
      <c r="C20" s="281"/>
      <c r="D20" s="281"/>
      <c r="E20" s="281"/>
      <c r="F20" s="281"/>
      <c r="G20" s="281"/>
      <c r="H20" s="281"/>
      <c r="I20" s="281"/>
      <c r="J20" s="281"/>
      <c r="K20" s="281"/>
      <c r="L20" s="281"/>
      <c r="M20" s="281"/>
      <c r="N20" s="281"/>
      <c r="O20" s="281"/>
      <c r="P20" s="281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1"/>
      <c r="AC20" s="281"/>
      <c r="AD20" s="281"/>
      <c r="AE20" s="281"/>
      <c r="AF20" s="281"/>
      <c r="AG20" s="281"/>
      <c r="AH20" s="281"/>
      <c r="AI20" s="281"/>
      <c r="AJ20" s="44"/>
      <c r="AK20" s="98"/>
      <c r="AL20" s="98"/>
      <c r="AM20" s="98"/>
      <c r="AN20" s="98"/>
      <c r="AO20" s="98"/>
      <c r="AP20" s="98"/>
      <c r="AQ20" s="98"/>
      <c r="AR20" s="98"/>
      <c r="AS20" s="98"/>
      <c r="AT20" s="96"/>
      <c r="AU20" s="96"/>
      <c r="AV20" s="96"/>
      <c r="AW20" s="96"/>
      <c r="AX20" s="96"/>
      <c r="AY20" s="96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2"/>
    </row>
    <row r="21" spans="1:109" ht="12" x14ac:dyDescent="0.2">
      <c r="A21" s="84"/>
      <c r="B21" s="281"/>
      <c r="C21" s="281"/>
      <c r="D21" s="281"/>
      <c r="E21" s="281"/>
      <c r="F21" s="281"/>
      <c r="G21" s="281"/>
      <c r="H21" s="281"/>
      <c r="I21" s="281"/>
      <c r="J21" s="281"/>
      <c r="K21" s="281"/>
      <c r="L21" s="281"/>
      <c r="M21" s="281"/>
      <c r="N21" s="281"/>
      <c r="O21" s="281"/>
      <c r="P21" s="281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1"/>
      <c r="AC21" s="281"/>
      <c r="AD21" s="281"/>
      <c r="AE21" s="281"/>
      <c r="AF21" s="281"/>
      <c r="AG21" s="281"/>
      <c r="AH21" s="281"/>
      <c r="AI21" s="281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2"/>
    </row>
    <row r="22" spans="1:109" ht="12" customHeight="1" x14ac:dyDescent="0.2">
      <c r="A22" s="84"/>
      <c r="B22" s="281"/>
      <c r="C22" s="281"/>
      <c r="D22" s="281"/>
      <c r="E22" s="281"/>
      <c r="F22" s="281"/>
      <c r="G22" s="281"/>
      <c r="H22" s="281"/>
      <c r="I22" s="281"/>
      <c r="J22" s="281"/>
      <c r="K22" s="281"/>
      <c r="L22" s="281"/>
      <c r="M22" s="281"/>
      <c r="N22" s="281"/>
      <c r="O22" s="281"/>
      <c r="P22" s="281"/>
      <c r="Q22" s="281"/>
      <c r="R22" s="281"/>
      <c r="S22" s="281"/>
      <c r="T22" s="281"/>
      <c r="U22" s="281"/>
      <c r="V22" s="281"/>
      <c r="W22" s="281"/>
      <c r="X22" s="281"/>
      <c r="Y22" s="281"/>
      <c r="Z22" s="281"/>
      <c r="AA22" s="281"/>
      <c r="AB22" s="281"/>
      <c r="AC22" s="281"/>
      <c r="AD22" s="281"/>
      <c r="AE22" s="281"/>
      <c r="AF22" s="281"/>
      <c r="AG22" s="281"/>
      <c r="AH22" s="281"/>
      <c r="AI22" s="281"/>
      <c r="AJ22" s="44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0"/>
      <c r="AY22" s="80"/>
      <c r="AZ22" s="80"/>
      <c r="BA22" s="80"/>
      <c r="BB22" s="44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44"/>
      <c r="BU22" s="44"/>
      <c r="BV22" s="44"/>
      <c r="BW22" s="44"/>
      <c r="BX22" s="44"/>
      <c r="BY22" s="44"/>
      <c r="BZ22" s="44"/>
      <c r="CA22" s="44"/>
      <c r="CB22" s="44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2"/>
    </row>
    <row r="23" spans="1:109" ht="12" customHeight="1" x14ac:dyDescent="0.2">
      <c r="A23" s="84"/>
      <c r="B23" s="281"/>
      <c r="C23" s="281"/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281"/>
      <c r="X23" s="281"/>
      <c r="Y23" s="281"/>
      <c r="Z23" s="281"/>
      <c r="AA23" s="281"/>
      <c r="AB23" s="281"/>
      <c r="AC23" s="281"/>
      <c r="AD23" s="281"/>
      <c r="AE23" s="281"/>
      <c r="AF23" s="281"/>
      <c r="AG23" s="281"/>
      <c r="AH23" s="281"/>
      <c r="AI23" s="281"/>
      <c r="AJ23" s="44"/>
      <c r="AK23" s="54"/>
      <c r="AL23" s="54"/>
      <c r="AM23" s="54"/>
      <c r="AN23" s="54"/>
      <c r="AO23" s="54"/>
      <c r="AP23" s="83"/>
      <c r="AQ23" s="83"/>
      <c r="AR23" s="83"/>
      <c r="AS23" s="83"/>
      <c r="AT23" s="83"/>
      <c r="AU23" s="83"/>
      <c r="AV23" s="83"/>
      <c r="AW23" s="83"/>
      <c r="AX23" s="80"/>
      <c r="AY23" s="80"/>
      <c r="AZ23" s="80"/>
      <c r="BA23" s="80"/>
      <c r="BB23" s="44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44"/>
      <c r="BU23" s="44"/>
      <c r="BV23" s="44"/>
      <c r="BW23" s="44"/>
      <c r="BX23" s="44"/>
      <c r="BY23" s="44"/>
      <c r="BZ23" s="44"/>
      <c r="CA23" s="44"/>
      <c r="CB23" s="44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2"/>
    </row>
    <row r="24" spans="1:109" ht="12" customHeight="1" x14ac:dyDescent="0.2">
      <c r="A24" s="84"/>
      <c r="B24" s="281"/>
      <c r="C24" s="281"/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  <c r="AF24" s="281"/>
      <c r="AG24" s="281"/>
      <c r="AH24" s="281"/>
      <c r="AI24" s="281"/>
      <c r="AJ24" s="44"/>
      <c r="AK24" s="54"/>
      <c r="AL24" s="54"/>
      <c r="AM24" s="54"/>
      <c r="AN24" s="54"/>
      <c r="AO24" s="54"/>
      <c r="AP24" s="83"/>
      <c r="AQ24" s="83"/>
      <c r="AR24" s="83"/>
      <c r="AS24" s="83"/>
      <c r="AT24" s="83"/>
      <c r="AU24" s="83"/>
      <c r="AV24" s="83"/>
      <c r="AW24" s="83"/>
      <c r="AX24" s="80"/>
      <c r="AY24" s="80"/>
      <c r="AZ24" s="80"/>
      <c r="BA24" s="80"/>
      <c r="BB24" s="44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44"/>
      <c r="BU24" s="44"/>
      <c r="BV24" s="44"/>
      <c r="BW24" s="44"/>
      <c r="BX24" s="44"/>
      <c r="BY24" s="44"/>
      <c r="BZ24" s="44"/>
      <c r="CA24" s="44"/>
      <c r="CB24" s="44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2"/>
    </row>
    <row r="25" spans="1:109" ht="12" customHeight="1" x14ac:dyDescent="0.2">
      <c r="A25" s="84"/>
      <c r="B25" s="281"/>
      <c r="C25" s="281"/>
      <c r="D25" s="281"/>
      <c r="E25" s="281"/>
      <c r="F25" s="281"/>
      <c r="G25" s="281"/>
      <c r="H25" s="281"/>
      <c r="I25" s="281"/>
      <c r="J25" s="281"/>
      <c r="K25" s="281"/>
      <c r="L25" s="281"/>
      <c r="M25" s="281"/>
      <c r="N25" s="281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  <c r="AF25" s="281"/>
      <c r="AG25" s="281"/>
      <c r="AH25" s="281"/>
      <c r="AI25" s="281"/>
      <c r="AJ25" s="44"/>
      <c r="AK25" s="54"/>
      <c r="AL25" s="54"/>
      <c r="AM25" s="54"/>
      <c r="AN25" s="54"/>
      <c r="AO25" s="54"/>
      <c r="AP25" s="83"/>
      <c r="AQ25" s="83"/>
      <c r="AR25" s="83"/>
      <c r="AS25" s="83"/>
      <c r="AT25" s="83"/>
      <c r="AU25" s="83"/>
      <c r="AV25" s="83"/>
      <c r="AW25" s="83"/>
      <c r="AX25" s="80"/>
      <c r="AY25" s="80"/>
      <c r="AZ25" s="80"/>
      <c r="BA25" s="80"/>
      <c r="BB25" s="44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44"/>
      <c r="BU25" s="44"/>
      <c r="BV25" s="44"/>
      <c r="BW25" s="44"/>
      <c r="BX25" s="44"/>
      <c r="BY25" s="44"/>
      <c r="BZ25" s="44"/>
      <c r="CA25" s="44"/>
      <c r="CB25" s="44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2"/>
    </row>
    <row r="26" spans="1:109" ht="12.75" customHeight="1" x14ac:dyDescent="0.2">
      <c r="A26" s="84"/>
      <c r="B26" s="281"/>
      <c r="C26" s="281"/>
      <c r="D26" s="281"/>
      <c r="E26" s="281"/>
      <c r="F26" s="281"/>
      <c r="G26" s="281"/>
      <c r="H26" s="281"/>
      <c r="I26" s="281"/>
      <c r="J26" s="281"/>
      <c r="K26" s="281"/>
      <c r="L26" s="281"/>
      <c r="M26" s="281"/>
      <c r="N26" s="281"/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  <c r="AF26" s="281"/>
      <c r="AG26" s="281"/>
      <c r="AH26" s="281"/>
      <c r="AI26" s="281"/>
      <c r="AJ26" s="44"/>
      <c r="AK26" s="54"/>
      <c r="AL26" s="54"/>
      <c r="AM26" s="54"/>
      <c r="AN26" s="54"/>
      <c r="AO26" s="54"/>
      <c r="AP26" s="83"/>
      <c r="AQ26" s="83"/>
      <c r="AR26" s="83"/>
      <c r="AS26" s="83"/>
      <c r="AT26" s="83"/>
      <c r="AU26" s="83"/>
      <c r="AV26" s="83"/>
      <c r="AW26" s="83"/>
      <c r="AX26" s="80"/>
      <c r="AY26" s="80"/>
      <c r="AZ26" s="80"/>
      <c r="BA26" s="80"/>
      <c r="BB26" s="44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44"/>
      <c r="BU26" s="44"/>
      <c r="BV26" s="44"/>
      <c r="BW26" s="44"/>
      <c r="BX26" s="44"/>
      <c r="BY26" s="44"/>
      <c r="BZ26" s="44"/>
      <c r="CA26" s="44"/>
      <c r="CB26" s="44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2"/>
    </row>
    <row r="27" spans="1:109" ht="12" customHeight="1" x14ac:dyDescent="0.2">
      <c r="A27" s="84"/>
      <c r="B27" s="281"/>
      <c r="C27" s="281"/>
      <c r="D27" s="281"/>
      <c r="E27" s="281"/>
      <c r="F27" s="281"/>
      <c r="G27" s="281"/>
      <c r="H27" s="281"/>
      <c r="I27" s="281"/>
      <c r="J27" s="281"/>
      <c r="K27" s="281"/>
      <c r="L27" s="281"/>
      <c r="M27" s="281"/>
      <c r="N27" s="281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  <c r="AF27" s="281"/>
      <c r="AG27" s="281"/>
      <c r="AH27" s="281"/>
      <c r="AI27" s="281"/>
      <c r="AJ27" s="44"/>
      <c r="AK27" s="97"/>
      <c r="AL27" s="97"/>
      <c r="AM27" s="97"/>
      <c r="AN27" s="97"/>
      <c r="AO27" s="97"/>
      <c r="AP27" s="83"/>
      <c r="AQ27" s="83"/>
      <c r="AR27" s="83"/>
      <c r="AS27" s="83"/>
      <c r="AT27" s="83"/>
      <c r="AU27" s="83"/>
      <c r="AV27" s="83"/>
      <c r="AW27" s="83"/>
      <c r="AX27" s="80"/>
      <c r="AY27" s="80"/>
      <c r="AZ27" s="80"/>
      <c r="BA27" s="80"/>
      <c r="BB27" s="44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44"/>
      <c r="BU27" s="44"/>
      <c r="BV27" s="44"/>
      <c r="BW27" s="44"/>
      <c r="BX27" s="44"/>
      <c r="BY27" s="44"/>
      <c r="BZ27" s="44"/>
      <c r="CA27" s="44"/>
      <c r="CB27" s="44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2"/>
    </row>
    <row r="28" spans="1:109" ht="12" customHeight="1" x14ac:dyDescent="0.2">
      <c r="A28" s="84"/>
      <c r="B28" s="281"/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  <c r="AF28" s="281"/>
      <c r="AG28" s="281"/>
      <c r="AH28" s="281"/>
      <c r="AI28" s="281"/>
      <c r="AJ28" s="44"/>
      <c r="AK28" s="44"/>
      <c r="AL28" s="44"/>
      <c r="AM28" s="44"/>
      <c r="AN28" s="44"/>
      <c r="AO28" s="44"/>
      <c r="AP28" s="83"/>
      <c r="AQ28" s="83"/>
      <c r="AR28" s="83"/>
      <c r="AS28" s="83"/>
      <c r="AT28" s="83"/>
      <c r="AU28" s="83"/>
      <c r="AV28" s="83"/>
      <c r="AW28" s="83"/>
      <c r="AX28" s="80"/>
      <c r="AY28" s="80"/>
      <c r="AZ28" s="80"/>
      <c r="BA28" s="80"/>
      <c r="BB28" s="44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44"/>
      <c r="BU28" s="44"/>
      <c r="BV28" s="44"/>
      <c r="BW28" s="44"/>
      <c r="BX28" s="44"/>
      <c r="BY28" s="44"/>
      <c r="BZ28" s="44"/>
      <c r="CA28" s="44"/>
      <c r="CB28" s="44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  <c r="DE28" s="52"/>
    </row>
    <row r="29" spans="1:109" ht="12" customHeight="1" x14ac:dyDescent="0.2">
      <c r="A29" s="84"/>
      <c r="B29" s="281"/>
      <c r="C29" s="281"/>
      <c r="D29" s="281"/>
      <c r="E29" s="281"/>
      <c r="F29" s="281"/>
      <c r="G29" s="281"/>
      <c r="H29" s="281"/>
      <c r="I29" s="281"/>
      <c r="J29" s="281"/>
      <c r="K29" s="281"/>
      <c r="L29" s="281"/>
      <c r="M29" s="281"/>
      <c r="N29" s="281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  <c r="AF29" s="281"/>
      <c r="AG29" s="281"/>
      <c r="AH29" s="281"/>
      <c r="AI29" s="281"/>
      <c r="AJ29" s="44"/>
      <c r="AK29" s="44"/>
      <c r="AL29" s="44"/>
      <c r="AM29" s="44"/>
      <c r="AN29" s="44"/>
      <c r="AO29" s="44"/>
      <c r="AP29" s="83"/>
      <c r="AQ29" s="83"/>
      <c r="AR29" s="83"/>
      <c r="AS29" s="83"/>
      <c r="AT29" s="83"/>
      <c r="AU29" s="83"/>
      <c r="AV29" s="83"/>
      <c r="AW29" s="83"/>
      <c r="AX29" s="80"/>
      <c r="AY29" s="80"/>
      <c r="AZ29" s="80"/>
      <c r="BA29" s="80"/>
      <c r="BB29" s="44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44"/>
      <c r="BU29" s="44"/>
      <c r="BV29" s="44"/>
      <c r="BW29" s="44"/>
      <c r="BX29" s="44"/>
      <c r="BY29" s="44"/>
      <c r="BZ29" s="44"/>
      <c r="CA29" s="44"/>
      <c r="CB29" s="44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2"/>
    </row>
    <row r="30" spans="1:109" ht="12" x14ac:dyDescent="0.2">
      <c r="A30" s="84"/>
      <c r="B30" s="281"/>
      <c r="C30" s="281"/>
      <c r="D30" s="281"/>
      <c r="E30" s="281"/>
      <c r="F30" s="281"/>
      <c r="G30" s="281"/>
      <c r="H30" s="281"/>
      <c r="I30" s="281"/>
      <c r="J30" s="281"/>
      <c r="K30" s="281"/>
      <c r="L30" s="281"/>
      <c r="M30" s="281"/>
      <c r="N30" s="281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  <c r="AF30" s="281"/>
      <c r="AG30" s="281"/>
      <c r="AH30" s="281"/>
      <c r="AI30" s="281"/>
      <c r="AJ30" s="44"/>
      <c r="AK30" s="44"/>
      <c r="AL30" s="44"/>
      <c r="AM30" s="44"/>
      <c r="AN30" s="44"/>
      <c r="AO30" s="44"/>
      <c r="AP30" s="83"/>
      <c r="AQ30" s="83"/>
      <c r="AR30" s="83"/>
      <c r="AS30" s="83"/>
      <c r="AT30" s="83"/>
      <c r="AU30" s="83"/>
      <c r="AV30" s="83"/>
      <c r="AW30" s="83"/>
      <c r="AX30" s="80"/>
      <c r="AY30" s="80"/>
      <c r="AZ30" s="80"/>
      <c r="BA30" s="80"/>
      <c r="BB30" s="44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44"/>
      <c r="BU30" s="44"/>
      <c r="BV30" s="44"/>
      <c r="BW30" s="44"/>
      <c r="BX30" s="44"/>
      <c r="BY30" s="44"/>
      <c r="BZ30" s="44"/>
      <c r="CA30" s="44"/>
      <c r="CB30" s="44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2"/>
    </row>
    <row r="31" spans="1:109" ht="12" customHeight="1" x14ac:dyDescent="0.2">
      <c r="A31" s="84"/>
      <c r="B31" s="281"/>
      <c r="C31" s="281"/>
      <c r="D31" s="281"/>
      <c r="E31" s="281"/>
      <c r="F31" s="281"/>
      <c r="G31" s="281"/>
      <c r="H31" s="281"/>
      <c r="I31" s="281"/>
      <c r="J31" s="281"/>
      <c r="K31" s="281"/>
      <c r="L31" s="281"/>
      <c r="M31" s="281"/>
      <c r="N31" s="281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  <c r="AF31" s="281"/>
      <c r="AG31" s="281"/>
      <c r="AH31" s="281"/>
      <c r="AI31" s="281"/>
      <c r="AJ31" s="44"/>
      <c r="AK31" s="44"/>
      <c r="AL31" s="44"/>
      <c r="AM31" s="44"/>
      <c r="AN31" s="44"/>
      <c r="AO31" s="44"/>
      <c r="AP31" s="83"/>
      <c r="AQ31" s="83"/>
      <c r="AR31" s="83"/>
      <c r="AS31" s="83"/>
      <c r="AT31" s="83"/>
      <c r="AU31" s="83"/>
      <c r="AV31" s="83"/>
      <c r="AW31" s="83"/>
      <c r="AX31" s="80"/>
      <c r="AY31" s="80"/>
      <c r="AZ31" s="80"/>
      <c r="BA31" s="80"/>
      <c r="BB31" s="44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44"/>
      <c r="BU31" s="44"/>
      <c r="BV31" s="44"/>
      <c r="BW31" s="44"/>
      <c r="BX31" s="44"/>
      <c r="BY31" s="44"/>
      <c r="BZ31" s="44"/>
      <c r="CA31" s="44"/>
      <c r="CB31" s="44"/>
      <c r="CC31" s="51"/>
      <c r="CD31" s="51"/>
      <c r="CE31" s="51"/>
      <c r="CF31" s="51"/>
      <c r="CG31" s="51"/>
    </row>
    <row r="32" spans="1:109" ht="12" x14ac:dyDescent="0.2">
      <c r="A32" s="84"/>
      <c r="B32" s="281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  <c r="AF32" s="281"/>
      <c r="AG32" s="281"/>
      <c r="AH32" s="281"/>
      <c r="AI32" s="281"/>
      <c r="AJ32" s="44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44"/>
      <c r="AX32" s="44"/>
      <c r="AY32" s="44"/>
      <c r="AZ32" s="44"/>
      <c r="BA32" s="44"/>
      <c r="BB32" s="4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44"/>
      <c r="BU32" s="44"/>
      <c r="BV32" s="44"/>
      <c r="BW32" s="44"/>
      <c r="BX32" s="44"/>
      <c r="BY32" s="44"/>
      <c r="BZ32" s="44"/>
      <c r="CA32" s="44"/>
      <c r="CB32" s="44"/>
    </row>
    <row r="33" spans="1:80" ht="12.75" customHeight="1" x14ac:dyDescent="0.2">
      <c r="A33" s="84"/>
      <c r="B33" s="281"/>
      <c r="C33" s="281"/>
      <c r="D33" s="281"/>
      <c r="E33" s="281"/>
      <c r="F33" s="281"/>
      <c r="G33" s="281"/>
      <c r="H33" s="281"/>
      <c r="I33" s="281"/>
      <c r="J33" s="281"/>
      <c r="K33" s="281"/>
      <c r="L33" s="281"/>
      <c r="M33" s="281"/>
      <c r="N33" s="281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  <c r="AF33" s="281"/>
      <c r="AG33" s="281"/>
      <c r="AH33" s="281"/>
      <c r="AI33" s="281"/>
      <c r="AJ33" s="44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44"/>
      <c r="AX33" s="44"/>
      <c r="AY33" s="44"/>
      <c r="AZ33" s="44"/>
      <c r="BA33" s="44"/>
      <c r="BB33" s="4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54"/>
      <c r="BT33" s="44"/>
      <c r="BU33" s="44"/>
      <c r="BV33" s="44"/>
      <c r="BW33" s="44"/>
      <c r="BX33" s="44"/>
      <c r="BY33" s="44"/>
      <c r="BZ33" s="44"/>
      <c r="CA33" s="44"/>
      <c r="CB33" s="44"/>
    </row>
    <row r="34" spans="1:80" ht="12.75" customHeight="1" x14ac:dyDescent="0.2">
      <c r="A34" s="84"/>
      <c r="B34" s="281"/>
      <c r="C34" s="281"/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  <c r="AF34" s="281"/>
      <c r="AG34" s="281"/>
      <c r="AH34" s="281"/>
      <c r="AI34" s="281"/>
      <c r="AJ34" s="44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</row>
    <row r="35" spans="1:80" ht="12" customHeight="1" x14ac:dyDescent="0.2">
      <c r="A35" s="84"/>
      <c r="B35" s="281"/>
      <c r="C35" s="281"/>
      <c r="D35" s="281"/>
      <c r="E35" s="281"/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  <c r="AF35" s="281"/>
      <c r="AG35" s="281"/>
      <c r="AH35" s="281"/>
      <c r="AI35" s="281"/>
      <c r="AJ35" s="44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</row>
    <row r="36" spans="1:80" ht="12" x14ac:dyDescent="0.2">
      <c r="A36" s="84"/>
      <c r="B36" s="281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  <c r="AF36" s="281"/>
      <c r="AG36" s="281"/>
      <c r="AH36" s="281"/>
      <c r="AI36" s="281"/>
      <c r="AJ36" s="44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</row>
    <row r="37" spans="1:80" ht="12" x14ac:dyDescent="0.2">
      <c r="A37" s="84"/>
      <c r="B37" s="281"/>
      <c r="C37" s="281"/>
      <c r="D37" s="281"/>
      <c r="E37" s="281"/>
      <c r="F37" s="281"/>
      <c r="G37" s="281"/>
      <c r="H37" s="281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  <c r="AF37" s="281"/>
      <c r="AG37" s="281"/>
      <c r="AH37" s="281"/>
      <c r="AI37" s="281"/>
      <c r="AJ37" s="44"/>
      <c r="AK37" s="44"/>
      <c r="AL37" s="44"/>
      <c r="AM37" s="82"/>
      <c r="AN37" s="82"/>
      <c r="AO37" s="82"/>
      <c r="AP37" s="82"/>
      <c r="AQ37" s="82"/>
      <c r="AR37" s="82"/>
      <c r="AS37" s="82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</row>
    <row r="38" spans="1:80" ht="12.6" customHeight="1" x14ac:dyDescent="0.2">
      <c r="A38" s="84"/>
      <c r="B38" s="281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  <c r="AF38" s="281"/>
      <c r="AG38" s="281"/>
      <c r="AH38" s="281"/>
      <c r="AI38" s="281"/>
      <c r="AJ38" s="44"/>
      <c r="AK38" s="100"/>
      <c r="AL38" s="83"/>
      <c r="AM38" s="82"/>
      <c r="AN38" s="82"/>
      <c r="AO38" s="82"/>
      <c r="AP38" s="82"/>
      <c r="AQ38" s="82"/>
      <c r="AR38" s="82"/>
      <c r="AS38" s="82"/>
      <c r="AT38" s="44"/>
      <c r="AU38" s="83"/>
      <c r="AV38" s="83"/>
      <c r="AW38" s="83"/>
      <c r="AX38" s="83"/>
      <c r="AY38" s="83"/>
      <c r="AZ38" s="83"/>
      <c r="BA38" s="83"/>
      <c r="BB38" s="83"/>
      <c r="BC38" s="83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3"/>
      <c r="BP38" s="83"/>
      <c r="BQ38" s="83"/>
      <c r="BR38" s="83"/>
      <c r="BS38" s="83"/>
      <c r="BT38" s="83"/>
      <c r="BU38" s="83"/>
      <c r="BV38" s="83"/>
      <c r="BW38" s="83"/>
      <c r="BX38" s="83"/>
      <c r="BY38" s="83"/>
      <c r="BZ38" s="83"/>
      <c r="CA38" s="83"/>
      <c r="CB38" s="44"/>
    </row>
    <row r="39" spans="1:80" ht="12" customHeight="1" x14ac:dyDescent="0.2">
      <c r="A39" s="84"/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  <c r="AF39" s="281"/>
      <c r="AG39" s="281"/>
      <c r="AH39" s="281"/>
      <c r="AI39" s="281"/>
      <c r="AJ39" s="44"/>
      <c r="AK39" s="83"/>
      <c r="AL39" s="83"/>
      <c r="AM39" s="82"/>
      <c r="AN39" s="82"/>
      <c r="AO39" s="82"/>
      <c r="AP39" s="82"/>
      <c r="AQ39" s="82"/>
      <c r="AR39" s="82"/>
      <c r="AS39" s="82"/>
      <c r="AT39" s="44"/>
      <c r="AU39" s="44"/>
      <c r="AV39" s="4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44"/>
    </row>
    <row r="40" spans="1:80" ht="12" customHeight="1" x14ac:dyDescent="0.2">
      <c r="A40" s="84"/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  <c r="AF40" s="281"/>
      <c r="AG40" s="281"/>
      <c r="AH40" s="281"/>
      <c r="AI40" s="281"/>
      <c r="AJ40" s="44"/>
      <c r="AK40" s="54"/>
      <c r="AL40" s="54"/>
      <c r="AM40" s="82"/>
      <c r="AN40" s="82"/>
      <c r="AO40" s="82"/>
      <c r="AP40" s="82"/>
      <c r="AQ40" s="82"/>
      <c r="AR40" s="82"/>
      <c r="AS40" s="82"/>
      <c r="AT40" s="44"/>
      <c r="AU40" s="44"/>
      <c r="AV40" s="4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44"/>
    </row>
    <row r="41" spans="1:80" ht="12" customHeight="1" x14ac:dyDescent="0.2">
      <c r="A41" s="84"/>
      <c r="B41" s="281"/>
      <c r="C41" s="281"/>
      <c r="D41" s="281"/>
      <c r="E41" s="281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  <c r="AF41" s="281"/>
      <c r="AG41" s="281"/>
      <c r="AH41" s="281"/>
      <c r="AI41" s="281"/>
      <c r="AJ41" s="44"/>
      <c r="AK41" s="54"/>
      <c r="AL41" s="54"/>
      <c r="AM41" s="82"/>
      <c r="AN41" s="82"/>
      <c r="AO41" s="82"/>
      <c r="AP41" s="82"/>
      <c r="AQ41" s="82"/>
      <c r="AR41" s="82"/>
      <c r="AS41" s="82"/>
      <c r="AT41" s="44"/>
      <c r="AU41" s="44"/>
      <c r="AV41" s="4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44"/>
    </row>
    <row r="42" spans="1:80" ht="12" customHeight="1" x14ac:dyDescent="0.2">
      <c r="A42" s="84"/>
      <c r="B42" s="281"/>
      <c r="C42" s="281"/>
      <c r="D42" s="281"/>
      <c r="E42" s="281"/>
      <c r="F42" s="281"/>
      <c r="G42" s="281"/>
      <c r="H42" s="281"/>
      <c r="I42" s="281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  <c r="AF42" s="281"/>
      <c r="AG42" s="281"/>
      <c r="AH42" s="281"/>
      <c r="AI42" s="281"/>
      <c r="AJ42" s="44"/>
      <c r="AK42" s="54"/>
      <c r="AL42" s="54"/>
      <c r="AM42" s="82"/>
      <c r="AN42" s="82"/>
      <c r="AO42" s="82"/>
      <c r="AP42" s="82"/>
      <c r="AQ42" s="82"/>
      <c r="AR42" s="82"/>
      <c r="AS42" s="82"/>
      <c r="AT42" s="44"/>
      <c r="AU42" s="44"/>
      <c r="AV42" s="4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44"/>
    </row>
    <row r="43" spans="1:80" ht="12" customHeight="1" x14ac:dyDescent="0.2">
      <c r="A43" s="84"/>
      <c r="B43" s="281"/>
      <c r="C43" s="281"/>
      <c r="D43" s="281"/>
      <c r="E43" s="281"/>
      <c r="F43" s="281"/>
      <c r="G43" s="281"/>
      <c r="H43" s="281"/>
      <c r="I43" s="281"/>
      <c r="J43" s="281"/>
      <c r="K43" s="281"/>
      <c r="L43" s="281"/>
      <c r="M43" s="281"/>
      <c r="N43" s="2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  <c r="AF43" s="281"/>
      <c r="AG43" s="281"/>
      <c r="AH43" s="281"/>
      <c r="AI43" s="281"/>
      <c r="AJ43" s="44"/>
      <c r="AK43" s="54"/>
      <c r="AL43" s="54"/>
      <c r="AM43" s="82"/>
      <c r="AN43" s="82"/>
      <c r="AO43" s="82"/>
      <c r="AP43" s="82"/>
      <c r="AQ43" s="82"/>
      <c r="AR43" s="82"/>
      <c r="AS43" s="82"/>
      <c r="AT43" s="44"/>
      <c r="AU43" s="44"/>
      <c r="AV43" s="4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44"/>
    </row>
    <row r="44" spans="1:80" ht="12" customHeight="1" x14ac:dyDescent="0.2">
      <c r="A44" s="84"/>
      <c r="B44" s="281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44"/>
      <c r="AK44" s="54"/>
      <c r="AL44" s="54"/>
      <c r="AM44" s="82"/>
      <c r="AN44" s="82"/>
      <c r="AO44" s="82"/>
      <c r="AP44" s="82"/>
      <c r="AQ44" s="82"/>
      <c r="AR44" s="82"/>
      <c r="AS44" s="82"/>
      <c r="AT44" s="44"/>
      <c r="AU44" s="44"/>
      <c r="AV44" s="4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44"/>
    </row>
    <row r="45" spans="1:80" ht="12" customHeight="1" x14ac:dyDescent="0.2">
      <c r="A45" s="84"/>
      <c r="B45" s="281"/>
      <c r="C45" s="281"/>
      <c r="D45" s="281"/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  <c r="AF45" s="281"/>
      <c r="AG45" s="281"/>
      <c r="AH45" s="281"/>
      <c r="AI45" s="281"/>
      <c r="AJ45" s="44"/>
      <c r="AK45" s="54"/>
      <c r="AL45" s="54"/>
      <c r="AM45" s="82"/>
      <c r="AN45" s="82"/>
      <c r="AO45" s="82"/>
      <c r="AP45" s="82"/>
      <c r="AQ45" s="82"/>
      <c r="AR45" s="82"/>
      <c r="AS45" s="82"/>
      <c r="AT45" s="44"/>
      <c r="AU45" s="44"/>
      <c r="AV45" s="4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44"/>
    </row>
    <row r="46" spans="1:80" ht="12" customHeight="1" x14ac:dyDescent="0.2">
      <c r="A46" s="84"/>
      <c r="B46" s="281"/>
      <c r="C46" s="281"/>
      <c r="D46" s="281"/>
      <c r="E46" s="281"/>
      <c r="F46" s="281"/>
      <c r="G46" s="281"/>
      <c r="H46" s="281"/>
      <c r="I46" s="281"/>
      <c r="J46" s="281"/>
      <c r="K46" s="281"/>
      <c r="L46" s="281"/>
      <c r="M46" s="281"/>
      <c r="N46" s="281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  <c r="AF46" s="281"/>
      <c r="AG46" s="281"/>
      <c r="AH46" s="281"/>
      <c r="AI46" s="281"/>
      <c r="AJ46" s="44"/>
      <c r="AK46" s="54"/>
      <c r="AL46" s="54"/>
      <c r="AM46" s="82"/>
      <c r="AN46" s="82"/>
      <c r="AO46" s="82"/>
      <c r="AP46" s="82"/>
      <c r="AQ46" s="82"/>
      <c r="AR46" s="82"/>
      <c r="AS46" s="82"/>
      <c r="AT46" s="44"/>
      <c r="AU46" s="44"/>
      <c r="AV46" s="4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44"/>
    </row>
    <row r="47" spans="1:80" ht="12" customHeight="1" x14ac:dyDescent="0.2">
      <c r="A47" s="84"/>
      <c r="B47" s="281"/>
      <c r="C47" s="281"/>
      <c r="D47" s="281"/>
      <c r="E47" s="281"/>
      <c r="F47" s="281"/>
      <c r="G47" s="281"/>
      <c r="H47" s="281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81"/>
      <c r="AF47" s="281"/>
      <c r="AG47" s="281"/>
      <c r="AH47" s="281"/>
      <c r="AI47" s="281"/>
      <c r="AJ47" s="44"/>
      <c r="AK47" s="54"/>
      <c r="AL47" s="54"/>
      <c r="AM47" s="82"/>
      <c r="AN47" s="82"/>
      <c r="AO47" s="82"/>
      <c r="AP47" s="82"/>
      <c r="AQ47" s="82"/>
      <c r="AR47" s="82"/>
      <c r="AS47" s="82"/>
      <c r="AT47" s="44"/>
      <c r="AU47" s="44"/>
      <c r="AV47" s="4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  <c r="BM47" s="54"/>
      <c r="BN47" s="54"/>
      <c r="BO47" s="54"/>
      <c r="BP47" s="54"/>
      <c r="BQ47" s="54"/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44"/>
    </row>
    <row r="48" spans="1:80" ht="12" customHeight="1" x14ac:dyDescent="0.2">
      <c r="A48" s="84"/>
      <c r="B48" s="281"/>
      <c r="C48" s="281"/>
      <c r="D48" s="281"/>
      <c r="E48" s="281"/>
      <c r="F48" s="281"/>
      <c r="G48" s="281"/>
      <c r="H48" s="281"/>
      <c r="I48" s="281"/>
      <c r="J48" s="281"/>
      <c r="K48" s="281"/>
      <c r="L48" s="281"/>
      <c r="M48" s="281"/>
      <c r="N48" s="281"/>
      <c r="O48" s="281"/>
      <c r="P48" s="281"/>
      <c r="Q48" s="281"/>
      <c r="R48" s="281"/>
      <c r="S48" s="281"/>
      <c r="T48" s="281"/>
      <c r="U48" s="281"/>
      <c r="V48" s="281"/>
      <c r="W48" s="281"/>
      <c r="X48" s="281"/>
      <c r="Y48" s="281"/>
      <c r="Z48" s="281"/>
      <c r="AA48" s="281"/>
      <c r="AB48" s="281"/>
      <c r="AC48" s="281"/>
      <c r="AD48" s="281"/>
      <c r="AE48" s="281"/>
      <c r="AF48" s="281"/>
      <c r="AG48" s="281"/>
      <c r="AH48" s="281"/>
      <c r="AI48" s="281"/>
      <c r="AJ48" s="44"/>
      <c r="AK48" s="54"/>
      <c r="AL48" s="54"/>
      <c r="AM48" s="82"/>
      <c r="AN48" s="82"/>
      <c r="AO48" s="82"/>
      <c r="AP48" s="82"/>
      <c r="AQ48" s="82"/>
      <c r="AR48" s="82"/>
      <c r="AS48" s="82"/>
      <c r="AT48" s="44"/>
      <c r="AU48" s="44"/>
      <c r="AV48" s="4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44"/>
    </row>
    <row r="49" spans="1:80" ht="12" customHeight="1" x14ac:dyDescent="0.2">
      <c r="A49" s="84"/>
      <c r="B49" s="281"/>
      <c r="C49" s="281"/>
      <c r="D49" s="281"/>
      <c r="E49" s="281"/>
      <c r="F49" s="281"/>
      <c r="G49" s="281"/>
      <c r="H49" s="281"/>
      <c r="I49" s="281"/>
      <c r="J49" s="281"/>
      <c r="K49" s="281"/>
      <c r="L49" s="281"/>
      <c r="M49" s="281"/>
      <c r="N49" s="281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  <c r="AF49" s="281"/>
      <c r="AG49" s="281"/>
      <c r="AH49" s="281"/>
      <c r="AI49" s="281"/>
      <c r="AJ49" s="44"/>
      <c r="AK49" s="54"/>
      <c r="AL49" s="54"/>
      <c r="AM49" s="82"/>
      <c r="AN49" s="82"/>
      <c r="AO49" s="82"/>
      <c r="AP49" s="82"/>
      <c r="AQ49" s="82"/>
      <c r="AR49" s="82"/>
      <c r="AS49" s="82"/>
      <c r="AT49" s="44"/>
      <c r="AU49" s="44"/>
      <c r="AV49" s="4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44"/>
    </row>
    <row r="50" spans="1:80" ht="12" customHeight="1" x14ac:dyDescent="0.2">
      <c r="A50" s="84"/>
      <c r="B50" s="281"/>
      <c r="C50" s="281"/>
      <c r="D50" s="281"/>
      <c r="E50" s="281"/>
      <c r="F50" s="281"/>
      <c r="G50" s="281"/>
      <c r="H50" s="281"/>
      <c r="I50" s="281"/>
      <c r="J50" s="281"/>
      <c r="K50" s="281"/>
      <c r="L50" s="281"/>
      <c r="M50" s="281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44"/>
      <c r="AK50" s="54"/>
      <c r="AL50" s="54"/>
      <c r="AM50" s="82"/>
      <c r="AN50" s="82"/>
      <c r="AO50" s="82"/>
      <c r="AP50" s="82"/>
      <c r="AQ50" s="82"/>
      <c r="AR50" s="82"/>
      <c r="AS50" s="82"/>
      <c r="AT50" s="44"/>
      <c r="AU50" s="44"/>
      <c r="AV50" s="4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44"/>
    </row>
    <row r="51" spans="1:80" ht="12" customHeight="1" x14ac:dyDescent="0.2">
      <c r="A51" s="84"/>
      <c r="B51" s="281"/>
      <c r="C51" s="281"/>
      <c r="D51" s="281"/>
      <c r="E51" s="281"/>
      <c r="F51" s="281"/>
      <c r="G51" s="281"/>
      <c r="H51" s="281"/>
      <c r="I51" s="281"/>
      <c r="J51" s="281"/>
      <c r="K51" s="281"/>
      <c r="L51" s="281"/>
      <c r="M51" s="281"/>
      <c r="N51" s="281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  <c r="AF51" s="281"/>
      <c r="AG51" s="281"/>
      <c r="AH51" s="281"/>
      <c r="AI51" s="281"/>
      <c r="AJ51" s="44"/>
      <c r="AK51" s="54"/>
      <c r="AL51" s="54"/>
      <c r="AM51" s="82"/>
      <c r="AN51" s="82"/>
      <c r="AO51" s="82"/>
      <c r="AP51" s="82"/>
      <c r="AQ51" s="82"/>
      <c r="AR51" s="82"/>
      <c r="AS51" s="82"/>
      <c r="AT51" s="44"/>
      <c r="AU51" s="44"/>
      <c r="AV51" s="4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44"/>
    </row>
    <row r="52" spans="1:80" ht="12" customHeight="1" x14ac:dyDescent="0.2">
      <c r="A52" s="84"/>
      <c r="B52" s="281"/>
      <c r="C52" s="281"/>
      <c r="D52" s="281"/>
      <c r="E52" s="281"/>
      <c r="F52" s="281"/>
      <c r="G52" s="281"/>
      <c r="H52" s="281"/>
      <c r="I52" s="281"/>
      <c r="J52" s="281"/>
      <c r="K52" s="281"/>
      <c r="L52" s="281"/>
      <c r="M52" s="281"/>
      <c r="N52" s="281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  <c r="AF52" s="281"/>
      <c r="AG52" s="281"/>
      <c r="AH52" s="281"/>
      <c r="AI52" s="281"/>
      <c r="AJ52" s="44"/>
      <c r="AK52" s="44"/>
      <c r="AL52" s="44"/>
      <c r="AM52" s="82"/>
      <c r="AN52" s="82"/>
      <c r="AO52" s="82"/>
      <c r="AP52" s="82"/>
      <c r="AQ52" s="82"/>
      <c r="AR52" s="82"/>
      <c r="AS52" s="82"/>
      <c r="AT52" s="44"/>
      <c r="AU52" s="44"/>
      <c r="AV52" s="4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44"/>
    </row>
    <row r="53" spans="1:80" ht="12" customHeight="1" x14ac:dyDescent="0.2">
      <c r="A53" s="84"/>
      <c r="B53" s="281"/>
      <c r="C53" s="281"/>
      <c r="D53" s="281"/>
      <c r="E53" s="281"/>
      <c r="F53" s="281"/>
      <c r="G53" s="281"/>
      <c r="H53" s="281"/>
      <c r="I53" s="281"/>
      <c r="J53" s="281"/>
      <c r="K53" s="281"/>
      <c r="L53" s="281"/>
      <c r="M53" s="281"/>
      <c r="N53" s="281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  <c r="AF53" s="281"/>
      <c r="AG53" s="281"/>
      <c r="AH53" s="281"/>
      <c r="AI53" s="281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44"/>
    </row>
    <row r="54" spans="1:80" ht="12" customHeight="1" x14ac:dyDescent="0.2">
      <c r="A54" s="84"/>
      <c r="B54" s="281"/>
      <c r="C54" s="281"/>
      <c r="D54" s="281"/>
      <c r="E54" s="281"/>
      <c r="F54" s="281"/>
      <c r="G54" s="281"/>
      <c r="H54" s="281"/>
      <c r="I54" s="281"/>
      <c r="J54" s="281"/>
      <c r="K54" s="281"/>
      <c r="L54" s="281"/>
      <c r="M54" s="281"/>
      <c r="N54" s="281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  <c r="AF54" s="281"/>
      <c r="AG54" s="281"/>
      <c r="AH54" s="281"/>
      <c r="AI54" s="281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44"/>
    </row>
    <row r="55" spans="1:80" ht="12" customHeight="1" x14ac:dyDescent="0.2">
      <c r="A55" s="84"/>
      <c r="B55" s="281"/>
      <c r="C55" s="281"/>
      <c r="D55" s="281"/>
      <c r="E55" s="281"/>
      <c r="F55" s="281"/>
      <c r="G55" s="281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  <c r="AF55" s="281"/>
      <c r="AG55" s="281"/>
      <c r="AH55" s="281"/>
      <c r="AI55" s="281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44"/>
    </row>
    <row r="56" spans="1:80" ht="12" customHeight="1" x14ac:dyDescent="0.2">
      <c r="A56" s="84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44"/>
    </row>
    <row r="57" spans="1:80" ht="12" customHeight="1" x14ac:dyDescent="0.2">
      <c r="A57" s="84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44"/>
    </row>
    <row r="58" spans="1:80" ht="12" customHeight="1" x14ac:dyDescent="0.2">
      <c r="A58" s="84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44"/>
    </row>
    <row r="59" spans="1:80" ht="12" customHeight="1" x14ac:dyDescent="0.2">
      <c r="A59" s="84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44"/>
    </row>
    <row r="60" spans="1:80" ht="12" customHeight="1" x14ac:dyDescent="0.2">
      <c r="A60" s="84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44"/>
    </row>
    <row r="61" spans="1:80" ht="12" customHeight="1" x14ac:dyDescent="0.2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44"/>
    </row>
    <row r="62" spans="1:80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</row>
  </sheetData>
  <mergeCells count="106">
    <mergeCell ref="AJ2:CB2"/>
    <mergeCell ref="M5:AI5"/>
    <mergeCell ref="AK5:AS6"/>
    <mergeCell ref="AK7:AL7"/>
    <mergeCell ref="AM7:AS7"/>
    <mergeCell ref="A8:AI8"/>
    <mergeCell ref="AK8:AL8"/>
    <mergeCell ref="AM8:AS8"/>
    <mergeCell ref="A9:C9"/>
    <mergeCell ref="D9:E9"/>
    <mergeCell ref="F9:F13"/>
    <mergeCell ref="G9:H9"/>
    <mergeCell ref="I9:I13"/>
    <mergeCell ref="J9:K9"/>
    <mergeCell ref="D10:E13"/>
    <mergeCell ref="G10:H13"/>
    <mergeCell ref="J10:K13"/>
    <mergeCell ref="L9:L13"/>
    <mergeCell ref="M9:N9"/>
    <mergeCell ref="O9:O13"/>
    <mergeCell ref="P9:Q9"/>
    <mergeCell ref="R9:R13"/>
    <mergeCell ref="S9:T9"/>
    <mergeCell ref="M10:N13"/>
    <mergeCell ref="P10:Q13"/>
    <mergeCell ref="S10:T13"/>
    <mergeCell ref="U9:U13"/>
    <mergeCell ref="V9:W9"/>
    <mergeCell ref="X9:X13"/>
    <mergeCell ref="Y9:Z9"/>
    <mergeCell ref="AA9:AA13"/>
    <mergeCell ref="AB9:AC9"/>
    <mergeCell ref="V10:W13"/>
    <mergeCell ref="Y10:Z13"/>
    <mergeCell ref="AB10:AC13"/>
    <mergeCell ref="AK14:AL14"/>
    <mergeCell ref="AM14:AS14"/>
    <mergeCell ref="AK15:AL15"/>
    <mergeCell ref="AM15:AS15"/>
    <mergeCell ref="B16:AI16"/>
    <mergeCell ref="AK16:AL16"/>
    <mergeCell ref="AM16:AS16"/>
    <mergeCell ref="AK11:AL11"/>
    <mergeCell ref="AM11:AS11"/>
    <mergeCell ref="AK12:AL12"/>
    <mergeCell ref="AM12:AS12"/>
    <mergeCell ref="A13:C13"/>
    <mergeCell ref="AK13:AL13"/>
    <mergeCell ref="AM13:AS13"/>
    <mergeCell ref="AD9:AD13"/>
    <mergeCell ref="AE9:AF9"/>
    <mergeCell ref="AG9:AG13"/>
    <mergeCell ref="AH9:AI9"/>
    <mergeCell ref="AK9:AL9"/>
    <mergeCell ref="AM9:AS9"/>
    <mergeCell ref="AE10:AF13"/>
    <mergeCell ref="AH10:AI13"/>
    <mergeCell ref="AK10:AL10"/>
    <mergeCell ref="AM10:AS10"/>
    <mergeCell ref="B22:AI22"/>
    <mergeCell ref="B23:AI23"/>
    <mergeCell ref="B24:AI24"/>
    <mergeCell ref="B25:AI25"/>
    <mergeCell ref="B26:AI26"/>
    <mergeCell ref="B27:AI27"/>
    <mergeCell ref="B17:AI17"/>
    <mergeCell ref="AK17:AL17"/>
    <mergeCell ref="B18:AI18"/>
    <mergeCell ref="B19:AI19"/>
    <mergeCell ref="B20:AI20"/>
    <mergeCell ref="B21:AI21"/>
    <mergeCell ref="B34:AI34"/>
    <mergeCell ref="B35:AI35"/>
    <mergeCell ref="B36:AI36"/>
    <mergeCell ref="B37:AI37"/>
    <mergeCell ref="B38:AI38"/>
    <mergeCell ref="B39:AI39"/>
    <mergeCell ref="B28:AI28"/>
    <mergeCell ref="B29:AI29"/>
    <mergeCell ref="B30:AI30"/>
    <mergeCell ref="B31:AI31"/>
    <mergeCell ref="B32:AI32"/>
    <mergeCell ref="B33:AI33"/>
    <mergeCell ref="B46:AI46"/>
    <mergeCell ref="B47:AI47"/>
    <mergeCell ref="B48:AI48"/>
    <mergeCell ref="B49:AI49"/>
    <mergeCell ref="B50:AI50"/>
    <mergeCell ref="B51:AI51"/>
    <mergeCell ref="B40:AI40"/>
    <mergeCell ref="B41:AI41"/>
    <mergeCell ref="B42:AI42"/>
    <mergeCell ref="B43:AI43"/>
    <mergeCell ref="B44:AI44"/>
    <mergeCell ref="B45:AI45"/>
    <mergeCell ref="B58:AI58"/>
    <mergeCell ref="B59:AI59"/>
    <mergeCell ref="B60:AI60"/>
    <mergeCell ref="E62:K62"/>
    <mergeCell ref="V62:AI62"/>
    <mergeCell ref="B52:AI52"/>
    <mergeCell ref="B53:AI53"/>
    <mergeCell ref="B54:AI54"/>
    <mergeCell ref="B55:AI55"/>
    <mergeCell ref="B56:AI56"/>
    <mergeCell ref="B57:AI57"/>
  </mergeCells>
  <conditionalFormatting sqref="V62:AI62 E62:K62">
    <cfRule type="containsBlanks" dxfId="300" priority="10">
      <formula>LEN(TRIM(E62))=0</formula>
    </cfRule>
  </conditionalFormatting>
  <conditionalFormatting sqref="F9:AG13">
    <cfRule type="containsBlanks" dxfId="299" priority="9">
      <formula>LEN(TRIM(F9))=0</formula>
    </cfRule>
  </conditionalFormatting>
  <conditionalFormatting sqref="D10:E13">
    <cfRule type="containsBlanks" dxfId="298" priority="8">
      <formula>LEN(TRIM(D10))=0</formula>
    </cfRule>
  </conditionalFormatting>
  <conditionalFormatting sqref="AH10:AI13 AE10:AF13 AB10:AC13 Y10:Z13 V10:W13 S10:T13 P10:Q13 M10:N13 J10:K13 G10:H13 D10:E13">
    <cfRule type="expression" dxfId="297" priority="7">
      <formula>D$43&lt;&gt;""</formula>
    </cfRule>
  </conditionalFormatting>
  <conditionalFormatting sqref="D10:E13 G10:H13 J10:K13 M10:N13 P10:Q13 S10:T13 V10:W13 Y10:Z13 AB10:AC13 AE10:AF13 AH10:AI13">
    <cfRule type="notContainsBlanks" dxfId="296" priority="6">
      <formula>LEN(TRIM(D10))&gt;0</formula>
    </cfRule>
  </conditionalFormatting>
  <conditionalFormatting sqref="F9:F13 I9:I13 L9:L13 O9:O13 R9:R13 U9:U13 X9:X13 AA9:AA13 AD9:AD13 AG9:AG13">
    <cfRule type="notContainsBlanks" dxfId="295" priority="5">
      <formula>LEN(TRIM(F9))&gt;0</formula>
    </cfRule>
  </conditionalFormatting>
  <conditionalFormatting sqref="D9:E9">
    <cfRule type="containsBlanks" dxfId="294" priority="4">
      <formula>LEN(TRIM(D9))=0</formula>
    </cfRule>
  </conditionalFormatting>
  <conditionalFormatting sqref="D9:E9">
    <cfRule type="containsBlanks" dxfId="293" priority="3">
      <formula>LEN(TRIM(D9))=0</formula>
    </cfRule>
  </conditionalFormatting>
  <conditionalFormatting sqref="AH9:AI13">
    <cfRule type="containsBlanks" dxfId="292" priority="2">
      <formula>LEN(TRIM(AH9))=0</formula>
    </cfRule>
  </conditionalFormatting>
  <conditionalFormatting sqref="AM7:AS16">
    <cfRule type="notContainsBlanks" dxfId="291" priority="1">
      <formula>LEN(TRIM(AM7))&gt;0</formula>
    </cfRule>
  </conditionalFormatting>
  <dataValidations count="17">
    <dataValidation allowBlank="1" showInputMessage="1" showErrorMessage="1" prompt="If EFF is unatainable use .90" sqref="AT16:AY16" xr:uid="{5551DD32-AB8B-464A-BCB8-20F0EF9111A8}"/>
    <dataValidation allowBlank="1" showInputMessage="1" showErrorMessage="1" prompt="If PF is unattainable use .80" sqref="AT18:AY18" xr:uid="{92A03CE4-B636-47F2-90E7-9B01A4192925}"/>
    <dataValidation type="list" allowBlank="1" showInputMessage="1" showErrorMessage="1" sqref="AE9:AF9" xr:uid="{10A64A2B-5B33-4053-AEE8-59005EF8F21F}">
      <formula1>"J"</formula1>
    </dataValidation>
    <dataValidation type="list" allowBlank="1" showInputMessage="1" showErrorMessage="1" sqref="AB9:AC9" xr:uid="{F8F9F068-93A8-4D0C-A116-7FB11C0C30BE}">
      <formula1>"I"</formula1>
    </dataValidation>
    <dataValidation type="list" allowBlank="1" showInputMessage="1" showErrorMessage="1" sqref="Y9:Z9" xr:uid="{87A09E85-F252-4E7C-A4CE-7B1BA67CF8B0}">
      <formula1>"H"</formula1>
    </dataValidation>
    <dataValidation type="list" allowBlank="1" showInputMessage="1" showErrorMessage="1" sqref="V9:W9" xr:uid="{04CC855A-9841-470E-97AB-44CA7E5D81EA}">
      <formula1>"G"</formula1>
    </dataValidation>
    <dataValidation type="list" allowBlank="1" showInputMessage="1" showErrorMessage="1" sqref="S9:T9" xr:uid="{45808388-55D4-400E-87E2-AEBCAF353F56}">
      <formula1>"F"</formula1>
    </dataValidation>
    <dataValidation type="list" allowBlank="1" showInputMessage="1" showErrorMessage="1" sqref="P9:Q9" xr:uid="{E7D2A598-F5B9-4D41-96B5-8658BE98D2D8}">
      <formula1>"E"</formula1>
    </dataValidation>
    <dataValidation type="list" allowBlank="1" showInputMessage="1" showErrorMessage="1" sqref="M9:N9" xr:uid="{93B3948C-8C5C-4165-8B99-8478EC15F072}">
      <formula1>"D"</formula1>
    </dataValidation>
    <dataValidation type="list" allowBlank="1" showInputMessage="1" showErrorMessage="1" sqref="J9:K9" xr:uid="{77DF3A85-3F39-4A55-A8F1-238450B0B309}">
      <formula1>"C"</formula1>
    </dataValidation>
    <dataValidation type="list" allowBlank="1" showInputMessage="1" showErrorMessage="1" sqref="G9:H9" xr:uid="{3448C159-3219-4DE5-A1A8-F8AF02E62A15}">
      <formula1>"B"</formula1>
    </dataValidation>
    <dataValidation type="list" allowBlank="1" showInputMessage="1" showErrorMessage="1" sqref="D9:E9" xr:uid="{B5C3C2E8-7B67-49BC-A6D0-101C49B49A9D}">
      <formula1>"A"</formula1>
    </dataValidation>
    <dataValidation type="list" allowBlank="1" showInputMessage="1" showErrorMessage="1" sqref="AH9:AI9" xr:uid="{0A79E888-AE6A-494A-BC00-5D532504FA89}">
      <formula1>"K"</formula1>
    </dataValidation>
    <dataValidation type="list" allowBlank="1" showInputMessage="1" showErrorMessage="1" promptTitle="Phase Selection" prompt="Select Single or Three Phase" sqref="AT20:AY20" xr:uid="{0CEF80DC-CF89-4B86-8D79-D4A605C2C8F9}">
      <formula1>"Single Phase, Three Phase"</formula1>
    </dataValidation>
    <dataValidation type="list" allowBlank="1" showInputMessage="1" showErrorMessage="1" sqref="AK18:AO19 AK4:AO4 AM17:AO17" xr:uid="{22353CEF-BBBC-46A6-A8D9-DF83897C888D}">
      <formula1>"Complete"</formula1>
    </dataValidation>
    <dataValidation allowBlank="1" showInputMessage="1" showErrorMessage="1" prompt="Note: Does not include completion of the &quot;STATIC PRESSURE PROFILE &quot;w.c. &quot; section or remarks." sqref="AP17:AS19 AT4:AT5 AP4:AS4" xr:uid="{9115CF45-BEC5-4DA5-B1BB-E4AE3371CCA3}"/>
    <dataValidation type="list" allowBlank="1" showInputMessage="1" showErrorMessage="1" sqref="AM7:AS16" xr:uid="{7EDD549F-BE6F-461C-B349-859D79D9A3B6}">
      <formula1>"Air Blender,Cooling Coil,Desiccant Wheel,Elec. Heat,Exhaust Air Damper,Exhaust Fan,Final Filter,Gas Heating,Heat Recovery Core,Humidifier,HHW Coil,Outside Air Damper,Pre Filter,Relief Air Damper,Return Damper,Return Fan,Steam Coil,Supply Damper,Supply Fan"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E3277-1522-4040-8B73-BB1E7C3145CF}">
  <sheetPr codeName="Sheet46">
    <pageSetUpPr fitToPage="1"/>
  </sheetPr>
  <dimension ref="A1:FW62"/>
  <sheetViews>
    <sheetView zoomScaleNormal="100" workbookViewId="0">
      <selection activeCell="AU7" sqref="AU7:BC7"/>
    </sheetView>
  </sheetViews>
  <sheetFormatPr defaultColWidth="0" defaultRowHeight="0" customHeight="1" zeroHeight="1" x14ac:dyDescent="0.2"/>
  <cols>
    <col min="1" max="80" width="2.7109375" style="12" customWidth="1"/>
    <col min="81" max="179" width="2.7109375" style="12" hidden="1" customWidth="1"/>
    <col min="180" max="16384" width="9.140625" style="12" hidden="1"/>
  </cols>
  <sheetData>
    <row r="1" spans="1:109" ht="12" customHeight="1" x14ac:dyDescent="0.2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</row>
    <row r="2" spans="1:109" ht="12" customHeight="1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546" t="s">
        <v>159</v>
      </c>
      <c r="AK2" s="546"/>
      <c r="AL2" s="546"/>
      <c r="AM2" s="546"/>
      <c r="AN2" s="546"/>
      <c r="AO2" s="546"/>
      <c r="AP2" s="546"/>
      <c r="AQ2" s="546"/>
      <c r="AR2" s="546"/>
      <c r="AS2" s="546"/>
      <c r="AT2" s="546"/>
      <c r="AU2" s="546"/>
      <c r="AV2" s="546"/>
      <c r="AW2" s="546"/>
      <c r="AX2" s="546"/>
      <c r="AY2" s="546"/>
      <c r="AZ2" s="546"/>
      <c r="BA2" s="546"/>
      <c r="BB2" s="546"/>
      <c r="BC2" s="546"/>
      <c r="BD2" s="546"/>
      <c r="BE2" s="546"/>
      <c r="BF2" s="546"/>
      <c r="BG2" s="546"/>
      <c r="BH2" s="546"/>
      <c r="BI2" s="546"/>
      <c r="BJ2" s="546"/>
      <c r="BK2" s="546"/>
      <c r="BL2" s="546"/>
      <c r="BM2" s="546"/>
      <c r="BN2" s="546"/>
      <c r="BO2" s="546"/>
      <c r="BP2" s="546"/>
      <c r="BQ2" s="546"/>
      <c r="BR2" s="546"/>
      <c r="BS2" s="546"/>
      <c r="BT2" s="546"/>
      <c r="BU2" s="546"/>
      <c r="BV2" s="546"/>
      <c r="BW2" s="546"/>
      <c r="BX2" s="546"/>
      <c r="BY2" s="546"/>
      <c r="BZ2" s="546"/>
      <c r="CA2" s="546"/>
      <c r="CB2" s="546"/>
    </row>
    <row r="3" spans="1:109" ht="12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91"/>
      <c r="AU3" s="44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</row>
    <row r="4" spans="1:109" ht="12" customHeight="1" thickBot="1" x14ac:dyDescent="0.25">
      <c r="A4" s="48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4"/>
      <c r="AK4" s="44"/>
      <c r="AL4" s="44"/>
      <c r="AM4" s="44"/>
      <c r="AN4" s="44"/>
      <c r="AO4" s="44"/>
      <c r="AP4" s="92"/>
      <c r="AQ4" s="92"/>
      <c r="AR4" s="92"/>
      <c r="AS4" s="92"/>
      <c r="AT4" s="92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</row>
    <row r="5" spans="1:109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44"/>
      <c r="AK5" s="608" t="s">
        <v>292</v>
      </c>
      <c r="AL5" s="609"/>
      <c r="AM5" s="609"/>
      <c r="AN5" s="609"/>
      <c r="AO5" s="609"/>
      <c r="AP5" s="609"/>
      <c r="AQ5" s="609"/>
      <c r="AR5" s="609"/>
      <c r="AS5" s="610"/>
      <c r="AT5" s="92"/>
      <c r="AU5" s="602" t="s">
        <v>902</v>
      </c>
      <c r="AV5" s="603"/>
      <c r="AW5" s="603"/>
      <c r="AX5" s="603"/>
      <c r="AY5" s="603"/>
      <c r="AZ5" s="603"/>
      <c r="BA5" s="603"/>
      <c r="BB5" s="603"/>
      <c r="BC5" s="60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</row>
    <row r="6" spans="1:109" ht="12" customHeight="1" thickBot="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44"/>
      <c r="AK6" s="611"/>
      <c r="AL6" s="612"/>
      <c r="AM6" s="612"/>
      <c r="AN6" s="612"/>
      <c r="AO6" s="612"/>
      <c r="AP6" s="612"/>
      <c r="AQ6" s="612"/>
      <c r="AR6" s="612"/>
      <c r="AS6" s="613"/>
      <c r="AT6" s="44"/>
      <c r="AU6" s="605"/>
      <c r="AV6" s="606"/>
      <c r="AW6" s="606"/>
      <c r="AX6" s="606"/>
      <c r="AY6" s="606"/>
      <c r="AZ6" s="606"/>
      <c r="BA6" s="606"/>
      <c r="BB6" s="606"/>
      <c r="BC6" s="607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</row>
    <row r="7" spans="1:109" ht="12" customHeight="1" thickTop="1" thickBot="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44"/>
      <c r="AK7" s="326" t="s">
        <v>241</v>
      </c>
      <c r="AL7" s="327"/>
      <c r="AM7" s="328"/>
      <c r="AN7" s="329"/>
      <c r="AO7" s="329"/>
      <c r="AP7" s="329"/>
      <c r="AQ7" s="329"/>
      <c r="AR7" s="329"/>
      <c r="AS7" s="330"/>
      <c r="AT7" s="44"/>
      <c r="AU7" s="599" t="s">
        <v>120</v>
      </c>
      <c r="AV7" s="600"/>
      <c r="AW7" s="600"/>
      <c r="AX7" s="600"/>
      <c r="AY7" s="600"/>
      <c r="AZ7" s="600"/>
      <c r="BA7" s="600"/>
      <c r="BB7" s="600"/>
      <c r="BC7" s="601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</row>
    <row r="8" spans="1:109" ht="12" customHeight="1" thickBot="1" x14ac:dyDescent="0.25">
      <c r="A8" s="314" t="s">
        <v>293</v>
      </c>
      <c r="B8" s="315"/>
      <c r="C8" s="315"/>
      <c r="D8" s="315"/>
      <c r="E8" s="315"/>
      <c r="F8" s="315"/>
      <c r="G8" s="315"/>
      <c r="H8" s="315"/>
      <c r="I8" s="315"/>
      <c r="J8" s="315"/>
      <c r="K8" s="315"/>
      <c r="L8" s="315"/>
      <c r="M8" s="315"/>
      <c r="N8" s="315"/>
      <c r="O8" s="315"/>
      <c r="P8" s="315"/>
      <c r="Q8" s="315"/>
      <c r="R8" s="315"/>
      <c r="S8" s="315"/>
      <c r="T8" s="315"/>
      <c r="U8" s="315"/>
      <c r="V8" s="315"/>
      <c r="W8" s="315"/>
      <c r="X8" s="315"/>
      <c r="Y8" s="315"/>
      <c r="Z8" s="315"/>
      <c r="AA8" s="315"/>
      <c r="AB8" s="315"/>
      <c r="AC8" s="315"/>
      <c r="AD8" s="315"/>
      <c r="AE8" s="315"/>
      <c r="AF8" s="315"/>
      <c r="AG8" s="315"/>
      <c r="AH8" s="315"/>
      <c r="AI8" s="316"/>
      <c r="AJ8" s="44"/>
      <c r="AK8" s="295" t="s">
        <v>244</v>
      </c>
      <c r="AL8" s="296"/>
      <c r="AM8" s="297"/>
      <c r="AN8" s="297"/>
      <c r="AO8" s="297"/>
      <c r="AP8" s="297"/>
      <c r="AQ8" s="297"/>
      <c r="AR8" s="297"/>
      <c r="AS8" s="298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</row>
    <row r="9" spans="1:109" ht="12" customHeight="1" thickTop="1" x14ac:dyDescent="0.2">
      <c r="A9" s="317" t="s">
        <v>246</v>
      </c>
      <c r="B9" s="318"/>
      <c r="C9" s="319"/>
      <c r="D9" s="320" t="str">
        <f>IF(AM7&lt;&gt;"","A","")</f>
        <v/>
      </c>
      <c r="E9" s="321"/>
      <c r="F9" s="313" t="str">
        <f>IF(AM7&lt;&gt;"",AM7,"")</f>
        <v/>
      </c>
      <c r="G9" s="306" t="str">
        <f>IF(AM7&lt;&gt;"","B","")</f>
        <v/>
      </c>
      <c r="H9" s="310"/>
      <c r="I9" s="311" t="str">
        <f>IF(AM8&lt;&gt;"",AM8,"")</f>
        <v/>
      </c>
      <c r="J9" s="306" t="str">
        <f>IF(AM8&lt;&gt;"","C","")</f>
        <v/>
      </c>
      <c r="K9" s="310"/>
      <c r="L9" s="311" t="str">
        <f>IF(AM9&lt;&gt;"",AM9,"")</f>
        <v/>
      </c>
      <c r="M9" s="306" t="str">
        <f>IF(AM9&lt;&gt;"","D","")</f>
        <v/>
      </c>
      <c r="N9" s="310"/>
      <c r="O9" s="311" t="str">
        <f>IF(AM10&lt;&gt;"",AM10,"")</f>
        <v/>
      </c>
      <c r="P9" s="306" t="str">
        <f>IF(AM10&lt;&gt;"","E","")</f>
        <v/>
      </c>
      <c r="Q9" s="310"/>
      <c r="R9" s="311" t="str">
        <f>IF(AM11&lt;&gt;"",AM11,"")</f>
        <v/>
      </c>
      <c r="S9" s="306" t="str">
        <f>IF(AM11&lt;&gt;"","F","")</f>
        <v/>
      </c>
      <c r="T9" s="310"/>
      <c r="U9" s="311" t="str">
        <f>IF(AM12&lt;&gt;"",AM12,"")</f>
        <v/>
      </c>
      <c r="V9" s="306" t="str">
        <f>IF(AM12&lt;&gt;"","G","")</f>
        <v/>
      </c>
      <c r="W9" s="310"/>
      <c r="X9" s="311" t="str">
        <f>IF(AM13&lt;&gt;"",AM13,"")</f>
        <v/>
      </c>
      <c r="Y9" s="306" t="str">
        <f>IF(AM13&lt;&gt;"","H","")</f>
        <v/>
      </c>
      <c r="Z9" s="310"/>
      <c r="AA9" s="311" t="str">
        <f>IF(AM14&lt;&gt;"",AM14,"")</f>
        <v/>
      </c>
      <c r="AB9" s="306" t="str">
        <f>IF(AM14&lt;&gt;"","I","")</f>
        <v/>
      </c>
      <c r="AC9" s="310"/>
      <c r="AD9" s="311" t="str">
        <f>IF(AM15&lt;&gt;"",AM15,"")</f>
        <v/>
      </c>
      <c r="AE9" s="306" t="str">
        <f>IF(AM15&lt;&gt;"","J","")</f>
        <v/>
      </c>
      <c r="AF9" s="310"/>
      <c r="AG9" s="313" t="str">
        <f>IF(AM16&lt;&gt;"",AM16,"")</f>
        <v/>
      </c>
      <c r="AH9" s="306" t="str">
        <f>IF(AM16&lt;&gt;"","K","")</f>
        <v/>
      </c>
      <c r="AI9" s="307"/>
      <c r="AJ9" s="44"/>
      <c r="AK9" s="295" t="s">
        <v>247</v>
      </c>
      <c r="AL9" s="296"/>
      <c r="AM9" s="297"/>
      <c r="AN9" s="297"/>
      <c r="AO9" s="297"/>
      <c r="AP9" s="297"/>
      <c r="AQ9" s="297"/>
      <c r="AR9" s="297"/>
      <c r="AS9" s="298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</row>
    <row r="10" spans="1:109" ht="12" customHeight="1" x14ac:dyDescent="0.2">
      <c r="A10" s="67"/>
      <c r="B10" s="68"/>
      <c r="C10" s="68"/>
      <c r="D10" s="302"/>
      <c r="E10" s="303"/>
      <c r="F10" s="311"/>
      <c r="G10" s="302"/>
      <c r="H10" s="303"/>
      <c r="I10" s="311"/>
      <c r="J10" s="302"/>
      <c r="K10" s="303"/>
      <c r="L10" s="311"/>
      <c r="M10" s="302"/>
      <c r="N10" s="303"/>
      <c r="O10" s="311"/>
      <c r="P10" s="302"/>
      <c r="Q10" s="303"/>
      <c r="R10" s="311"/>
      <c r="S10" s="302"/>
      <c r="T10" s="303"/>
      <c r="U10" s="311"/>
      <c r="V10" s="302"/>
      <c r="W10" s="303"/>
      <c r="X10" s="311"/>
      <c r="Y10" s="302"/>
      <c r="Z10" s="303"/>
      <c r="AA10" s="311"/>
      <c r="AB10" s="302"/>
      <c r="AC10" s="303"/>
      <c r="AD10" s="311"/>
      <c r="AE10" s="302"/>
      <c r="AF10" s="303"/>
      <c r="AG10" s="311"/>
      <c r="AH10" s="302"/>
      <c r="AI10" s="308"/>
      <c r="AJ10" s="44"/>
      <c r="AK10" s="295" t="s">
        <v>249</v>
      </c>
      <c r="AL10" s="296"/>
      <c r="AM10" s="297"/>
      <c r="AN10" s="297"/>
      <c r="AO10" s="297"/>
      <c r="AP10" s="297"/>
      <c r="AQ10" s="297"/>
      <c r="AR10" s="297"/>
      <c r="AS10" s="298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</row>
    <row r="11" spans="1:109" ht="12" customHeight="1" x14ac:dyDescent="0.2">
      <c r="A11" s="67"/>
      <c r="B11" s="68"/>
      <c r="C11" s="68"/>
      <c r="D11" s="302"/>
      <c r="E11" s="303"/>
      <c r="F11" s="311"/>
      <c r="G11" s="302"/>
      <c r="H11" s="303"/>
      <c r="I11" s="311"/>
      <c r="J11" s="302"/>
      <c r="K11" s="303"/>
      <c r="L11" s="311"/>
      <c r="M11" s="302"/>
      <c r="N11" s="303"/>
      <c r="O11" s="311"/>
      <c r="P11" s="302"/>
      <c r="Q11" s="303"/>
      <c r="R11" s="311"/>
      <c r="S11" s="302"/>
      <c r="T11" s="303"/>
      <c r="U11" s="311"/>
      <c r="V11" s="302"/>
      <c r="W11" s="303"/>
      <c r="X11" s="311"/>
      <c r="Y11" s="302"/>
      <c r="Z11" s="303"/>
      <c r="AA11" s="311"/>
      <c r="AB11" s="302"/>
      <c r="AC11" s="303"/>
      <c r="AD11" s="311"/>
      <c r="AE11" s="302"/>
      <c r="AF11" s="303"/>
      <c r="AG11" s="311"/>
      <c r="AH11" s="302"/>
      <c r="AI11" s="308"/>
      <c r="AJ11" s="44"/>
      <c r="AK11" s="295" t="s">
        <v>251</v>
      </c>
      <c r="AL11" s="296"/>
      <c r="AM11" s="297"/>
      <c r="AN11" s="297"/>
      <c r="AO11" s="297"/>
      <c r="AP11" s="297"/>
      <c r="AQ11" s="297"/>
      <c r="AR11" s="297"/>
      <c r="AS11" s="298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</row>
    <row r="12" spans="1:109" ht="12" customHeight="1" x14ac:dyDescent="0.2">
      <c r="A12" s="67"/>
      <c r="B12" s="68"/>
      <c r="C12" s="68"/>
      <c r="D12" s="302"/>
      <c r="E12" s="303"/>
      <c r="F12" s="311"/>
      <c r="G12" s="302"/>
      <c r="H12" s="303"/>
      <c r="I12" s="311"/>
      <c r="J12" s="302"/>
      <c r="K12" s="303"/>
      <c r="L12" s="311"/>
      <c r="M12" s="302"/>
      <c r="N12" s="303"/>
      <c r="O12" s="311"/>
      <c r="P12" s="302"/>
      <c r="Q12" s="303"/>
      <c r="R12" s="311"/>
      <c r="S12" s="302"/>
      <c r="T12" s="303"/>
      <c r="U12" s="311"/>
      <c r="V12" s="302"/>
      <c r="W12" s="303"/>
      <c r="X12" s="311"/>
      <c r="Y12" s="302"/>
      <c r="Z12" s="303"/>
      <c r="AA12" s="311"/>
      <c r="AB12" s="302"/>
      <c r="AC12" s="303"/>
      <c r="AD12" s="311"/>
      <c r="AE12" s="302"/>
      <c r="AF12" s="303"/>
      <c r="AG12" s="311"/>
      <c r="AH12" s="302"/>
      <c r="AI12" s="308"/>
      <c r="AJ12" s="44"/>
      <c r="AK12" s="295" t="s">
        <v>253</v>
      </c>
      <c r="AL12" s="296"/>
      <c r="AM12" s="297"/>
      <c r="AN12" s="297"/>
      <c r="AO12" s="297"/>
      <c r="AP12" s="297"/>
      <c r="AQ12" s="297"/>
      <c r="AR12" s="297"/>
      <c r="AS12" s="298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</row>
    <row r="13" spans="1:109" ht="14.45" customHeight="1" thickBot="1" x14ac:dyDescent="0.25">
      <c r="A13" s="299" t="s">
        <v>255</v>
      </c>
      <c r="B13" s="300"/>
      <c r="C13" s="301"/>
      <c r="D13" s="304"/>
      <c r="E13" s="305"/>
      <c r="F13" s="312"/>
      <c r="G13" s="304"/>
      <c r="H13" s="305"/>
      <c r="I13" s="312"/>
      <c r="J13" s="304"/>
      <c r="K13" s="305"/>
      <c r="L13" s="312"/>
      <c r="M13" s="304"/>
      <c r="N13" s="305"/>
      <c r="O13" s="312"/>
      <c r="P13" s="304"/>
      <c r="Q13" s="305"/>
      <c r="R13" s="312"/>
      <c r="S13" s="304"/>
      <c r="T13" s="305"/>
      <c r="U13" s="312"/>
      <c r="V13" s="304"/>
      <c r="W13" s="305"/>
      <c r="X13" s="312"/>
      <c r="Y13" s="304"/>
      <c r="Z13" s="305"/>
      <c r="AA13" s="312"/>
      <c r="AB13" s="304"/>
      <c r="AC13" s="305"/>
      <c r="AD13" s="312"/>
      <c r="AE13" s="304"/>
      <c r="AF13" s="305"/>
      <c r="AG13" s="312"/>
      <c r="AH13" s="304"/>
      <c r="AI13" s="309"/>
      <c r="AJ13" s="44"/>
      <c r="AK13" s="295" t="s">
        <v>256</v>
      </c>
      <c r="AL13" s="296"/>
      <c r="AM13" s="297"/>
      <c r="AN13" s="297"/>
      <c r="AO13" s="297"/>
      <c r="AP13" s="297"/>
      <c r="AQ13" s="297"/>
      <c r="AR13" s="297"/>
      <c r="AS13" s="298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L13" s="49"/>
      <c r="CM13" s="49"/>
      <c r="CN13" s="49"/>
      <c r="CO13" s="49"/>
      <c r="CP13" s="49"/>
      <c r="CQ13" s="49"/>
      <c r="CR13" s="49"/>
      <c r="CS13" s="49"/>
      <c r="CT13" s="49"/>
      <c r="CU13" s="49"/>
      <c r="CV13" s="49"/>
      <c r="CW13" s="49"/>
      <c r="CX13" s="49"/>
      <c r="CY13" s="49"/>
      <c r="CZ13" s="49"/>
      <c r="DA13" s="49"/>
      <c r="DB13" s="49"/>
      <c r="DC13" s="49"/>
      <c r="DD13" s="49"/>
    </row>
    <row r="14" spans="1:109" ht="12" customHeight="1" thickBot="1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44"/>
      <c r="AK14" s="295" t="s">
        <v>258</v>
      </c>
      <c r="AL14" s="296"/>
      <c r="AM14" s="297"/>
      <c r="AN14" s="297"/>
      <c r="AO14" s="297"/>
      <c r="AP14" s="297"/>
      <c r="AQ14" s="297"/>
      <c r="AR14" s="297"/>
      <c r="AS14" s="298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</row>
    <row r="15" spans="1:109" ht="12" customHeight="1" thickBot="1" x14ac:dyDescent="0.25">
      <c r="A15" s="314" t="s">
        <v>294</v>
      </c>
      <c r="B15" s="315"/>
      <c r="C15" s="315"/>
      <c r="D15" s="315"/>
      <c r="E15" s="315"/>
      <c r="F15" s="315"/>
      <c r="G15" s="315"/>
      <c r="H15" s="315"/>
      <c r="I15" s="315"/>
      <c r="J15" s="315"/>
      <c r="K15" s="315"/>
      <c r="L15" s="315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15"/>
      <c r="AA15" s="315"/>
      <c r="AB15" s="315"/>
      <c r="AC15" s="315"/>
      <c r="AD15" s="315"/>
      <c r="AE15" s="315"/>
      <c r="AF15" s="315"/>
      <c r="AG15" s="315"/>
      <c r="AH15" s="315"/>
      <c r="AI15" s="316"/>
      <c r="AJ15" s="44"/>
      <c r="AK15" s="295" t="s">
        <v>260</v>
      </c>
      <c r="AL15" s="296"/>
      <c r="AM15" s="297"/>
      <c r="AN15" s="297"/>
      <c r="AO15" s="297"/>
      <c r="AP15" s="297"/>
      <c r="AQ15" s="297"/>
      <c r="AR15" s="297"/>
      <c r="AS15" s="298"/>
      <c r="AT15" s="83"/>
      <c r="AU15" s="83"/>
      <c r="AV15" s="83"/>
      <c r="AW15" s="83"/>
      <c r="AX15" s="83"/>
      <c r="AY15" s="83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</row>
    <row r="16" spans="1:109" ht="12" customHeight="1" thickTop="1" thickBot="1" x14ac:dyDescent="0.25">
      <c r="A16" s="317" t="s">
        <v>246</v>
      </c>
      <c r="B16" s="318"/>
      <c r="C16" s="319"/>
      <c r="D16" s="320" t="str">
        <f>IF(AM19&lt;&gt;"","A","")</f>
        <v/>
      </c>
      <c r="E16" s="321"/>
      <c r="F16" s="313" t="str">
        <f>IF(AM19&lt;&gt;"",AM19,"")</f>
        <v/>
      </c>
      <c r="G16" s="306" t="str">
        <f>IF(AM19&lt;&gt;"","B","")</f>
        <v/>
      </c>
      <c r="H16" s="310"/>
      <c r="I16" s="311" t="str">
        <f>IF(AM20&lt;&gt;"",AM20,"")</f>
        <v/>
      </c>
      <c r="J16" s="306" t="str">
        <f>IF(AM20&lt;&gt;"","C","")</f>
        <v/>
      </c>
      <c r="K16" s="310"/>
      <c r="L16" s="311" t="str">
        <f>IF(AM21&lt;&gt;"",AM21,"")</f>
        <v/>
      </c>
      <c r="M16" s="306" t="str">
        <f>IF(AM21&lt;&gt;"","D","")</f>
        <v/>
      </c>
      <c r="N16" s="310"/>
      <c r="O16" s="311" t="str">
        <f>IF(AM22&lt;&gt;"",AM22,"")</f>
        <v/>
      </c>
      <c r="P16" s="306" t="str">
        <f>IF(AM22&lt;&gt;"","E","")</f>
        <v/>
      </c>
      <c r="Q16" s="310"/>
      <c r="R16" s="311" t="str">
        <f>IF(AM23&lt;&gt;"",AM23,"")</f>
        <v/>
      </c>
      <c r="S16" s="306" t="str">
        <f>IF(AM23&lt;&gt;"","F","")</f>
        <v/>
      </c>
      <c r="T16" s="310"/>
      <c r="U16" s="311" t="str">
        <f>IF(AM24&lt;&gt;"",AM24,"")</f>
        <v/>
      </c>
      <c r="V16" s="306" t="str">
        <f>IF(AM24&lt;&gt;"","G","")</f>
        <v/>
      </c>
      <c r="W16" s="310"/>
      <c r="X16" s="311" t="str">
        <f>IF(AM25&lt;&gt;"",AM25,"")</f>
        <v/>
      </c>
      <c r="Y16" s="306" t="str">
        <f>IF(AM25&lt;&gt;"","H","")</f>
        <v/>
      </c>
      <c r="Z16" s="310"/>
      <c r="AA16" s="311" t="str">
        <f>IF(AM26&lt;&gt;"",AM26,"")</f>
        <v/>
      </c>
      <c r="AB16" s="306" t="str">
        <f>IF(AM26&lt;&gt;"","I","")</f>
        <v/>
      </c>
      <c r="AC16" s="310"/>
      <c r="AD16" s="311" t="str">
        <f>IF(AM27&lt;&gt;"",AM27,"")</f>
        <v/>
      </c>
      <c r="AE16" s="306" t="str">
        <f>IF(AM27&lt;&gt;"","J","")</f>
        <v/>
      </c>
      <c r="AF16" s="310"/>
      <c r="AG16" s="313" t="str">
        <f>IF(AM28&lt;&gt;"",AM28,"")</f>
        <v/>
      </c>
      <c r="AH16" s="306" t="str">
        <f>IF(AM28&lt;&gt;"","K","")</f>
        <v/>
      </c>
      <c r="AI16" s="307"/>
      <c r="AJ16" s="44"/>
      <c r="AK16" s="291" t="s">
        <v>263</v>
      </c>
      <c r="AL16" s="292"/>
      <c r="AM16" s="293"/>
      <c r="AN16" s="293"/>
      <c r="AO16" s="293"/>
      <c r="AP16" s="293"/>
      <c r="AQ16" s="293"/>
      <c r="AR16" s="293"/>
      <c r="AS16" s="294"/>
      <c r="AT16" s="96"/>
      <c r="AU16" s="96"/>
      <c r="AV16" s="96"/>
      <c r="AW16" s="96"/>
      <c r="AX16" s="96"/>
      <c r="AY16" s="96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2"/>
    </row>
    <row r="17" spans="1:109" ht="12" customHeight="1" x14ac:dyDescent="0.2">
      <c r="A17" s="67"/>
      <c r="B17" s="68"/>
      <c r="C17" s="68"/>
      <c r="D17" s="302"/>
      <c r="E17" s="303"/>
      <c r="F17" s="311"/>
      <c r="G17" s="302"/>
      <c r="H17" s="303"/>
      <c r="I17" s="311"/>
      <c r="J17" s="302"/>
      <c r="K17" s="303"/>
      <c r="L17" s="311"/>
      <c r="M17" s="302"/>
      <c r="N17" s="303"/>
      <c r="O17" s="311"/>
      <c r="P17" s="302"/>
      <c r="Q17" s="303"/>
      <c r="R17" s="311"/>
      <c r="S17" s="302"/>
      <c r="T17" s="303"/>
      <c r="U17" s="311"/>
      <c r="V17" s="302"/>
      <c r="W17" s="303"/>
      <c r="X17" s="311"/>
      <c r="Y17" s="302"/>
      <c r="Z17" s="303"/>
      <c r="AA17" s="311"/>
      <c r="AB17" s="302"/>
      <c r="AC17" s="303"/>
      <c r="AD17" s="311"/>
      <c r="AE17" s="302"/>
      <c r="AF17" s="303"/>
      <c r="AG17" s="311"/>
      <c r="AH17" s="302"/>
      <c r="AI17" s="308"/>
      <c r="AJ17" s="44"/>
      <c r="AK17" s="608" t="s">
        <v>295</v>
      </c>
      <c r="AL17" s="609"/>
      <c r="AM17" s="609"/>
      <c r="AN17" s="609"/>
      <c r="AO17" s="609"/>
      <c r="AP17" s="609"/>
      <c r="AQ17" s="609"/>
      <c r="AR17" s="609"/>
      <c r="AS17" s="610"/>
      <c r="AT17" s="83"/>
      <c r="AU17" s="83"/>
      <c r="AV17" s="83"/>
      <c r="AW17" s="83"/>
      <c r="AX17" s="83"/>
      <c r="AY17" s="83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2"/>
    </row>
    <row r="18" spans="1:109" ht="12" customHeight="1" thickBot="1" x14ac:dyDescent="0.25">
      <c r="A18" s="67"/>
      <c r="B18" s="68"/>
      <c r="C18" s="68"/>
      <c r="D18" s="302"/>
      <c r="E18" s="303"/>
      <c r="F18" s="311"/>
      <c r="G18" s="302"/>
      <c r="H18" s="303"/>
      <c r="I18" s="311"/>
      <c r="J18" s="302"/>
      <c r="K18" s="303"/>
      <c r="L18" s="311"/>
      <c r="M18" s="302"/>
      <c r="N18" s="303"/>
      <c r="O18" s="311"/>
      <c r="P18" s="302"/>
      <c r="Q18" s="303"/>
      <c r="R18" s="311"/>
      <c r="S18" s="302"/>
      <c r="T18" s="303"/>
      <c r="U18" s="311"/>
      <c r="V18" s="302"/>
      <c r="W18" s="303"/>
      <c r="X18" s="311"/>
      <c r="Y18" s="302"/>
      <c r="Z18" s="303"/>
      <c r="AA18" s="311"/>
      <c r="AB18" s="302"/>
      <c r="AC18" s="303"/>
      <c r="AD18" s="311"/>
      <c r="AE18" s="302"/>
      <c r="AF18" s="303"/>
      <c r="AG18" s="311"/>
      <c r="AH18" s="302"/>
      <c r="AI18" s="308"/>
      <c r="AJ18" s="44"/>
      <c r="AK18" s="611"/>
      <c r="AL18" s="612"/>
      <c r="AM18" s="612"/>
      <c r="AN18" s="612"/>
      <c r="AO18" s="612"/>
      <c r="AP18" s="612"/>
      <c r="AQ18" s="612"/>
      <c r="AR18" s="612"/>
      <c r="AS18" s="613"/>
      <c r="AT18" s="96"/>
      <c r="AU18" s="96"/>
      <c r="AV18" s="83"/>
      <c r="AW18" s="83"/>
      <c r="AX18" s="83"/>
      <c r="AY18" s="83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2"/>
    </row>
    <row r="19" spans="1:109" ht="12" customHeight="1" thickTop="1" x14ac:dyDescent="0.2">
      <c r="A19" s="67"/>
      <c r="B19" s="68"/>
      <c r="C19" s="68"/>
      <c r="D19" s="302"/>
      <c r="E19" s="303"/>
      <c r="F19" s="311"/>
      <c r="G19" s="302"/>
      <c r="H19" s="303"/>
      <c r="I19" s="311"/>
      <c r="J19" s="302"/>
      <c r="K19" s="303"/>
      <c r="L19" s="311"/>
      <c r="M19" s="302"/>
      <c r="N19" s="303"/>
      <c r="O19" s="311"/>
      <c r="P19" s="302"/>
      <c r="Q19" s="303"/>
      <c r="R19" s="311"/>
      <c r="S19" s="302"/>
      <c r="T19" s="303"/>
      <c r="U19" s="311"/>
      <c r="V19" s="302"/>
      <c r="W19" s="303"/>
      <c r="X19" s="311"/>
      <c r="Y19" s="302"/>
      <c r="Z19" s="303"/>
      <c r="AA19" s="311"/>
      <c r="AB19" s="302"/>
      <c r="AC19" s="303"/>
      <c r="AD19" s="311"/>
      <c r="AE19" s="302"/>
      <c r="AF19" s="303"/>
      <c r="AG19" s="311"/>
      <c r="AH19" s="302"/>
      <c r="AI19" s="308"/>
      <c r="AJ19" s="44"/>
      <c r="AK19" s="326" t="s">
        <v>241</v>
      </c>
      <c r="AL19" s="327"/>
      <c r="AM19" s="328"/>
      <c r="AN19" s="329"/>
      <c r="AO19" s="329"/>
      <c r="AP19" s="329"/>
      <c r="AQ19" s="329"/>
      <c r="AR19" s="329"/>
      <c r="AS19" s="330"/>
      <c r="AT19" s="83"/>
      <c r="AU19" s="83"/>
      <c r="AV19" s="83"/>
      <c r="AW19" s="83"/>
      <c r="AX19" s="83"/>
      <c r="AY19" s="83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/>
      <c r="BK19" s="95"/>
      <c r="BL19" s="95"/>
      <c r="BM19" s="95"/>
      <c r="BN19" s="95"/>
      <c r="BO19" s="95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2"/>
    </row>
    <row r="20" spans="1:109" ht="12" customHeight="1" thickBot="1" x14ac:dyDescent="0.25">
      <c r="A20" s="299" t="s">
        <v>255</v>
      </c>
      <c r="B20" s="300"/>
      <c r="C20" s="301"/>
      <c r="D20" s="304"/>
      <c r="E20" s="305"/>
      <c r="F20" s="312"/>
      <c r="G20" s="304"/>
      <c r="H20" s="305"/>
      <c r="I20" s="312"/>
      <c r="J20" s="304"/>
      <c r="K20" s="305"/>
      <c r="L20" s="312"/>
      <c r="M20" s="304"/>
      <c r="N20" s="305"/>
      <c r="O20" s="312"/>
      <c r="P20" s="304"/>
      <c r="Q20" s="305"/>
      <c r="R20" s="312"/>
      <c r="S20" s="304"/>
      <c r="T20" s="305"/>
      <c r="U20" s="312"/>
      <c r="V20" s="304"/>
      <c r="W20" s="305"/>
      <c r="X20" s="312"/>
      <c r="Y20" s="304"/>
      <c r="Z20" s="305"/>
      <c r="AA20" s="312"/>
      <c r="AB20" s="304"/>
      <c r="AC20" s="305"/>
      <c r="AD20" s="312"/>
      <c r="AE20" s="304"/>
      <c r="AF20" s="305"/>
      <c r="AG20" s="312"/>
      <c r="AH20" s="304"/>
      <c r="AI20" s="309"/>
      <c r="AJ20" s="44"/>
      <c r="AK20" s="295" t="s">
        <v>244</v>
      </c>
      <c r="AL20" s="296"/>
      <c r="AM20" s="297"/>
      <c r="AN20" s="297"/>
      <c r="AO20" s="297"/>
      <c r="AP20" s="297"/>
      <c r="AQ20" s="297"/>
      <c r="AR20" s="297"/>
      <c r="AS20" s="298"/>
      <c r="AT20" s="96"/>
      <c r="AU20" s="96"/>
      <c r="AV20" s="83"/>
      <c r="AW20" s="83"/>
      <c r="AX20" s="83"/>
      <c r="AY20" s="83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2"/>
    </row>
    <row r="21" spans="1:109" ht="12" x14ac:dyDescent="0.2">
      <c r="A21" s="71"/>
      <c r="B21" s="281"/>
      <c r="C21" s="281"/>
      <c r="D21" s="281"/>
      <c r="E21" s="281"/>
      <c r="F21" s="281"/>
      <c r="G21" s="281"/>
      <c r="H21" s="281"/>
      <c r="I21" s="281"/>
      <c r="J21" s="281"/>
      <c r="K21" s="281"/>
      <c r="L21" s="281"/>
      <c r="M21" s="281"/>
      <c r="N21" s="281"/>
      <c r="O21" s="281"/>
      <c r="P21" s="281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1"/>
      <c r="AC21" s="281"/>
      <c r="AD21" s="281"/>
      <c r="AE21" s="281"/>
      <c r="AF21" s="281"/>
      <c r="AG21" s="281"/>
      <c r="AH21" s="281"/>
      <c r="AI21" s="281"/>
      <c r="AJ21" s="44"/>
      <c r="AK21" s="295" t="s">
        <v>247</v>
      </c>
      <c r="AL21" s="296"/>
      <c r="AM21" s="297"/>
      <c r="AN21" s="297"/>
      <c r="AO21" s="297"/>
      <c r="AP21" s="297"/>
      <c r="AQ21" s="297"/>
      <c r="AR21" s="297"/>
      <c r="AS21" s="298"/>
      <c r="AT21" s="44"/>
      <c r="AU21" s="44"/>
      <c r="AV21" s="83"/>
      <c r="AW21" s="83"/>
      <c r="AX21" s="83"/>
      <c r="AY21" s="83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2"/>
    </row>
    <row r="22" spans="1:109" ht="12" customHeight="1" x14ac:dyDescent="0.2">
      <c r="A22" s="71"/>
      <c r="B22" s="42" t="s">
        <v>262</v>
      </c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44"/>
      <c r="AK22" s="295" t="s">
        <v>249</v>
      </c>
      <c r="AL22" s="296"/>
      <c r="AM22" s="297"/>
      <c r="AN22" s="297"/>
      <c r="AO22" s="297"/>
      <c r="AP22" s="297"/>
      <c r="AQ22" s="297"/>
      <c r="AR22" s="297"/>
      <c r="AS22" s="298"/>
      <c r="AT22" s="83"/>
      <c r="AU22" s="83"/>
      <c r="AV22" s="83"/>
      <c r="AW22" s="83"/>
      <c r="AX22" s="83"/>
      <c r="AY22" s="83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/>
      <c r="BK22" s="95"/>
      <c r="BL22" s="95"/>
      <c r="BM22" s="95"/>
      <c r="BN22" s="95"/>
      <c r="BO22" s="95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  <c r="CW22" s="51"/>
      <c r="CX22" s="51"/>
      <c r="CY22" s="51"/>
      <c r="CZ22" s="51"/>
      <c r="DA22" s="51"/>
      <c r="DB22" s="51"/>
      <c r="DC22" s="51"/>
      <c r="DD22" s="51"/>
      <c r="DE22" s="52"/>
    </row>
    <row r="23" spans="1:109" ht="12" customHeight="1" x14ac:dyDescent="0.2">
      <c r="A23" s="84"/>
      <c r="B23" s="281"/>
      <c r="C23" s="281"/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281"/>
      <c r="X23" s="281"/>
      <c r="Y23" s="281"/>
      <c r="Z23" s="281"/>
      <c r="AA23" s="281"/>
      <c r="AB23" s="281"/>
      <c r="AC23" s="281"/>
      <c r="AD23" s="281"/>
      <c r="AE23" s="281"/>
      <c r="AF23" s="281"/>
      <c r="AG23" s="281"/>
      <c r="AH23" s="281"/>
      <c r="AI23" s="281"/>
      <c r="AJ23" s="44"/>
      <c r="AK23" s="295" t="s">
        <v>251</v>
      </c>
      <c r="AL23" s="296"/>
      <c r="AM23" s="297"/>
      <c r="AN23" s="297"/>
      <c r="AO23" s="297"/>
      <c r="AP23" s="297"/>
      <c r="AQ23" s="297"/>
      <c r="AR23" s="297"/>
      <c r="AS23" s="298"/>
      <c r="AT23" s="83"/>
      <c r="AU23" s="83"/>
      <c r="AV23" s="83"/>
      <c r="AW23" s="83"/>
      <c r="AX23" s="83"/>
      <c r="AY23" s="83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5"/>
      <c r="BL23" s="95"/>
      <c r="BM23" s="95"/>
      <c r="BN23" s="95"/>
      <c r="BO23" s="95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2"/>
    </row>
    <row r="24" spans="1:109" ht="12" customHeight="1" x14ac:dyDescent="0.2">
      <c r="A24" s="84"/>
      <c r="B24" s="281"/>
      <c r="C24" s="281"/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  <c r="AF24" s="281"/>
      <c r="AG24" s="281"/>
      <c r="AH24" s="281"/>
      <c r="AI24" s="281"/>
      <c r="AJ24" s="44"/>
      <c r="AK24" s="295" t="s">
        <v>253</v>
      </c>
      <c r="AL24" s="296"/>
      <c r="AM24" s="297"/>
      <c r="AN24" s="297"/>
      <c r="AO24" s="297"/>
      <c r="AP24" s="297"/>
      <c r="AQ24" s="297"/>
      <c r="AR24" s="297"/>
      <c r="AS24" s="298"/>
      <c r="AT24" s="83"/>
      <c r="AU24" s="83"/>
      <c r="AV24" s="83"/>
      <c r="AW24" s="83"/>
      <c r="AX24" s="80"/>
      <c r="AY24" s="80"/>
      <c r="AZ24" s="80"/>
      <c r="BA24" s="80"/>
      <c r="BB24" s="44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44"/>
      <c r="BU24" s="44"/>
      <c r="BV24" s="44"/>
      <c r="BW24" s="44"/>
      <c r="BX24" s="44"/>
      <c r="BY24" s="44"/>
      <c r="BZ24" s="44"/>
      <c r="CA24" s="44"/>
      <c r="CB24" s="44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2"/>
    </row>
    <row r="25" spans="1:109" ht="12" customHeight="1" x14ac:dyDescent="0.2">
      <c r="A25" s="84"/>
      <c r="B25" s="281"/>
      <c r="C25" s="281"/>
      <c r="D25" s="281"/>
      <c r="E25" s="281"/>
      <c r="F25" s="281"/>
      <c r="G25" s="281"/>
      <c r="H25" s="281"/>
      <c r="I25" s="281"/>
      <c r="J25" s="281"/>
      <c r="K25" s="281"/>
      <c r="L25" s="281"/>
      <c r="M25" s="281"/>
      <c r="N25" s="281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  <c r="AF25" s="281"/>
      <c r="AG25" s="281"/>
      <c r="AH25" s="281"/>
      <c r="AI25" s="281"/>
      <c r="AJ25" s="44"/>
      <c r="AK25" s="295" t="s">
        <v>256</v>
      </c>
      <c r="AL25" s="296"/>
      <c r="AM25" s="297"/>
      <c r="AN25" s="297"/>
      <c r="AO25" s="297"/>
      <c r="AP25" s="297"/>
      <c r="AQ25" s="297"/>
      <c r="AR25" s="297"/>
      <c r="AS25" s="298"/>
      <c r="AT25" s="83"/>
      <c r="AU25" s="83"/>
      <c r="AV25" s="83"/>
      <c r="AW25" s="83"/>
      <c r="AX25" s="80"/>
      <c r="AY25" s="80"/>
      <c r="AZ25" s="80"/>
      <c r="BA25" s="80"/>
      <c r="BB25" s="44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44"/>
      <c r="BU25" s="44"/>
      <c r="BV25" s="44"/>
      <c r="BW25" s="44"/>
      <c r="BX25" s="44"/>
      <c r="BY25" s="44"/>
      <c r="BZ25" s="44"/>
      <c r="CA25" s="44"/>
      <c r="CB25" s="44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2"/>
    </row>
    <row r="26" spans="1:109" ht="12.75" customHeight="1" x14ac:dyDescent="0.2">
      <c r="A26" s="84"/>
      <c r="B26" s="281"/>
      <c r="C26" s="281"/>
      <c r="D26" s="281"/>
      <c r="E26" s="281"/>
      <c r="F26" s="281"/>
      <c r="G26" s="281"/>
      <c r="H26" s="281"/>
      <c r="I26" s="281"/>
      <c r="J26" s="281"/>
      <c r="K26" s="281"/>
      <c r="L26" s="281"/>
      <c r="M26" s="281"/>
      <c r="N26" s="281"/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  <c r="AF26" s="281"/>
      <c r="AG26" s="281"/>
      <c r="AH26" s="281"/>
      <c r="AI26" s="281"/>
      <c r="AJ26" s="44"/>
      <c r="AK26" s="295" t="s">
        <v>258</v>
      </c>
      <c r="AL26" s="296"/>
      <c r="AM26" s="297"/>
      <c r="AN26" s="297"/>
      <c r="AO26" s="297"/>
      <c r="AP26" s="297"/>
      <c r="AQ26" s="297"/>
      <c r="AR26" s="297"/>
      <c r="AS26" s="298"/>
      <c r="AT26" s="83"/>
      <c r="AU26" s="83"/>
      <c r="AV26" s="83"/>
      <c r="AW26" s="83"/>
      <c r="AX26" s="80"/>
      <c r="AY26" s="80"/>
      <c r="AZ26" s="80"/>
      <c r="BA26" s="80"/>
      <c r="BB26" s="44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44"/>
      <c r="BU26" s="44"/>
      <c r="BV26" s="44"/>
      <c r="BW26" s="44"/>
      <c r="BX26" s="44"/>
      <c r="BY26" s="44"/>
      <c r="BZ26" s="44"/>
      <c r="CA26" s="44"/>
      <c r="CB26" s="44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  <c r="CW26" s="51"/>
      <c r="CX26" s="51"/>
      <c r="CY26" s="51"/>
      <c r="CZ26" s="51"/>
      <c r="DA26" s="51"/>
      <c r="DB26" s="51"/>
      <c r="DC26" s="51"/>
      <c r="DD26" s="51"/>
      <c r="DE26" s="52"/>
    </row>
    <row r="27" spans="1:109" ht="12" customHeight="1" x14ac:dyDescent="0.2">
      <c r="A27" s="84"/>
      <c r="B27" s="281"/>
      <c r="C27" s="281"/>
      <c r="D27" s="281"/>
      <c r="E27" s="281"/>
      <c r="F27" s="281"/>
      <c r="G27" s="281"/>
      <c r="H27" s="281"/>
      <c r="I27" s="281"/>
      <c r="J27" s="281"/>
      <c r="K27" s="281"/>
      <c r="L27" s="281"/>
      <c r="M27" s="281"/>
      <c r="N27" s="281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  <c r="AF27" s="281"/>
      <c r="AG27" s="281"/>
      <c r="AH27" s="281"/>
      <c r="AI27" s="281"/>
      <c r="AJ27" s="44"/>
      <c r="AK27" s="295" t="s">
        <v>260</v>
      </c>
      <c r="AL27" s="296"/>
      <c r="AM27" s="297"/>
      <c r="AN27" s="297"/>
      <c r="AO27" s="297"/>
      <c r="AP27" s="297"/>
      <c r="AQ27" s="297"/>
      <c r="AR27" s="297"/>
      <c r="AS27" s="298"/>
      <c r="AT27" s="83"/>
      <c r="AU27" s="83"/>
      <c r="AV27" s="83"/>
      <c r="AW27" s="83"/>
      <c r="AX27" s="80"/>
      <c r="AY27" s="80"/>
      <c r="AZ27" s="80"/>
      <c r="BA27" s="80"/>
      <c r="BB27" s="44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44"/>
      <c r="BU27" s="44"/>
      <c r="BV27" s="44"/>
      <c r="BW27" s="44"/>
      <c r="BX27" s="44"/>
      <c r="BY27" s="44"/>
      <c r="BZ27" s="44"/>
      <c r="CA27" s="44"/>
      <c r="CB27" s="44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2"/>
    </row>
    <row r="28" spans="1:109" ht="12" customHeight="1" thickBot="1" x14ac:dyDescent="0.25">
      <c r="A28" s="84"/>
      <c r="B28" s="281"/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  <c r="AF28" s="281"/>
      <c r="AG28" s="281"/>
      <c r="AH28" s="281"/>
      <c r="AI28" s="281"/>
      <c r="AJ28" s="44"/>
      <c r="AK28" s="291" t="s">
        <v>263</v>
      </c>
      <c r="AL28" s="292"/>
      <c r="AM28" s="293"/>
      <c r="AN28" s="293"/>
      <c r="AO28" s="293"/>
      <c r="AP28" s="293"/>
      <c r="AQ28" s="293"/>
      <c r="AR28" s="293"/>
      <c r="AS28" s="294"/>
      <c r="AT28" s="83"/>
      <c r="AU28" s="83"/>
      <c r="AV28" s="83"/>
      <c r="AW28" s="83"/>
      <c r="AX28" s="80"/>
      <c r="AY28" s="80"/>
      <c r="AZ28" s="80"/>
      <c r="BA28" s="80"/>
      <c r="BB28" s="44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44"/>
      <c r="BU28" s="44"/>
      <c r="BV28" s="44"/>
      <c r="BW28" s="44"/>
      <c r="BX28" s="44"/>
      <c r="BY28" s="44"/>
      <c r="BZ28" s="44"/>
      <c r="CA28" s="44"/>
      <c r="CB28" s="44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1"/>
      <c r="CV28" s="51"/>
      <c r="CW28" s="51"/>
      <c r="CX28" s="51"/>
      <c r="CY28" s="51"/>
      <c r="CZ28" s="51"/>
      <c r="DA28" s="51"/>
      <c r="DB28" s="51"/>
      <c r="DC28" s="51"/>
      <c r="DD28" s="51"/>
      <c r="DE28" s="52"/>
    </row>
    <row r="29" spans="1:109" ht="12" customHeight="1" x14ac:dyDescent="0.2">
      <c r="A29" s="84"/>
      <c r="B29" s="281"/>
      <c r="C29" s="281"/>
      <c r="D29" s="281"/>
      <c r="E29" s="281"/>
      <c r="F29" s="281"/>
      <c r="G29" s="281"/>
      <c r="H29" s="281"/>
      <c r="I29" s="281"/>
      <c r="J29" s="281"/>
      <c r="K29" s="281"/>
      <c r="L29" s="281"/>
      <c r="M29" s="281"/>
      <c r="N29" s="281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  <c r="AF29" s="281"/>
      <c r="AG29" s="281"/>
      <c r="AH29" s="281"/>
      <c r="AI29" s="281"/>
      <c r="AJ29" s="44"/>
      <c r="AK29" s="44"/>
      <c r="AL29" s="44"/>
      <c r="AM29" s="44"/>
      <c r="AN29" s="44"/>
      <c r="AO29" s="44"/>
      <c r="AP29" s="83"/>
      <c r="AQ29" s="83"/>
      <c r="AR29" s="83"/>
      <c r="AS29" s="83"/>
      <c r="AT29" s="83"/>
      <c r="AU29" s="83"/>
      <c r="AV29" s="83"/>
      <c r="AW29" s="83"/>
      <c r="AX29" s="80"/>
      <c r="AY29" s="80"/>
      <c r="AZ29" s="80"/>
      <c r="BA29" s="80"/>
      <c r="BB29" s="44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44"/>
      <c r="BU29" s="44"/>
      <c r="BV29" s="44"/>
      <c r="BW29" s="44"/>
      <c r="BX29" s="44"/>
      <c r="BY29" s="44"/>
      <c r="BZ29" s="44"/>
      <c r="CA29" s="44"/>
      <c r="CB29" s="44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2"/>
    </row>
    <row r="30" spans="1:109" ht="12" x14ac:dyDescent="0.2">
      <c r="A30" s="8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44"/>
      <c r="AK30" s="44"/>
      <c r="AL30" s="44"/>
      <c r="AM30" s="44"/>
      <c r="AN30" s="44"/>
      <c r="AO30" s="44"/>
      <c r="AP30" s="83"/>
      <c r="AQ30" s="83"/>
      <c r="AR30" s="83"/>
      <c r="AS30" s="83"/>
      <c r="AT30" s="83"/>
      <c r="AU30" s="83"/>
      <c r="AV30" s="83"/>
      <c r="AW30" s="83"/>
      <c r="AX30" s="80"/>
      <c r="AY30" s="80"/>
      <c r="AZ30" s="80"/>
      <c r="BA30" s="80"/>
      <c r="BB30" s="44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44"/>
      <c r="BU30" s="44"/>
      <c r="BV30" s="44"/>
      <c r="BW30" s="44"/>
      <c r="BX30" s="44"/>
      <c r="BY30" s="44"/>
      <c r="BZ30" s="44"/>
      <c r="CA30" s="44"/>
      <c r="CB30" s="44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  <c r="CY30" s="51"/>
      <c r="CZ30" s="51"/>
      <c r="DA30" s="51"/>
      <c r="DB30" s="51"/>
      <c r="DC30" s="51"/>
      <c r="DD30" s="51"/>
      <c r="DE30" s="52"/>
    </row>
    <row r="31" spans="1:109" ht="12" customHeight="1" x14ac:dyDescent="0.2">
      <c r="A31" s="84"/>
      <c r="B31" s="281"/>
      <c r="C31" s="281"/>
      <c r="D31" s="281"/>
      <c r="E31" s="281"/>
      <c r="F31" s="281"/>
      <c r="G31" s="281"/>
      <c r="H31" s="281"/>
      <c r="I31" s="281"/>
      <c r="J31" s="281"/>
      <c r="K31" s="281"/>
      <c r="L31" s="281"/>
      <c r="M31" s="281"/>
      <c r="N31" s="281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  <c r="AF31" s="281"/>
      <c r="AG31" s="281"/>
      <c r="AH31" s="281"/>
      <c r="AI31" s="281"/>
      <c r="AJ31" s="44"/>
      <c r="AK31" s="44"/>
      <c r="AL31" s="44"/>
      <c r="AM31" s="44"/>
      <c r="AN31" s="44"/>
      <c r="AO31" s="44"/>
      <c r="AP31" s="83"/>
      <c r="AQ31" s="83"/>
      <c r="AR31" s="83"/>
      <c r="AS31" s="83"/>
      <c r="AT31" s="83"/>
      <c r="AU31" s="83"/>
      <c r="AV31" s="83"/>
      <c r="AW31" s="83"/>
      <c r="AX31" s="80"/>
      <c r="AY31" s="80"/>
      <c r="AZ31" s="80"/>
      <c r="BA31" s="80"/>
      <c r="BB31" s="44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44"/>
      <c r="BU31" s="44"/>
      <c r="BV31" s="44"/>
      <c r="BW31" s="44"/>
      <c r="BX31" s="44"/>
      <c r="BY31" s="44"/>
      <c r="BZ31" s="44"/>
      <c r="CA31" s="44"/>
      <c r="CB31" s="44"/>
      <c r="CC31" s="51"/>
      <c r="CD31" s="51"/>
      <c r="CE31" s="51"/>
      <c r="CF31" s="51"/>
      <c r="CG31" s="51"/>
    </row>
    <row r="32" spans="1:109" ht="12" x14ac:dyDescent="0.2">
      <c r="A32" s="101"/>
      <c r="B32" s="281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  <c r="AF32" s="281"/>
      <c r="AG32" s="281"/>
      <c r="AH32" s="281"/>
      <c r="AI32" s="281"/>
      <c r="AJ32" s="44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44"/>
      <c r="AX32" s="44"/>
      <c r="AY32" s="44"/>
      <c r="AZ32" s="44"/>
      <c r="BA32" s="44"/>
      <c r="BB32" s="4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44"/>
      <c r="BU32" s="44"/>
      <c r="BV32" s="44"/>
      <c r="BW32" s="44"/>
      <c r="BX32" s="44"/>
      <c r="BY32" s="44"/>
      <c r="BZ32" s="44"/>
      <c r="CA32" s="44"/>
      <c r="CB32" s="44"/>
    </row>
    <row r="33" spans="1:80" ht="12.75" customHeight="1" x14ac:dyDescent="0.2">
      <c r="A33" s="84"/>
      <c r="B33" s="281"/>
      <c r="C33" s="281"/>
      <c r="D33" s="281"/>
      <c r="E33" s="281"/>
      <c r="F33" s="281"/>
      <c r="G33" s="281"/>
      <c r="H33" s="281"/>
      <c r="I33" s="281"/>
      <c r="J33" s="281"/>
      <c r="K33" s="281"/>
      <c r="L33" s="281"/>
      <c r="M33" s="281"/>
      <c r="N33" s="281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  <c r="AF33" s="281"/>
      <c r="AG33" s="281"/>
      <c r="AH33" s="281"/>
      <c r="AI33" s="281"/>
      <c r="AJ33" s="44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44"/>
      <c r="AX33" s="44"/>
      <c r="AY33" s="44"/>
      <c r="AZ33" s="44"/>
      <c r="BA33" s="44"/>
      <c r="BB33" s="4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54"/>
      <c r="BT33" s="44"/>
      <c r="BU33" s="44"/>
      <c r="BV33" s="44"/>
      <c r="BW33" s="44"/>
      <c r="BX33" s="44"/>
      <c r="BY33" s="44"/>
      <c r="BZ33" s="44"/>
      <c r="CA33" s="44"/>
      <c r="CB33" s="44"/>
    </row>
    <row r="34" spans="1:80" ht="12.75" customHeight="1" x14ac:dyDescent="0.2">
      <c r="A34" s="84"/>
      <c r="B34" s="281"/>
      <c r="C34" s="281"/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  <c r="AF34" s="281"/>
      <c r="AG34" s="281"/>
      <c r="AH34" s="281"/>
      <c r="AI34" s="281"/>
      <c r="AJ34" s="44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</row>
    <row r="35" spans="1:80" ht="12" customHeight="1" x14ac:dyDescent="0.2">
      <c r="A35" s="84"/>
      <c r="B35" s="281"/>
      <c r="C35" s="281"/>
      <c r="D35" s="281"/>
      <c r="E35" s="281"/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  <c r="AF35" s="281"/>
      <c r="AG35" s="281"/>
      <c r="AH35" s="281"/>
      <c r="AI35" s="281"/>
      <c r="AJ35" s="44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</row>
    <row r="36" spans="1:80" ht="12" x14ac:dyDescent="0.2">
      <c r="A36" s="84"/>
      <c r="B36" s="281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  <c r="AF36" s="281"/>
      <c r="AG36" s="281"/>
      <c r="AH36" s="281"/>
      <c r="AI36" s="281"/>
      <c r="AJ36" s="44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</row>
    <row r="37" spans="1:80" ht="12" x14ac:dyDescent="0.2">
      <c r="A37" s="84"/>
      <c r="B37" s="281"/>
      <c r="C37" s="281"/>
      <c r="D37" s="281"/>
      <c r="E37" s="281"/>
      <c r="F37" s="281"/>
      <c r="G37" s="281"/>
      <c r="H37" s="281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  <c r="AF37" s="281"/>
      <c r="AG37" s="281"/>
      <c r="AH37" s="281"/>
      <c r="AI37" s="281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</row>
    <row r="38" spans="1:80" ht="12.6" customHeight="1" x14ac:dyDescent="0.2">
      <c r="A38" s="84"/>
      <c r="B38" s="281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  <c r="AF38" s="281"/>
      <c r="AG38" s="281"/>
      <c r="AH38" s="281"/>
      <c r="AI38" s="281"/>
      <c r="AJ38" s="44"/>
      <c r="AK38" s="100"/>
      <c r="AL38" s="83"/>
      <c r="AM38" s="83"/>
      <c r="AN38" s="83"/>
      <c r="AO38" s="83"/>
      <c r="AP38" s="83"/>
      <c r="AQ38" s="83"/>
      <c r="AR38" s="83"/>
      <c r="AS38" s="83"/>
      <c r="AT38" s="44"/>
      <c r="AU38" s="83"/>
      <c r="AV38" s="83"/>
      <c r="AW38" s="83"/>
      <c r="AX38" s="83"/>
      <c r="AY38" s="83"/>
      <c r="AZ38" s="83"/>
      <c r="BA38" s="83"/>
      <c r="BB38" s="83"/>
      <c r="BC38" s="83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3"/>
      <c r="BP38" s="83"/>
      <c r="BQ38" s="83"/>
      <c r="BR38" s="83"/>
      <c r="BS38" s="83"/>
      <c r="BT38" s="83"/>
      <c r="BU38" s="83"/>
      <c r="BV38" s="83"/>
      <c r="BW38" s="83"/>
      <c r="BX38" s="83"/>
      <c r="BY38" s="83"/>
      <c r="BZ38" s="83"/>
      <c r="CA38" s="83"/>
      <c r="CB38" s="44"/>
    </row>
    <row r="39" spans="1:80" ht="12" customHeight="1" x14ac:dyDescent="0.2">
      <c r="A39" s="84"/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  <c r="AF39" s="281"/>
      <c r="AG39" s="281"/>
      <c r="AH39" s="281"/>
      <c r="AI39" s="281"/>
      <c r="AJ39" s="44"/>
      <c r="AK39" s="83"/>
      <c r="AL39" s="83"/>
      <c r="AM39" s="83"/>
      <c r="AN39" s="83"/>
      <c r="AO39" s="83"/>
      <c r="AP39" s="83"/>
      <c r="AQ39" s="83"/>
      <c r="AR39" s="83"/>
      <c r="AS39" s="83"/>
      <c r="AT39" s="44"/>
      <c r="AU39" s="44"/>
      <c r="AV39" s="4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44"/>
    </row>
    <row r="40" spans="1:80" ht="12" customHeight="1" x14ac:dyDescent="0.2">
      <c r="A40" s="84"/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  <c r="AF40" s="281"/>
      <c r="AG40" s="281"/>
      <c r="AH40" s="281"/>
      <c r="AI40" s="281"/>
      <c r="AJ40" s="44"/>
      <c r="AK40" s="54"/>
      <c r="AL40" s="83"/>
      <c r="AM40" s="83"/>
      <c r="AN40" s="83"/>
      <c r="AO40" s="83"/>
      <c r="AP40" s="83"/>
      <c r="AQ40" s="83"/>
      <c r="AR40" s="83"/>
      <c r="AS40" s="83"/>
      <c r="AT40" s="44"/>
      <c r="AU40" s="44"/>
      <c r="AV40" s="4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44"/>
    </row>
    <row r="41" spans="1:80" ht="12" customHeight="1" x14ac:dyDescent="0.2">
      <c r="A41" s="84"/>
      <c r="B41" s="281"/>
      <c r="C41" s="281"/>
      <c r="D41" s="281"/>
      <c r="E41" s="281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  <c r="AF41" s="281"/>
      <c r="AG41" s="281"/>
      <c r="AH41" s="281"/>
      <c r="AI41" s="281"/>
      <c r="AJ41" s="44"/>
      <c r="AK41" s="54"/>
      <c r="AL41" s="83"/>
      <c r="AM41" s="83"/>
      <c r="AN41" s="83"/>
      <c r="AO41" s="83"/>
      <c r="AP41" s="83"/>
      <c r="AQ41" s="83"/>
      <c r="AR41" s="83"/>
      <c r="AS41" s="83"/>
      <c r="AT41" s="44"/>
      <c r="AU41" s="44"/>
      <c r="AV41" s="4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44"/>
    </row>
    <row r="42" spans="1:80" ht="12" customHeight="1" x14ac:dyDescent="0.2">
      <c r="A42" s="84"/>
      <c r="B42" s="281"/>
      <c r="C42" s="281"/>
      <c r="D42" s="281"/>
      <c r="E42" s="281"/>
      <c r="F42" s="281"/>
      <c r="G42" s="281"/>
      <c r="H42" s="281"/>
      <c r="I42" s="281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  <c r="AF42" s="281"/>
      <c r="AG42" s="281"/>
      <c r="AH42" s="281"/>
      <c r="AI42" s="281"/>
      <c r="AJ42" s="44"/>
      <c r="AK42" s="54"/>
      <c r="AL42" s="83"/>
      <c r="AM42" s="83"/>
      <c r="AN42" s="83"/>
      <c r="AO42" s="83"/>
      <c r="AP42" s="83"/>
      <c r="AQ42" s="83"/>
      <c r="AR42" s="83"/>
      <c r="AS42" s="83"/>
      <c r="AT42" s="44"/>
      <c r="AU42" s="44"/>
      <c r="AV42" s="4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44"/>
    </row>
    <row r="43" spans="1:80" ht="12" customHeight="1" x14ac:dyDescent="0.2">
      <c r="A43" s="84"/>
      <c r="B43" s="281"/>
      <c r="C43" s="281"/>
      <c r="D43" s="281"/>
      <c r="E43" s="281"/>
      <c r="F43" s="281"/>
      <c r="G43" s="281"/>
      <c r="H43" s="281"/>
      <c r="I43" s="281"/>
      <c r="J43" s="281"/>
      <c r="K43" s="281"/>
      <c r="L43" s="281"/>
      <c r="M43" s="281"/>
      <c r="N43" s="2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  <c r="AF43" s="281"/>
      <c r="AG43" s="281"/>
      <c r="AH43" s="281"/>
      <c r="AI43" s="281"/>
      <c r="AJ43" s="44"/>
      <c r="AK43" s="54"/>
      <c r="AL43" s="83"/>
      <c r="AM43" s="83"/>
      <c r="AN43" s="83"/>
      <c r="AO43" s="83"/>
      <c r="AP43" s="83"/>
      <c r="AQ43" s="83"/>
      <c r="AR43" s="83"/>
      <c r="AS43" s="83"/>
      <c r="AT43" s="44"/>
      <c r="AU43" s="44"/>
      <c r="AV43" s="4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44"/>
    </row>
    <row r="44" spans="1:80" ht="12" customHeight="1" x14ac:dyDescent="0.2">
      <c r="A44" s="84"/>
      <c r="B44" s="281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44"/>
      <c r="AK44" s="54"/>
      <c r="AL44" s="83"/>
      <c r="AM44" s="83"/>
      <c r="AN44" s="83"/>
      <c r="AO44" s="83"/>
      <c r="AP44" s="83"/>
      <c r="AQ44" s="83"/>
      <c r="AR44" s="83"/>
      <c r="AS44" s="83"/>
      <c r="AT44" s="44"/>
      <c r="AU44" s="44"/>
      <c r="AV44" s="4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44"/>
    </row>
    <row r="45" spans="1:80" ht="12" customHeight="1" x14ac:dyDescent="0.2">
      <c r="A45" s="84"/>
      <c r="B45" s="281"/>
      <c r="C45" s="281"/>
      <c r="D45" s="281"/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  <c r="AF45" s="281"/>
      <c r="AG45" s="281"/>
      <c r="AH45" s="281"/>
      <c r="AI45" s="281"/>
      <c r="AJ45" s="44"/>
      <c r="AK45" s="54"/>
      <c r="AL45" s="83"/>
      <c r="AM45" s="83"/>
      <c r="AN45" s="83"/>
      <c r="AO45" s="83"/>
      <c r="AP45" s="83"/>
      <c r="AQ45" s="83"/>
      <c r="AR45" s="83"/>
      <c r="AS45" s="83"/>
      <c r="AT45" s="44"/>
      <c r="AU45" s="44"/>
      <c r="AV45" s="4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44"/>
    </row>
    <row r="46" spans="1:80" ht="12" customHeight="1" x14ac:dyDescent="0.2">
      <c r="A46" s="84"/>
      <c r="B46" s="281"/>
      <c r="C46" s="281"/>
      <c r="D46" s="281"/>
      <c r="E46" s="281"/>
      <c r="F46" s="281"/>
      <c r="G46" s="281"/>
      <c r="H46" s="281"/>
      <c r="I46" s="281"/>
      <c r="J46" s="281"/>
      <c r="K46" s="281"/>
      <c r="L46" s="281"/>
      <c r="M46" s="281"/>
      <c r="N46" s="281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  <c r="AF46" s="281"/>
      <c r="AG46" s="281"/>
      <c r="AH46" s="281"/>
      <c r="AI46" s="281"/>
      <c r="AJ46" s="44"/>
      <c r="AK46" s="54"/>
      <c r="AL46" s="83"/>
      <c r="AM46" s="83"/>
      <c r="AN46" s="83"/>
      <c r="AO46" s="83"/>
      <c r="AP46" s="83"/>
      <c r="AQ46" s="83"/>
      <c r="AR46" s="83"/>
      <c r="AS46" s="83"/>
      <c r="AT46" s="44"/>
      <c r="AU46" s="44"/>
      <c r="AV46" s="4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44"/>
    </row>
    <row r="47" spans="1:80" ht="12" customHeight="1" x14ac:dyDescent="0.2">
      <c r="A47" s="84"/>
      <c r="B47" s="281"/>
      <c r="C47" s="281"/>
      <c r="D47" s="281"/>
      <c r="E47" s="281"/>
      <c r="F47" s="281"/>
      <c r="G47" s="281"/>
      <c r="H47" s="281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81"/>
      <c r="AF47" s="281"/>
      <c r="AG47" s="281"/>
      <c r="AH47" s="281"/>
      <c r="AI47" s="281"/>
      <c r="AJ47" s="44"/>
      <c r="AK47" s="54"/>
      <c r="AL47" s="83"/>
      <c r="AM47" s="83"/>
      <c r="AN47" s="83"/>
      <c r="AO47" s="83"/>
      <c r="AP47" s="83"/>
      <c r="AQ47" s="83"/>
      <c r="AR47" s="83"/>
      <c r="AS47" s="83"/>
      <c r="AT47" s="44"/>
      <c r="AU47" s="44"/>
      <c r="AV47" s="4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  <c r="BM47" s="54"/>
      <c r="BN47" s="54"/>
      <c r="BO47" s="54"/>
      <c r="BP47" s="54"/>
      <c r="BQ47" s="54"/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44"/>
    </row>
    <row r="48" spans="1:80" ht="12" customHeight="1" x14ac:dyDescent="0.2">
      <c r="A48" s="84"/>
      <c r="B48" s="281"/>
      <c r="C48" s="281"/>
      <c r="D48" s="281"/>
      <c r="E48" s="281"/>
      <c r="F48" s="281"/>
      <c r="G48" s="281"/>
      <c r="H48" s="281"/>
      <c r="I48" s="281"/>
      <c r="J48" s="281"/>
      <c r="K48" s="281"/>
      <c r="L48" s="281"/>
      <c r="M48" s="281"/>
      <c r="N48" s="281"/>
      <c r="O48" s="281"/>
      <c r="P48" s="281"/>
      <c r="Q48" s="281"/>
      <c r="R48" s="281"/>
      <c r="S48" s="281"/>
      <c r="T48" s="281"/>
      <c r="U48" s="281"/>
      <c r="V48" s="281"/>
      <c r="W48" s="281"/>
      <c r="X48" s="281"/>
      <c r="Y48" s="281"/>
      <c r="Z48" s="281"/>
      <c r="AA48" s="281"/>
      <c r="AB48" s="281"/>
      <c r="AC48" s="281"/>
      <c r="AD48" s="281"/>
      <c r="AE48" s="281"/>
      <c r="AF48" s="281"/>
      <c r="AG48" s="281"/>
      <c r="AH48" s="281"/>
      <c r="AI48" s="281"/>
      <c r="AJ48" s="44"/>
      <c r="AK48" s="54"/>
      <c r="AL48" s="83"/>
      <c r="AM48" s="83"/>
      <c r="AN48" s="83"/>
      <c r="AO48" s="83"/>
      <c r="AP48" s="83"/>
      <c r="AQ48" s="83"/>
      <c r="AR48" s="83"/>
      <c r="AS48" s="83"/>
      <c r="AT48" s="44"/>
      <c r="AU48" s="44"/>
      <c r="AV48" s="4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44"/>
    </row>
    <row r="49" spans="1:80" ht="12" customHeight="1" x14ac:dyDescent="0.2">
      <c r="A49" s="84"/>
      <c r="B49" s="281"/>
      <c r="C49" s="281"/>
      <c r="D49" s="281"/>
      <c r="E49" s="281"/>
      <c r="F49" s="281"/>
      <c r="G49" s="281"/>
      <c r="H49" s="281"/>
      <c r="I49" s="281"/>
      <c r="J49" s="281"/>
      <c r="K49" s="281"/>
      <c r="L49" s="281"/>
      <c r="M49" s="281"/>
      <c r="N49" s="281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  <c r="AF49" s="281"/>
      <c r="AG49" s="281"/>
      <c r="AH49" s="281"/>
      <c r="AI49" s="281"/>
      <c r="AJ49" s="44"/>
      <c r="AK49" s="54"/>
      <c r="AL49" s="83"/>
      <c r="AM49" s="83"/>
      <c r="AN49" s="83"/>
      <c r="AO49" s="83"/>
      <c r="AP49" s="83"/>
      <c r="AQ49" s="83"/>
      <c r="AR49" s="83"/>
      <c r="AS49" s="83"/>
      <c r="AT49" s="44"/>
      <c r="AU49" s="44"/>
      <c r="AV49" s="4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44"/>
    </row>
    <row r="50" spans="1:80" ht="12" customHeight="1" x14ac:dyDescent="0.2">
      <c r="A50" s="84"/>
      <c r="B50" s="281"/>
      <c r="C50" s="281"/>
      <c r="D50" s="281"/>
      <c r="E50" s="281"/>
      <c r="F50" s="281"/>
      <c r="G50" s="281"/>
      <c r="H50" s="281"/>
      <c r="I50" s="281"/>
      <c r="J50" s="281"/>
      <c r="K50" s="281"/>
      <c r="L50" s="281"/>
      <c r="M50" s="281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44"/>
      <c r="AK50" s="54"/>
      <c r="AL50" s="83"/>
      <c r="AM50" s="83"/>
      <c r="AN50" s="83"/>
      <c r="AO50" s="83"/>
      <c r="AP50" s="83"/>
      <c r="AQ50" s="83"/>
      <c r="AR50" s="83"/>
      <c r="AS50" s="83"/>
      <c r="AT50" s="44"/>
      <c r="AU50" s="44"/>
      <c r="AV50" s="4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44"/>
    </row>
    <row r="51" spans="1:80" ht="12" customHeight="1" x14ac:dyDescent="0.2">
      <c r="A51" s="84"/>
      <c r="B51" s="281"/>
      <c r="C51" s="281"/>
      <c r="D51" s="281"/>
      <c r="E51" s="281"/>
      <c r="F51" s="281"/>
      <c r="G51" s="281"/>
      <c r="H51" s="281"/>
      <c r="I51" s="281"/>
      <c r="J51" s="281"/>
      <c r="K51" s="281"/>
      <c r="L51" s="281"/>
      <c r="M51" s="281"/>
      <c r="N51" s="281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  <c r="AF51" s="281"/>
      <c r="AG51" s="281"/>
      <c r="AH51" s="281"/>
      <c r="AI51" s="281"/>
      <c r="AJ51" s="44"/>
      <c r="AK51" s="54"/>
      <c r="AL51" s="83"/>
      <c r="AM51" s="83"/>
      <c r="AN51" s="83"/>
      <c r="AO51" s="83"/>
      <c r="AP51" s="83"/>
      <c r="AQ51" s="83"/>
      <c r="AR51" s="83"/>
      <c r="AS51" s="83"/>
      <c r="AT51" s="44"/>
      <c r="AU51" s="44"/>
      <c r="AV51" s="4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44"/>
    </row>
    <row r="52" spans="1:80" ht="12" customHeight="1" x14ac:dyDescent="0.2">
      <c r="A52" s="84"/>
      <c r="B52" s="281"/>
      <c r="C52" s="281"/>
      <c r="D52" s="281"/>
      <c r="E52" s="281"/>
      <c r="F52" s="281"/>
      <c r="G52" s="281"/>
      <c r="H52" s="281"/>
      <c r="I52" s="281"/>
      <c r="J52" s="281"/>
      <c r="K52" s="281"/>
      <c r="L52" s="281"/>
      <c r="M52" s="281"/>
      <c r="N52" s="281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  <c r="AF52" s="281"/>
      <c r="AG52" s="281"/>
      <c r="AH52" s="281"/>
      <c r="AI52" s="281"/>
      <c r="AJ52" s="44"/>
      <c r="AK52" s="44"/>
      <c r="AL52" s="83"/>
      <c r="AM52" s="83"/>
      <c r="AN52" s="83"/>
      <c r="AO52" s="83"/>
      <c r="AP52" s="83"/>
      <c r="AQ52" s="83"/>
      <c r="AR52" s="83"/>
      <c r="AS52" s="83"/>
      <c r="AT52" s="44"/>
      <c r="AU52" s="44"/>
      <c r="AV52" s="4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44"/>
    </row>
    <row r="53" spans="1:80" ht="12" customHeight="1" x14ac:dyDescent="0.2">
      <c r="A53" s="84"/>
      <c r="B53" s="281"/>
      <c r="C53" s="281"/>
      <c r="D53" s="281"/>
      <c r="E53" s="281"/>
      <c r="F53" s="281"/>
      <c r="G53" s="281"/>
      <c r="H53" s="281"/>
      <c r="I53" s="281"/>
      <c r="J53" s="281"/>
      <c r="K53" s="281"/>
      <c r="L53" s="281"/>
      <c r="M53" s="281"/>
      <c r="N53" s="281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  <c r="AF53" s="281"/>
      <c r="AG53" s="281"/>
      <c r="AH53" s="281"/>
      <c r="AI53" s="281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44"/>
    </row>
    <row r="54" spans="1:80" ht="12" customHeight="1" x14ac:dyDescent="0.2">
      <c r="A54" s="84"/>
      <c r="B54" s="281"/>
      <c r="C54" s="281"/>
      <c r="D54" s="281"/>
      <c r="E54" s="281"/>
      <c r="F54" s="281"/>
      <c r="G54" s="281"/>
      <c r="H54" s="281"/>
      <c r="I54" s="281"/>
      <c r="J54" s="281"/>
      <c r="K54" s="281"/>
      <c r="L54" s="281"/>
      <c r="M54" s="281"/>
      <c r="N54" s="281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  <c r="AF54" s="281"/>
      <c r="AG54" s="281"/>
      <c r="AH54" s="281"/>
      <c r="AI54" s="281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44"/>
    </row>
    <row r="55" spans="1:80" ht="12" customHeight="1" x14ac:dyDescent="0.2">
      <c r="A55" s="84"/>
      <c r="B55" s="281"/>
      <c r="C55" s="281"/>
      <c r="D55" s="281"/>
      <c r="E55" s="281"/>
      <c r="F55" s="281"/>
      <c r="G55" s="281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  <c r="AF55" s="281"/>
      <c r="AG55" s="281"/>
      <c r="AH55" s="281"/>
      <c r="AI55" s="281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44"/>
    </row>
    <row r="56" spans="1:80" ht="12" customHeight="1" x14ac:dyDescent="0.2">
      <c r="A56" s="84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44"/>
    </row>
    <row r="57" spans="1:80" ht="12" customHeight="1" x14ac:dyDescent="0.2">
      <c r="A57" s="84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44"/>
    </row>
    <row r="58" spans="1:80" ht="12" customHeight="1" x14ac:dyDescent="0.2">
      <c r="A58" s="84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44"/>
    </row>
    <row r="59" spans="1:80" ht="12" customHeight="1" x14ac:dyDescent="0.2">
      <c r="A59" s="84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44"/>
    </row>
    <row r="60" spans="1:80" ht="12" customHeight="1" x14ac:dyDescent="0.2">
      <c r="A60" s="84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44"/>
    </row>
    <row r="61" spans="1:80" ht="12" customHeight="1" x14ac:dyDescent="0.2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44"/>
    </row>
    <row r="62" spans="1:80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</row>
  </sheetData>
  <mergeCells count="156">
    <mergeCell ref="AJ2:CB2"/>
    <mergeCell ref="M5:AI5"/>
    <mergeCell ref="AK5:AS6"/>
    <mergeCell ref="AK7:AL7"/>
    <mergeCell ref="AM7:AS7"/>
    <mergeCell ref="A8:AI8"/>
    <mergeCell ref="AK8:AL8"/>
    <mergeCell ref="AM8:AS8"/>
    <mergeCell ref="A9:C9"/>
    <mergeCell ref="D9:E9"/>
    <mergeCell ref="F9:F13"/>
    <mergeCell ref="G9:H9"/>
    <mergeCell ref="I9:I13"/>
    <mergeCell ref="J9:K9"/>
    <mergeCell ref="D10:E13"/>
    <mergeCell ref="G10:H13"/>
    <mergeCell ref="J10:K13"/>
    <mergeCell ref="Y10:Z13"/>
    <mergeCell ref="AB10:AC13"/>
    <mergeCell ref="L9:L13"/>
    <mergeCell ref="M9:N9"/>
    <mergeCell ref="O9:O13"/>
    <mergeCell ref="P9:Q9"/>
    <mergeCell ref="R9:R13"/>
    <mergeCell ref="S9:T9"/>
    <mergeCell ref="M10:N13"/>
    <mergeCell ref="P10:Q13"/>
    <mergeCell ref="S10:T13"/>
    <mergeCell ref="AK11:AL11"/>
    <mergeCell ref="AM11:AS11"/>
    <mergeCell ref="AK12:AL12"/>
    <mergeCell ref="AM12:AS12"/>
    <mergeCell ref="A13:C13"/>
    <mergeCell ref="AK13:AL13"/>
    <mergeCell ref="AM13:AS13"/>
    <mergeCell ref="AD9:AD13"/>
    <mergeCell ref="AE9:AF9"/>
    <mergeCell ref="AG9:AG13"/>
    <mergeCell ref="AH9:AI9"/>
    <mergeCell ref="AK9:AL9"/>
    <mergeCell ref="AM9:AS9"/>
    <mergeCell ref="AE10:AF13"/>
    <mergeCell ref="AH10:AI13"/>
    <mergeCell ref="AK10:AL10"/>
    <mergeCell ref="AM10:AS10"/>
    <mergeCell ref="U9:U13"/>
    <mergeCell ref="V9:W9"/>
    <mergeCell ref="X9:X13"/>
    <mergeCell ref="Y9:Z9"/>
    <mergeCell ref="AA9:AA13"/>
    <mergeCell ref="AB9:AC9"/>
    <mergeCell ref="V10:W13"/>
    <mergeCell ref="AM14:AS14"/>
    <mergeCell ref="A15:AI15"/>
    <mergeCell ref="AK15:AL15"/>
    <mergeCell ref="AM15:AS15"/>
    <mergeCell ref="A16:C16"/>
    <mergeCell ref="D16:E16"/>
    <mergeCell ref="F16:F20"/>
    <mergeCell ref="G16:H16"/>
    <mergeCell ref="I16:I20"/>
    <mergeCell ref="Y16:Z16"/>
    <mergeCell ref="AA16:AA20"/>
    <mergeCell ref="J16:K16"/>
    <mergeCell ref="L16:L20"/>
    <mergeCell ref="M16:N16"/>
    <mergeCell ref="O16:O20"/>
    <mergeCell ref="P16:Q16"/>
    <mergeCell ref="R16:R20"/>
    <mergeCell ref="AK14:AL14"/>
    <mergeCell ref="AM16:AS16"/>
    <mergeCell ref="D17:E20"/>
    <mergeCell ref="G17:H20"/>
    <mergeCell ref="J17:K20"/>
    <mergeCell ref="M17:N20"/>
    <mergeCell ref="P17:Q20"/>
    <mergeCell ref="S17:T20"/>
    <mergeCell ref="V17:W20"/>
    <mergeCell ref="Y17:Z20"/>
    <mergeCell ref="AB17:AC20"/>
    <mergeCell ref="AB16:AC16"/>
    <mergeCell ref="S16:T16"/>
    <mergeCell ref="U16:U20"/>
    <mergeCell ref="V16:W16"/>
    <mergeCell ref="X16:X20"/>
    <mergeCell ref="AK22:AL22"/>
    <mergeCell ref="AM22:AS22"/>
    <mergeCell ref="B23:AI23"/>
    <mergeCell ref="AK23:AL23"/>
    <mergeCell ref="AM23:AS23"/>
    <mergeCell ref="B24:AI24"/>
    <mergeCell ref="AK24:AL24"/>
    <mergeCell ref="AM24:AS24"/>
    <mergeCell ref="AM19:AS19"/>
    <mergeCell ref="A20:C20"/>
    <mergeCell ref="AK20:AL20"/>
    <mergeCell ref="AM20:AS20"/>
    <mergeCell ref="B21:AI21"/>
    <mergeCell ref="AK21:AL21"/>
    <mergeCell ref="AM21:AS21"/>
    <mergeCell ref="AD16:AD20"/>
    <mergeCell ref="AE16:AF16"/>
    <mergeCell ref="AG16:AG20"/>
    <mergeCell ref="AH16:AI16"/>
    <mergeCell ref="AK16:AL16"/>
    <mergeCell ref="AE17:AF20"/>
    <mergeCell ref="AH17:AI20"/>
    <mergeCell ref="AK17:AS18"/>
    <mergeCell ref="AK19:AL19"/>
    <mergeCell ref="B27:AI27"/>
    <mergeCell ref="AK27:AL27"/>
    <mergeCell ref="AM27:AS27"/>
    <mergeCell ref="B28:AI28"/>
    <mergeCell ref="AK28:AL28"/>
    <mergeCell ref="AM28:AS28"/>
    <mergeCell ref="B25:AI25"/>
    <mergeCell ref="AK25:AL25"/>
    <mergeCell ref="AM25:AS25"/>
    <mergeCell ref="B26:AI26"/>
    <mergeCell ref="AK26:AL26"/>
    <mergeCell ref="AM26:AS26"/>
    <mergeCell ref="B37:AI37"/>
    <mergeCell ref="B38:AI38"/>
    <mergeCell ref="B39:AI39"/>
    <mergeCell ref="B40:AI40"/>
    <mergeCell ref="B41:AI41"/>
    <mergeCell ref="B29:AI29"/>
    <mergeCell ref="B31:AI31"/>
    <mergeCell ref="B32:AI32"/>
    <mergeCell ref="B33:AI33"/>
    <mergeCell ref="B34:AI34"/>
    <mergeCell ref="B35:AI35"/>
    <mergeCell ref="B60:AI60"/>
    <mergeCell ref="E62:K62"/>
    <mergeCell ref="V62:AI62"/>
    <mergeCell ref="AU7:BC7"/>
    <mergeCell ref="AU5:BC6"/>
    <mergeCell ref="B54:AI54"/>
    <mergeCell ref="B55:AI55"/>
    <mergeCell ref="B56:AI56"/>
    <mergeCell ref="B57:AI57"/>
    <mergeCell ref="B58:AI58"/>
    <mergeCell ref="B59:AI59"/>
    <mergeCell ref="B48:AI48"/>
    <mergeCell ref="B49:AI49"/>
    <mergeCell ref="B50:AI50"/>
    <mergeCell ref="B51:AI51"/>
    <mergeCell ref="B52:AI52"/>
    <mergeCell ref="B53:AI53"/>
    <mergeCell ref="B42:AI42"/>
    <mergeCell ref="B43:AI43"/>
    <mergeCell ref="B44:AI44"/>
    <mergeCell ref="B45:AI45"/>
    <mergeCell ref="B46:AI46"/>
    <mergeCell ref="B47:AI47"/>
    <mergeCell ref="B36:AI36"/>
  </mergeCells>
  <conditionalFormatting sqref="V62:AI62">
    <cfRule type="containsBlanks" dxfId="290" priority="21">
      <formula>LEN(TRIM(V62))=0</formula>
    </cfRule>
  </conditionalFormatting>
  <conditionalFormatting sqref="F9:AG13">
    <cfRule type="containsBlanks" dxfId="289" priority="20">
      <formula>LEN(TRIM(F9))=0</formula>
    </cfRule>
  </conditionalFormatting>
  <conditionalFormatting sqref="D10:E13">
    <cfRule type="containsBlanks" dxfId="288" priority="19">
      <formula>LEN(TRIM(D10))=0</formula>
    </cfRule>
  </conditionalFormatting>
  <conditionalFormatting sqref="AH10:AI13 AE10:AF13 AB10:AC13 Y10:Z13 V10:W13 S10:T13 P10:Q13 M10:N13 J10:K13 G10:H13 D10:E13 AE17:AF20 AB17:AC20 Y17:Z20 V17:W20 S17:T20 P17:Q20 M17:N20 J17:K20 G17:H20 D17:E20">
    <cfRule type="expression" dxfId="287" priority="18">
      <formula>D$43&lt;&gt;""</formula>
    </cfRule>
  </conditionalFormatting>
  <conditionalFormatting sqref="D10:E13 G10:H13 J10:K13 M10:N13 P10:Q13 S10:T13 V10:W13 Y10:Z13 AB10:AC13 AE10:AF13 AH10:AI13">
    <cfRule type="notContainsBlanks" dxfId="286" priority="17">
      <formula>LEN(TRIM(D10))&gt;0</formula>
    </cfRule>
  </conditionalFormatting>
  <conditionalFormatting sqref="F9:F13 I9:I13 L9:L13 O9:O13 R9:R13 U9:U13 X9:X13 AA9:AA13 AD9:AD13 AG9:AG13">
    <cfRule type="notContainsBlanks" dxfId="285" priority="16">
      <formula>LEN(TRIM(F9))&gt;0</formula>
    </cfRule>
  </conditionalFormatting>
  <conditionalFormatting sqref="D9:E9">
    <cfRule type="containsBlanks" dxfId="284" priority="15">
      <formula>LEN(TRIM(D9))=0</formula>
    </cfRule>
  </conditionalFormatting>
  <conditionalFormatting sqref="D9:E9">
    <cfRule type="containsBlanks" dxfId="283" priority="14">
      <formula>LEN(TRIM(D9))=0</formula>
    </cfRule>
  </conditionalFormatting>
  <conditionalFormatting sqref="AH9:AI13">
    <cfRule type="containsBlanks" dxfId="282" priority="13">
      <formula>LEN(TRIM(AH9))=0</formula>
    </cfRule>
  </conditionalFormatting>
  <conditionalFormatting sqref="F16:AG20">
    <cfRule type="containsBlanks" dxfId="281" priority="12">
      <formula>LEN(TRIM(F16))=0</formula>
    </cfRule>
  </conditionalFormatting>
  <conditionalFormatting sqref="D17:E20">
    <cfRule type="containsBlanks" dxfId="280" priority="11">
      <formula>LEN(TRIM(D17))=0</formula>
    </cfRule>
  </conditionalFormatting>
  <conditionalFormatting sqref="AH17:AI20">
    <cfRule type="expression" dxfId="279" priority="10">
      <formula>AH$43&lt;&gt;""</formula>
    </cfRule>
  </conditionalFormatting>
  <conditionalFormatting sqref="D17:E20 G17:H20 J17:K20 M17:N20 P17:Q20 S17:T20 V17:W20 Y17:Z20 AB17:AC20 AE17:AF20 AH17:AI20">
    <cfRule type="notContainsBlanks" dxfId="278" priority="9">
      <formula>LEN(TRIM(D17))&gt;0</formula>
    </cfRule>
  </conditionalFormatting>
  <conditionalFormatting sqref="F16:F20 I16:I20 L16:L20 O16:O20 R16:R20 U16:U20 X16:X20 AA16:AA20 AD16:AD20 AG16:AG20">
    <cfRule type="notContainsBlanks" dxfId="277" priority="8">
      <formula>LEN(TRIM(F16))&gt;0</formula>
    </cfRule>
  </conditionalFormatting>
  <conditionalFormatting sqref="D16:E16">
    <cfRule type="containsBlanks" dxfId="276" priority="7">
      <formula>LEN(TRIM(D16))=0</formula>
    </cfRule>
  </conditionalFormatting>
  <conditionalFormatting sqref="D16:E16">
    <cfRule type="containsBlanks" dxfId="275" priority="6">
      <formula>LEN(TRIM(D16))=0</formula>
    </cfRule>
  </conditionalFormatting>
  <conditionalFormatting sqref="AH16:AI20">
    <cfRule type="containsBlanks" dxfId="274" priority="5">
      <formula>LEN(TRIM(AH16))=0</formula>
    </cfRule>
  </conditionalFormatting>
  <conditionalFormatting sqref="AM7:AS16">
    <cfRule type="notContainsBlanks" dxfId="273" priority="4">
      <formula>LEN(TRIM(AM7))&gt;0</formula>
    </cfRule>
  </conditionalFormatting>
  <conditionalFormatting sqref="AM19:AS28">
    <cfRule type="notContainsBlanks" dxfId="272" priority="3">
      <formula>LEN(TRIM(AM19))&gt;0</formula>
    </cfRule>
  </conditionalFormatting>
  <conditionalFormatting sqref="E62:K62">
    <cfRule type="containsBlanks" dxfId="271" priority="2">
      <formula>LEN(TRIM(E62))=0</formula>
    </cfRule>
  </conditionalFormatting>
  <conditionalFormatting sqref="A15:AI20">
    <cfRule type="expression" dxfId="270" priority="1">
      <formula>$AU$7="Single"</formula>
    </cfRule>
  </conditionalFormatting>
  <dataValidations count="18">
    <dataValidation allowBlank="1" showInputMessage="1" showErrorMessage="1" prompt="Note: Does not include completion of the &quot;STATIC PRESSURE PROFILE &quot;w.c. &quot; section or remarks." sqref="AP4:AS4 AT4:AT5" xr:uid="{35837707-E1FA-41E9-B9F7-DB5FA6850F43}"/>
    <dataValidation type="list" allowBlank="1" showInputMessage="1" showErrorMessage="1" sqref="AK4:AO4" xr:uid="{7947ECDE-1FBA-48FF-B434-2599D9003543}">
      <formula1>"Complete"</formula1>
    </dataValidation>
    <dataValidation type="list" allowBlank="1" showInputMessage="1" showErrorMessage="1" promptTitle="Phase Selection" prompt="Select Single or Three Phase" sqref="AT20:AU20" xr:uid="{853B4ADF-4A08-4EB9-9FA5-FE97EB2182C7}">
      <formula1>"Single Phase, Three Phase"</formula1>
    </dataValidation>
    <dataValidation type="list" allowBlank="1" showInputMessage="1" showErrorMessage="1" sqref="AH9:AI9 AH16:AI16" xr:uid="{CD6731C7-C992-4FF3-AB86-3ED38CCC3E26}">
      <formula1>"K"</formula1>
    </dataValidation>
    <dataValidation type="list" allowBlank="1" showInputMessage="1" showErrorMessage="1" sqref="D9:E9 D16:E16" xr:uid="{CC7B9023-A243-4BE5-9CF3-1C706F9D5B26}">
      <formula1>"A"</formula1>
    </dataValidation>
    <dataValidation type="list" allowBlank="1" showInputMessage="1" showErrorMessage="1" sqref="G9:H9 G16:H16" xr:uid="{55085C11-1120-4E54-B145-6587725BFEA5}">
      <formula1>"B"</formula1>
    </dataValidation>
    <dataValidation type="list" allowBlank="1" showInputMessage="1" showErrorMessage="1" sqref="J9:K9 J16:K16" xr:uid="{BE69F50C-8AB3-4C2A-ABED-6A79A31B7F8C}">
      <formula1>"C"</formula1>
    </dataValidation>
    <dataValidation type="list" allowBlank="1" showInputMessage="1" showErrorMessage="1" sqref="M9:N9 M16:N16" xr:uid="{44E49D91-8FDF-45E1-B749-CFE01189D386}">
      <formula1>"D"</formula1>
    </dataValidation>
    <dataValidation type="list" allowBlank="1" showInputMessage="1" showErrorMessage="1" sqref="P9:Q9 P16:Q16" xr:uid="{8B5F811A-379E-45A1-BD5E-143F9F551621}">
      <formula1>"E"</formula1>
    </dataValidation>
    <dataValidation type="list" allowBlank="1" showInputMessage="1" showErrorMessage="1" sqref="S9:T9 S16:T16" xr:uid="{1350FE7F-2785-4DA9-AC9F-8B3D09C24595}">
      <formula1>"F"</formula1>
    </dataValidation>
    <dataValidation type="list" allowBlank="1" showInputMessage="1" showErrorMessage="1" sqref="V9:W9 V16:W16" xr:uid="{86F232CA-E261-4081-89A6-F5BB0DC3DFEF}">
      <formula1>"G"</formula1>
    </dataValidation>
    <dataValidation type="list" allowBlank="1" showInputMessage="1" showErrorMessage="1" sqref="Y9:Z9 Y16:Z16" xr:uid="{99E737B6-3D36-420F-89C9-DD5935D64D62}">
      <formula1>"H"</formula1>
    </dataValidation>
    <dataValidation type="list" allowBlank="1" showInputMessage="1" showErrorMessage="1" sqref="AB9:AC9 AB16:AC16" xr:uid="{610311F0-A55C-4385-B7D3-12CA47A836E7}">
      <formula1>"I"</formula1>
    </dataValidation>
    <dataValidation type="list" allowBlank="1" showInputMessage="1" showErrorMessage="1" sqref="AE9:AF9 AE16:AF16" xr:uid="{8B13A01D-6FA6-4513-854C-BC90A9D9DE15}">
      <formula1>"J"</formula1>
    </dataValidation>
    <dataValidation allowBlank="1" showInputMessage="1" showErrorMessage="1" prompt="If PF is unattainable use .80" sqref="AT18:AU18" xr:uid="{4312939B-8164-4147-912E-523D1699507A}"/>
    <dataValidation allowBlank="1" showInputMessage="1" showErrorMessage="1" prompt="If EFF is unatainable use .90" sqref="AT16:AY16" xr:uid="{097B50CC-7E05-41CE-A0FC-459FCBC8881B}"/>
    <dataValidation type="list" allowBlank="1" showInputMessage="1" showErrorMessage="1" sqref="AM7:AS16 AM19:AS28" xr:uid="{5B26C448-FB59-49F0-8FFD-B8BF8A0153D8}">
      <formula1>"Air Blender,Cooling Coil,Desiccant Wheel,Elec. Heat,Exhaust Air Damper,Exhaust Fan,Final Filter,Gas Heating,Heat Recovery Core,Humidifier,HHW Coil,Outside Air Damper,Pre Filter,Relief Air Damper,Return Damper,Return Fan,Steam Coil,Supply Damper,Supply Fan"</formula1>
    </dataValidation>
    <dataValidation type="list" allowBlank="1" showInputMessage="1" showErrorMessage="1" sqref="AU7:BC7" xr:uid="{DF154D7B-ED95-4AA3-98E2-1DD579F40C8A}">
      <formula1>"Single,Dual"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86242-3456-4F5D-BF22-E818AD70B101}">
  <sheetPr codeName="Sheet3">
    <pageSetUpPr fitToPage="1"/>
  </sheetPr>
  <dimension ref="A1:BV62"/>
  <sheetViews>
    <sheetView topLeftCell="A35" zoomScaleNormal="100" workbookViewId="0">
      <selection activeCell="AE5" sqref="AE5"/>
    </sheetView>
  </sheetViews>
  <sheetFormatPr defaultColWidth="0" defaultRowHeight="11.45" customHeight="1" zeroHeight="1" x14ac:dyDescent="0.2"/>
  <cols>
    <col min="1" max="6" width="2.7109375" style="12" customWidth="1"/>
    <col min="7" max="7" width="0.85546875" style="12" customWidth="1"/>
    <col min="8" max="34" width="2.7109375" style="12" customWidth="1"/>
    <col min="35" max="35" width="4.28515625" style="12" customWidth="1"/>
    <col min="36" max="74" width="2.7109375" style="12" hidden="1" customWidth="1"/>
    <col min="75" max="16384" width="9.140625" style="12" hidden="1"/>
  </cols>
  <sheetData>
    <row r="1" spans="1:71" s="104" customFormat="1" ht="12" customHeight="1" x14ac:dyDescent="0.25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</row>
    <row r="2" spans="1:71" ht="12" x14ac:dyDescent="0.2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</row>
    <row r="3" spans="1:71" ht="12" x14ac:dyDescent="0.2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</row>
    <row r="4" spans="1:71" ht="9.75" customHeight="1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</row>
    <row r="5" spans="1:71" ht="8.1" customHeight="1" x14ac:dyDescent="0.2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N5" s="86"/>
      <c r="AO5" s="86"/>
      <c r="AP5" s="86"/>
    </row>
    <row r="6" spans="1:71" ht="15" customHeight="1" x14ac:dyDescent="0.2">
      <c r="A6" s="614"/>
      <c r="B6" s="615"/>
      <c r="C6" s="615"/>
      <c r="D6" s="615"/>
      <c r="E6" s="615"/>
      <c r="F6" s="615"/>
      <c r="G6" s="615"/>
      <c r="H6" s="615"/>
      <c r="I6" s="615"/>
      <c r="J6" s="615"/>
      <c r="K6" s="615"/>
      <c r="L6" s="615"/>
      <c r="M6" s="615"/>
      <c r="N6" s="615"/>
      <c r="O6" s="615"/>
      <c r="P6" s="615"/>
      <c r="Q6" s="615"/>
      <c r="R6" s="615"/>
      <c r="S6" s="615"/>
      <c r="T6" s="615"/>
      <c r="U6" s="615"/>
      <c r="V6" s="615"/>
      <c r="W6" s="615"/>
      <c r="X6" s="615"/>
      <c r="Y6" s="615"/>
      <c r="Z6" s="615"/>
      <c r="AA6" s="615"/>
      <c r="AB6" s="615"/>
      <c r="AC6" s="615"/>
      <c r="AD6" s="615"/>
      <c r="AE6" s="615"/>
      <c r="AF6" s="615"/>
      <c r="AG6" s="615"/>
      <c r="AH6" s="615"/>
      <c r="AI6" s="615"/>
      <c r="AN6" s="86"/>
      <c r="AO6" s="86"/>
      <c r="AP6" s="86"/>
    </row>
    <row r="7" spans="1:71" ht="13.5" customHeight="1" x14ac:dyDescent="0.2">
      <c r="A7" s="615"/>
      <c r="B7" s="615"/>
      <c r="C7" s="615"/>
      <c r="D7" s="615"/>
      <c r="E7" s="615"/>
      <c r="F7" s="615"/>
      <c r="G7" s="615"/>
      <c r="H7" s="615"/>
      <c r="I7" s="615"/>
      <c r="J7" s="615"/>
      <c r="K7" s="615"/>
      <c r="L7" s="615"/>
      <c r="M7" s="615"/>
      <c r="N7" s="615"/>
      <c r="O7" s="615"/>
      <c r="P7" s="615"/>
      <c r="Q7" s="615"/>
      <c r="R7" s="615"/>
      <c r="S7" s="615"/>
      <c r="T7" s="615"/>
      <c r="U7" s="615"/>
      <c r="V7" s="615"/>
      <c r="W7" s="615"/>
      <c r="X7" s="615"/>
      <c r="Y7" s="615"/>
      <c r="Z7" s="615"/>
      <c r="AA7" s="615"/>
      <c r="AB7" s="615"/>
      <c r="AC7" s="615"/>
      <c r="AD7" s="615"/>
      <c r="AE7" s="615"/>
      <c r="AF7" s="615"/>
      <c r="AG7" s="615"/>
      <c r="AH7" s="615"/>
      <c r="AI7" s="615"/>
      <c r="AN7" s="86"/>
      <c r="AO7" s="86"/>
      <c r="AP7" s="86"/>
    </row>
    <row r="8" spans="1:71" ht="12" customHeight="1" x14ac:dyDescent="0.2">
      <c r="A8" s="615"/>
      <c r="B8" s="615"/>
      <c r="C8" s="615"/>
      <c r="D8" s="615"/>
      <c r="E8" s="615"/>
      <c r="F8" s="615"/>
      <c r="G8" s="615"/>
      <c r="H8" s="615"/>
      <c r="I8" s="615"/>
      <c r="J8" s="615"/>
      <c r="K8" s="615"/>
      <c r="L8" s="615"/>
      <c r="M8" s="615"/>
      <c r="N8" s="615"/>
      <c r="O8" s="615"/>
      <c r="P8" s="615"/>
      <c r="Q8" s="615"/>
      <c r="R8" s="615"/>
      <c r="S8" s="615"/>
      <c r="T8" s="615"/>
      <c r="U8" s="615"/>
      <c r="V8" s="615"/>
      <c r="W8" s="615"/>
      <c r="X8" s="615"/>
      <c r="Y8" s="615"/>
      <c r="Z8" s="615"/>
      <c r="AA8" s="615"/>
      <c r="AB8" s="615"/>
      <c r="AC8" s="615"/>
      <c r="AD8" s="615"/>
      <c r="AE8" s="615"/>
      <c r="AF8" s="615"/>
      <c r="AG8" s="615"/>
      <c r="AH8" s="615"/>
      <c r="AI8" s="615"/>
      <c r="AN8" s="86"/>
      <c r="AO8" s="86"/>
      <c r="AP8" s="86"/>
      <c r="AQ8" s="87"/>
      <c r="AR8" s="87"/>
      <c r="AS8" s="87"/>
    </row>
    <row r="9" spans="1:71" ht="12" customHeight="1" x14ac:dyDescent="0.2">
      <c r="A9" s="615"/>
      <c r="B9" s="615"/>
      <c r="C9" s="615"/>
      <c r="D9" s="615"/>
      <c r="E9" s="615"/>
      <c r="F9" s="615"/>
      <c r="G9" s="615"/>
      <c r="H9" s="615"/>
      <c r="I9" s="615"/>
      <c r="J9" s="615"/>
      <c r="K9" s="615"/>
      <c r="L9" s="615"/>
      <c r="M9" s="615"/>
      <c r="N9" s="615"/>
      <c r="O9" s="615"/>
      <c r="P9" s="615"/>
      <c r="Q9" s="615"/>
      <c r="R9" s="615"/>
      <c r="S9" s="615"/>
      <c r="T9" s="615"/>
      <c r="U9" s="615"/>
      <c r="V9" s="615"/>
      <c r="W9" s="615"/>
      <c r="X9" s="615"/>
      <c r="Y9" s="615"/>
      <c r="Z9" s="615"/>
      <c r="AA9" s="615"/>
      <c r="AB9" s="615"/>
      <c r="AC9" s="615"/>
      <c r="AD9" s="615"/>
      <c r="AE9" s="615"/>
      <c r="AF9" s="615"/>
      <c r="AG9" s="615"/>
      <c r="AH9" s="615"/>
      <c r="AI9" s="615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</row>
    <row r="10" spans="1:71" ht="12" customHeight="1" x14ac:dyDescent="0.2">
      <c r="A10" s="615"/>
      <c r="B10" s="615"/>
      <c r="C10" s="615"/>
      <c r="D10" s="615"/>
      <c r="E10" s="615"/>
      <c r="F10" s="615"/>
      <c r="G10" s="615"/>
      <c r="H10" s="615"/>
      <c r="I10" s="615"/>
      <c r="J10" s="615"/>
      <c r="K10" s="615"/>
      <c r="L10" s="615"/>
      <c r="M10" s="615"/>
      <c r="N10" s="615"/>
      <c r="O10" s="615"/>
      <c r="P10" s="615"/>
      <c r="Q10" s="615"/>
      <c r="R10" s="615"/>
      <c r="S10" s="615"/>
      <c r="T10" s="615"/>
      <c r="U10" s="615"/>
      <c r="V10" s="615"/>
      <c r="W10" s="615"/>
      <c r="X10" s="615"/>
      <c r="Y10" s="615"/>
      <c r="Z10" s="615"/>
      <c r="AA10" s="615"/>
      <c r="AB10" s="615"/>
      <c r="AC10" s="615"/>
      <c r="AD10" s="615"/>
      <c r="AE10" s="615"/>
      <c r="AF10" s="615"/>
      <c r="AG10" s="615"/>
      <c r="AH10" s="615"/>
      <c r="AI10" s="615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</row>
    <row r="11" spans="1:71" ht="14.25" customHeight="1" x14ac:dyDescent="0.2">
      <c r="A11" s="615"/>
      <c r="B11" s="615"/>
      <c r="C11" s="615"/>
      <c r="D11" s="615"/>
      <c r="E11" s="615"/>
      <c r="F11" s="615"/>
      <c r="G11" s="615"/>
      <c r="H11" s="615"/>
      <c r="I11" s="615"/>
      <c r="J11" s="615"/>
      <c r="K11" s="615"/>
      <c r="L11" s="615"/>
      <c r="M11" s="615"/>
      <c r="N11" s="615"/>
      <c r="O11" s="615"/>
      <c r="P11" s="615"/>
      <c r="Q11" s="615"/>
      <c r="R11" s="615"/>
      <c r="S11" s="615"/>
      <c r="T11" s="615"/>
      <c r="U11" s="615"/>
      <c r="V11" s="615"/>
      <c r="W11" s="615"/>
      <c r="X11" s="615"/>
      <c r="Y11" s="615"/>
      <c r="Z11" s="615"/>
      <c r="AA11" s="615"/>
      <c r="AB11" s="615"/>
      <c r="AC11" s="615"/>
      <c r="AD11" s="615"/>
      <c r="AE11" s="615"/>
      <c r="AF11" s="615"/>
      <c r="AG11" s="615"/>
      <c r="AH11" s="615"/>
      <c r="AI11" s="615"/>
    </row>
    <row r="12" spans="1:71" ht="12.75" customHeight="1" x14ac:dyDescent="0.2">
      <c r="A12" s="615"/>
      <c r="B12" s="615"/>
      <c r="C12" s="615"/>
      <c r="D12" s="615"/>
      <c r="E12" s="615"/>
      <c r="F12" s="615"/>
      <c r="G12" s="615"/>
      <c r="H12" s="615"/>
      <c r="I12" s="615"/>
      <c r="J12" s="615"/>
      <c r="K12" s="615"/>
      <c r="L12" s="615"/>
      <c r="M12" s="615"/>
      <c r="N12" s="615"/>
      <c r="O12" s="615"/>
      <c r="P12" s="615"/>
      <c r="Q12" s="615"/>
      <c r="R12" s="615"/>
      <c r="S12" s="615"/>
      <c r="T12" s="615"/>
      <c r="U12" s="615"/>
      <c r="V12" s="615"/>
      <c r="W12" s="615"/>
      <c r="X12" s="615"/>
      <c r="Y12" s="615"/>
      <c r="Z12" s="615"/>
      <c r="AA12" s="615"/>
      <c r="AB12" s="615"/>
      <c r="AC12" s="615"/>
      <c r="AD12" s="615"/>
      <c r="AE12" s="615"/>
      <c r="AF12" s="615"/>
      <c r="AG12" s="615"/>
      <c r="AH12" s="615"/>
      <c r="AI12" s="615"/>
    </row>
    <row r="13" spans="1:71" ht="12.75" customHeight="1" x14ac:dyDescent="0.2">
      <c r="A13" s="615"/>
      <c r="B13" s="615"/>
      <c r="C13" s="615"/>
      <c r="D13" s="615"/>
      <c r="E13" s="615"/>
      <c r="F13" s="615"/>
      <c r="G13" s="615"/>
      <c r="H13" s="615"/>
      <c r="I13" s="615"/>
      <c r="J13" s="615"/>
      <c r="K13" s="615"/>
      <c r="L13" s="615"/>
      <c r="M13" s="615"/>
      <c r="N13" s="615"/>
      <c r="O13" s="615"/>
      <c r="P13" s="615"/>
      <c r="Q13" s="615"/>
      <c r="R13" s="615"/>
      <c r="S13" s="615"/>
      <c r="T13" s="615"/>
      <c r="U13" s="615"/>
      <c r="V13" s="615"/>
      <c r="W13" s="615"/>
      <c r="X13" s="615"/>
      <c r="Y13" s="615"/>
      <c r="Z13" s="615"/>
      <c r="AA13" s="615"/>
      <c r="AB13" s="615"/>
      <c r="AC13" s="615"/>
      <c r="AD13" s="615"/>
      <c r="AE13" s="615"/>
      <c r="AF13" s="615"/>
      <c r="AG13" s="615"/>
      <c r="AH13" s="615"/>
      <c r="AI13" s="615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</row>
    <row r="14" spans="1:71" ht="12.75" customHeight="1" x14ac:dyDescent="0.2">
      <c r="A14" s="615"/>
      <c r="B14" s="615"/>
      <c r="C14" s="615"/>
      <c r="D14" s="615"/>
      <c r="E14" s="615"/>
      <c r="F14" s="615"/>
      <c r="G14" s="615"/>
      <c r="H14" s="615"/>
      <c r="I14" s="615"/>
      <c r="J14" s="615"/>
      <c r="K14" s="615"/>
      <c r="L14" s="615"/>
      <c r="M14" s="615"/>
      <c r="N14" s="615"/>
      <c r="O14" s="615"/>
      <c r="P14" s="615"/>
      <c r="Q14" s="615"/>
      <c r="R14" s="615"/>
      <c r="S14" s="615"/>
      <c r="T14" s="615"/>
      <c r="U14" s="615"/>
      <c r="V14" s="615"/>
      <c r="W14" s="615"/>
      <c r="X14" s="615"/>
      <c r="Y14" s="615"/>
      <c r="Z14" s="615"/>
      <c r="AA14" s="615"/>
      <c r="AB14" s="615"/>
      <c r="AC14" s="615"/>
      <c r="AD14" s="615"/>
      <c r="AE14" s="615"/>
      <c r="AF14" s="615"/>
      <c r="AG14" s="615"/>
      <c r="AH14" s="615"/>
      <c r="AI14" s="615"/>
      <c r="AT14" s="89"/>
      <c r="AU14" s="89"/>
      <c r="AV14" s="89"/>
      <c r="AW14" s="89"/>
    </row>
    <row r="15" spans="1:71" ht="12" customHeight="1" x14ac:dyDescent="0.2">
      <c r="A15" s="615"/>
      <c r="B15" s="615"/>
      <c r="C15" s="615"/>
      <c r="D15" s="615"/>
      <c r="E15" s="615"/>
      <c r="F15" s="615"/>
      <c r="G15" s="615"/>
      <c r="H15" s="615"/>
      <c r="I15" s="615"/>
      <c r="J15" s="615"/>
      <c r="K15" s="615"/>
      <c r="L15" s="615"/>
      <c r="M15" s="615"/>
      <c r="N15" s="615"/>
      <c r="O15" s="615"/>
      <c r="P15" s="615"/>
      <c r="Q15" s="615"/>
      <c r="R15" s="615"/>
      <c r="S15" s="615"/>
      <c r="T15" s="615"/>
      <c r="U15" s="615"/>
      <c r="V15" s="615"/>
      <c r="W15" s="615"/>
      <c r="X15" s="615"/>
      <c r="Y15" s="615"/>
      <c r="Z15" s="615"/>
      <c r="AA15" s="615"/>
      <c r="AB15" s="615"/>
      <c r="AC15" s="615"/>
      <c r="AD15" s="615"/>
      <c r="AE15" s="615"/>
      <c r="AF15" s="615"/>
      <c r="AG15" s="615"/>
      <c r="AH15" s="615"/>
      <c r="AI15" s="615"/>
      <c r="AT15" s="90"/>
      <c r="AU15" s="90"/>
      <c r="AV15" s="90"/>
      <c r="AW15" s="90"/>
    </row>
    <row r="16" spans="1:71" ht="12.75" customHeight="1" x14ac:dyDescent="0.2">
      <c r="A16" s="615"/>
      <c r="B16" s="615"/>
      <c r="C16" s="615"/>
      <c r="D16" s="615"/>
      <c r="E16" s="615"/>
      <c r="F16" s="615"/>
      <c r="G16" s="615"/>
      <c r="H16" s="615"/>
      <c r="I16" s="615"/>
      <c r="J16" s="615"/>
      <c r="K16" s="615"/>
      <c r="L16" s="615"/>
      <c r="M16" s="615"/>
      <c r="N16" s="615"/>
      <c r="O16" s="615"/>
      <c r="P16" s="615"/>
      <c r="Q16" s="615"/>
      <c r="R16" s="615"/>
      <c r="S16" s="615"/>
      <c r="T16" s="615"/>
      <c r="U16" s="615"/>
      <c r="V16" s="615"/>
      <c r="W16" s="615"/>
      <c r="X16" s="615"/>
      <c r="Y16" s="615"/>
      <c r="Z16" s="615"/>
      <c r="AA16" s="615"/>
      <c r="AB16" s="615"/>
      <c r="AC16" s="615"/>
      <c r="AD16" s="615"/>
      <c r="AE16" s="615"/>
      <c r="AF16" s="615"/>
      <c r="AG16" s="615"/>
      <c r="AH16" s="615"/>
      <c r="AI16" s="615"/>
      <c r="AT16" s="87"/>
      <c r="AU16" s="87"/>
      <c r="AV16" s="87"/>
      <c r="AW16" s="87"/>
    </row>
    <row r="17" spans="1:35" ht="12" customHeight="1" x14ac:dyDescent="0.2">
      <c r="A17" s="615"/>
      <c r="B17" s="615"/>
      <c r="C17" s="615"/>
      <c r="D17" s="615"/>
      <c r="E17" s="615"/>
      <c r="F17" s="615"/>
      <c r="G17" s="615"/>
      <c r="H17" s="615"/>
      <c r="I17" s="615"/>
      <c r="J17" s="615"/>
      <c r="K17" s="615"/>
      <c r="L17" s="615"/>
      <c r="M17" s="615"/>
      <c r="N17" s="615"/>
      <c r="O17" s="615"/>
      <c r="P17" s="615"/>
      <c r="Q17" s="615"/>
      <c r="R17" s="615"/>
      <c r="S17" s="615"/>
      <c r="T17" s="615"/>
      <c r="U17" s="615"/>
      <c r="V17" s="615"/>
      <c r="W17" s="615"/>
      <c r="X17" s="615"/>
      <c r="Y17" s="615"/>
      <c r="Z17" s="615"/>
      <c r="AA17" s="615"/>
      <c r="AB17" s="615"/>
      <c r="AC17" s="615"/>
      <c r="AD17" s="615"/>
      <c r="AE17" s="615"/>
      <c r="AF17" s="615"/>
      <c r="AG17" s="615"/>
      <c r="AH17" s="615"/>
      <c r="AI17" s="615"/>
    </row>
    <row r="18" spans="1:35" ht="12" customHeight="1" x14ac:dyDescent="0.2">
      <c r="A18" s="615"/>
      <c r="B18" s="615"/>
      <c r="C18" s="615"/>
      <c r="D18" s="615"/>
      <c r="E18" s="615"/>
      <c r="F18" s="615"/>
      <c r="G18" s="615"/>
      <c r="H18" s="615"/>
      <c r="I18" s="615"/>
      <c r="J18" s="615"/>
      <c r="K18" s="615"/>
      <c r="L18" s="615"/>
      <c r="M18" s="615"/>
      <c r="N18" s="615"/>
      <c r="O18" s="615"/>
      <c r="P18" s="615"/>
      <c r="Q18" s="615"/>
      <c r="R18" s="615"/>
      <c r="S18" s="615"/>
      <c r="T18" s="615"/>
      <c r="U18" s="615"/>
      <c r="V18" s="615"/>
      <c r="W18" s="615"/>
      <c r="X18" s="615"/>
      <c r="Y18" s="615"/>
      <c r="Z18" s="615"/>
      <c r="AA18" s="615"/>
      <c r="AB18" s="615"/>
      <c r="AC18" s="615"/>
      <c r="AD18" s="615"/>
      <c r="AE18" s="615"/>
      <c r="AF18" s="615"/>
      <c r="AG18" s="615"/>
      <c r="AH18" s="615"/>
      <c r="AI18" s="615"/>
    </row>
    <row r="19" spans="1:35" ht="12" customHeight="1" x14ac:dyDescent="0.2">
      <c r="A19" s="615"/>
      <c r="B19" s="615"/>
      <c r="C19" s="615"/>
      <c r="D19" s="615"/>
      <c r="E19" s="615"/>
      <c r="F19" s="615"/>
      <c r="G19" s="615"/>
      <c r="H19" s="615"/>
      <c r="I19" s="615"/>
      <c r="J19" s="615"/>
      <c r="K19" s="615"/>
      <c r="L19" s="615"/>
      <c r="M19" s="615"/>
      <c r="N19" s="615"/>
      <c r="O19" s="615"/>
      <c r="P19" s="615"/>
      <c r="Q19" s="615"/>
      <c r="R19" s="615"/>
      <c r="S19" s="615"/>
      <c r="T19" s="615"/>
      <c r="U19" s="615"/>
      <c r="V19" s="615"/>
      <c r="W19" s="615"/>
      <c r="X19" s="615"/>
      <c r="Y19" s="615"/>
      <c r="Z19" s="615"/>
      <c r="AA19" s="615"/>
      <c r="AB19" s="615"/>
      <c r="AC19" s="615"/>
      <c r="AD19" s="615"/>
      <c r="AE19" s="615"/>
      <c r="AF19" s="615"/>
      <c r="AG19" s="615"/>
      <c r="AH19" s="615"/>
      <c r="AI19" s="615"/>
    </row>
    <row r="20" spans="1:35" ht="12" customHeight="1" x14ac:dyDescent="0.2">
      <c r="A20" s="615"/>
      <c r="B20" s="615"/>
      <c r="C20" s="615"/>
      <c r="D20" s="615"/>
      <c r="E20" s="615"/>
      <c r="F20" s="615"/>
      <c r="G20" s="615"/>
      <c r="H20" s="615"/>
      <c r="I20" s="615"/>
      <c r="J20" s="615"/>
      <c r="K20" s="615"/>
      <c r="L20" s="615"/>
      <c r="M20" s="615"/>
      <c r="N20" s="615"/>
      <c r="O20" s="615"/>
      <c r="P20" s="615"/>
      <c r="Q20" s="615"/>
      <c r="R20" s="615"/>
      <c r="S20" s="615"/>
      <c r="T20" s="615"/>
      <c r="U20" s="615"/>
      <c r="V20" s="615"/>
      <c r="W20" s="615"/>
      <c r="X20" s="615"/>
      <c r="Y20" s="615"/>
      <c r="Z20" s="615"/>
      <c r="AA20" s="615"/>
      <c r="AB20" s="615"/>
      <c r="AC20" s="615"/>
      <c r="AD20" s="615"/>
      <c r="AE20" s="615"/>
      <c r="AF20" s="615"/>
      <c r="AG20" s="615"/>
      <c r="AH20" s="615"/>
      <c r="AI20" s="615"/>
    </row>
    <row r="21" spans="1:35" ht="12" customHeight="1" x14ac:dyDescent="0.2">
      <c r="A21" s="615"/>
      <c r="B21" s="615"/>
      <c r="C21" s="615"/>
      <c r="D21" s="615"/>
      <c r="E21" s="615"/>
      <c r="F21" s="615"/>
      <c r="G21" s="615"/>
      <c r="H21" s="615"/>
      <c r="I21" s="615"/>
      <c r="J21" s="615"/>
      <c r="K21" s="615"/>
      <c r="L21" s="615"/>
      <c r="M21" s="615"/>
      <c r="N21" s="615"/>
      <c r="O21" s="615"/>
      <c r="P21" s="615"/>
      <c r="Q21" s="615"/>
      <c r="R21" s="615"/>
      <c r="S21" s="615"/>
      <c r="T21" s="615"/>
      <c r="U21" s="615"/>
      <c r="V21" s="615"/>
      <c r="W21" s="615"/>
      <c r="X21" s="615"/>
      <c r="Y21" s="615"/>
      <c r="Z21" s="615"/>
      <c r="AA21" s="615"/>
      <c r="AB21" s="615"/>
      <c r="AC21" s="615"/>
      <c r="AD21" s="615"/>
      <c r="AE21" s="615"/>
      <c r="AF21" s="615"/>
      <c r="AG21" s="615"/>
      <c r="AH21" s="615"/>
      <c r="AI21" s="615"/>
    </row>
    <row r="22" spans="1:35" ht="12" customHeight="1" x14ac:dyDescent="0.2">
      <c r="A22" s="615"/>
      <c r="B22" s="615"/>
      <c r="C22" s="615"/>
      <c r="D22" s="615"/>
      <c r="E22" s="615"/>
      <c r="F22" s="615"/>
      <c r="G22" s="615"/>
      <c r="H22" s="615"/>
      <c r="I22" s="615"/>
      <c r="J22" s="615"/>
      <c r="K22" s="615"/>
      <c r="L22" s="615"/>
      <c r="M22" s="615"/>
      <c r="N22" s="615"/>
      <c r="O22" s="615"/>
      <c r="P22" s="615"/>
      <c r="Q22" s="615"/>
      <c r="R22" s="615"/>
      <c r="S22" s="615"/>
      <c r="T22" s="615"/>
      <c r="U22" s="615"/>
      <c r="V22" s="615"/>
      <c r="W22" s="615"/>
      <c r="X22" s="615"/>
      <c r="Y22" s="615"/>
      <c r="Z22" s="615"/>
      <c r="AA22" s="615"/>
      <c r="AB22" s="615"/>
      <c r="AC22" s="615"/>
      <c r="AD22" s="615"/>
      <c r="AE22" s="615"/>
      <c r="AF22" s="615"/>
      <c r="AG22" s="615"/>
      <c r="AH22" s="615"/>
      <c r="AI22" s="615"/>
    </row>
    <row r="23" spans="1:35" ht="12" customHeight="1" x14ac:dyDescent="0.2">
      <c r="A23" s="615"/>
      <c r="B23" s="615"/>
      <c r="C23" s="615"/>
      <c r="D23" s="615"/>
      <c r="E23" s="615"/>
      <c r="F23" s="615"/>
      <c r="G23" s="615"/>
      <c r="H23" s="615"/>
      <c r="I23" s="615"/>
      <c r="J23" s="615"/>
      <c r="K23" s="615"/>
      <c r="L23" s="615"/>
      <c r="M23" s="615"/>
      <c r="N23" s="615"/>
      <c r="O23" s="615"/>
      <c r="P23" s="615"/>
      <c r="Q23" s="615"/>
      <c r="R23" s="615"/>
      <c r="S23" s="615"/>
      <c r="T23" s="615"/>
      <c r="U23" s="615"/>
      <c r="V23" s="615"/>
      <c r="W23" s="615"/>
      <c r="X23" s="615"/>
      <c r="Y23" s="615"/>
      <c r="Z23" s="615"/>
      <c r="AA23" s="615"/>
      <c r="AB23" s="615"/>
      <c r="AC23" s="615"/>
      <c r="AD23" s="615"/>
      <c r="AE23" s="615"/>
      <c r="AF23" s="615"/>
      <c r="AG23" s="615"/>
      <c r="AH23" s="615"/>
      <c r="AI23" s="615"/>
    </row>
    <row r="24" spans="1:35" ht="12" customHeight="1" x14ac:dyDescent="0.2">
      <c r="A24" s="615"/>
      <c r="B24" s="615"/>
      <c r="C24" s="615"/>
      <c r="D24" s="615"/>
      <c r="E24" s="615"/>
      <c r="F24" s="615"/>
      <c r="G24" s="615"/>
      <c r="H24" s="615"/>
      <c r="I24" s="615"/>
      <c r="J24" s="615"/>
      <c r="K24" s="615"/>
      <c r="L24" s="615"/>
      <c r="M24" s="615"/>
      <c r="N24" s="615"/>
      <c r="O24" s="615"/>
      <c r="P24" s="615"/>
      <c r="Q24" s="615"/>
      <c r="R24" s="615"/>
      <c r="S24" s="615"/>
      <c r="T24" s="615"/>
      <c r="U24" s="615"/>
      <c r="V24" s="615"/>
      <c r="W24" s="615"/>
      <c r="X24" s="615"/>
      <c r="Y24" s="615"/>
      <c r="Z24" s="615"/>
      <c r="AA24" s="615"/>
      <c r="AB24" s="615"/>
      <c r="AC24" s="615"/>
      <c r="AD24" s="615"/>
      <c r="AE24" s="615"/>
      <c r="AF24" s="615"/>
      <c r="AG24" s="615"/>
      <c r="AH24" s="615"/>
      <c r="AI24" s="615"/>
    </row>
    <row r="25" spans="1:35" ht="12" customHeight="1" x14ac:dyDescent="0.2">
      <c r="A25" s="615"/>
      <c r="B25" s="615"/>
      <c r="C25" s="615"/>
      <c r="D25" s="615"/>
      <c r="E25" s="615"/>
      <c r="F25" s="615"/>
      <c r="G25" s="615"/>
      <c r="H25" s="615"/>
      <c r="I25" s="615"/>
      <c r="J25" s="615"/>
      <c r="K25" s="615"/>
      <c r="L25" s="615"/>
      <c r="M25" s="615"/>
      <c r="N25" s="615"/>
      <c r="O25" s="615"/>
      <c r="P25" s="615"/>
      <c r="Q25" s="615"/>
      <c r="R25" s="615"/>
      <c r="S25" s="615"/>
      <c r="T25" s="615"/>
      <c r="U25" s="615"/>
      <c r="V25" s="615"/>
      <c r="W25" s="615"/>
      <c r="X25" s="615"/>
      <c r="Y25" s="615"/>
      <c r="Z25" s="615"/>
      <c r="AA25" s="615"/>
      <c r="AB25" s="615"/>
      <c r="AC25" s="615"/>
      <c r="AD25" s="615"/>
      <c r="AE25" s="615"/>
      <c r="AF25" s="615"/>
      <c r="AG25" s="615"/>
      <c r="AH25" s="615"/>
      <c r="AI25" s="615"/>
    </row>
    <row r="26" spans="1:35" ht="12" customHeight="1" x14ac:dyDescent="0.2">
      <c r="A26" s="615"/>
      <c r="B26" s="615"/>
      <c r="C26" s="615"/>
      <c r="D26" s="615"/>
      <c r="E26" s="615"/>
      <c r="F26" s="615"/>
      <c r="G26" s="615"/>
      <c r="H26" s="615"/>
      <c r="I26" s="615"/>
      <c r="J26" s="615"/>
      <c r="K26" s="615"/>
      <c r="L26" s="615"/>
      <c r="M26" s="615"/>
      <c r="N26" s="615"/>
      <c r="O26" s="615"/>
      <c r="P26" s="615"/>
      <c r="Q26" s="615"/>
      <c r="R26" s="615"/>
      <c r="S26" s="615"/>
      <c r="T26" s="615"/>
      <c r="U26" s="615"/>
      <c r="V26" s="615"/>
      <c r="W26" s="615"/>
      <c r="X26" s="615"/>
      <c r="Y26" s="615"/>
      <c r="Z26" s="615"/>
      <c r="AA26" s="615"/>
      <c r="AB26" s="615"/>
      <c r="AC26" s="615"/>
      <c r="AD26" s="615"/>
      <c r="AE26" s="615"/>
      <c r="AF26" s="615"/>
      <c r="AG26" s="615"/>
      <c r="AH26" s="615"/>
      <c r="AI26" s="615"/>
    </row>
    <row r="27" spans="1:35" ht="12" customHeight="1" x14ac:dyDescent="0.2">
      <c r="A27" s="615"/>
      <c r="B27" s="615"/>
      <c r="C27" s="615"/>
      <c r="D27" s="615"/>
      <c r="E27" s="615"/>
      <c r="F27" s="615"/>
      <c r="G27" s="615"/>
      <c r="H27" s="615"/>
      <c r="I27" s="615"/>
      <c r="J27" s="615"/>
      <c r="K27" s="615"/>
      <c r="L27" s="615"/>
      <c r="M27" s="615"/>
      <c r="N27" s="615"/>
      <c r="O27" s="615"/>
      <c r="P27" s="615"/>
      <c r="Q27" s="615"/>
      <c r="R27" s="615"/>
      <c r="S27" s="615"/>
      <c r="T27" s="615"/>
      <c r="U27" s="615"/>
      <c r="V27" s="615"/>
      <c r="W27" s="615"/>
      <c r="X27" s="615"/>
      <c r="Y27" s="615"/>
      <c r="Z27" s="615"/>
      <c r="AA27" s="615"/>
      <c r="AB27" s="615"/>
      <c r="AC27" s="615"/>
      <c r="AD27" s="615"/>
      <c r="AE27" s="615"/>
      <c r="AF27" s="615"/>
      <c r="AG27" s="615"/>
      <c r="AH27" s="615"/>
      <c r="AI27" s="615"/>
    </row>
    <row r="28" spans="1:35" ht="12" customHeight="1" x14ac:dyDescent="0.2">
      <c r="A28" s="615"/>
      <c r="B28" s="615"/>
      <c r="C28" s="615"/>
      <c r="D28" s="615"/>
      <c r="E28" s="615"/>
      <c r="F28" s="615"/>
      <c r="G28" s="615"/>
      <c r="H28" s="615"/>
      <c r="I28" s="615"/>
      <c r="J28" s="615"/>
      <c r="K28" s="615"/>
      <c r="L28" s="615"/>
      <c r="M28" s="615"/>
      <c r="N28" s="615"/>
      <c r="O28" s="615"/>
      <c r="P28" s="615"/>
      <c r="Q28" s="615"/>
      <c r="R28" s="615"/>
      <c r="S28" s="615"/>
      <c r="T28" s="615"/>
      <c r="U28" s="615"/>
      <c r="V28" s="615"/>
      <c r="W28" s="615"/>
      <c r="X28" s="615"/>
      <c r="Y28" s="615"/>
      <c r="Z28" s="615"/>
      <c r="AA28" s="615"/>
      <c r="AB28" s="615"/>
      <c r="AC28" s="615"/>
      <c r="AD28" s="615"/>
      <c r="AE28" s="615"/>
      <c r="AF28" s="615"/>
      <c r="AG28" s="615"/>
      <c r="AH28" s="615"/>
      <c r="AI28" s="615"/>
    </row>
    <row r="29" spans="1:35" ht="12" customHeight="1" x14ac:dyDescent="0.2">
      <c r="A29" s="615"/>
      <c r="B29" s="615"/>
      <c r="C29" s="615"/>
      <c r="D29" s="615"/>
      <c r="E29" s="615"/>
      <c r="F29" s="615"/>
      <c r="G29" s="615"/>
      <c r="H29" s="615"/>
      <c r="I29" s="615"/>
      <c r="J29" s="615"/>
      <c r="K29" s="615"/>
      <c r="L29" s="615"/>
      <c r="M29" s="615"/>
      <c r="N29" s="615"/>
      <c r="O29" s="615"/>
      <c r="P29" s="615"/>
      <c r="Q29" s="615"/>
      <c r="R29" s="615"/>
      <c r="S29" s="615"/>
      <c r="T29" s="615"/>
      <c r="U29" s="615"/>
      <c r="V29" s="615"/>
      <c r="W29" s="615"/>
      <c r="X29" s="615"/>
      <c r="Y29" s="615"/>
      <c r="Z29" s="615"/>
      <c r="AA29" s="615"/>
      <c r="AB29" s="615"/>
      <c r="AC29" s="615"/>
      <c r="AD29" s="615"/>
      <c r="AE29" s="615"/>
      <c r="AF29" s="615"/>
      <c r="AG29" s="615"/>
      <c r="AH29" s="615"/>
      <c r="AI29" s="615"/>
    </row>
    <row r="30" spans="1:35" ht="12" customHeight="1" x14ac:dyDescent="0.2">
      <c r="A30" s="615"/>
      <c r="B30" s="615"/>
      <c r="C30" s="615"/>
      <c r="D30" s="615"/>
      <c r="E30" s="615"/>
      <c r="F30" s="615"/>
      <c r="G30" s="615"/>
      <c r="H30" s="615"/>
      <c r="I30" s="615"/>
      <c r="J30" s="615"/>
      <c r="K30" s="615"/>
      <c r="L30" s="615"/>
      <c r="M30" s="615"/>
      <c r="N30" s="615"/>
      <c r="O30" s="615"/>
      <c r="P30" s="615"/>
      <c r="Q30" s="615"/>
      <c r="R30" s="615"/>
      <c r="S30" s="615"/>
      <c r="T30" s="615"/>
      <c r="U30" s="615"/>
      <c r="V30" s="615"/>
      <c r="W30" s="615"/>
      <c r="X30" s="615"/>
      <c r="Y30" s="615"/>
      <c r="Z30" s="615"/>
      <c r="AA30" s="615"/>
      <c r="AB30" s="615"/>
      <c r="AC30" s="615"/>
      <c r="AD30" s="615"/>
      <c r="AE30" s="615"/>
      <c r="AF30" s="615"/>
      <c r="AG30" s="615"/>
      <c r="AH30" s="615"/>
      <c r="AI30" s="615"/>
    </row>
    <row r="31" spans="1:35" ht="12" customHeight="1" x14ac:dyDescent="0.2">
      <c r="A31" s="615"/>
      <c r="B31" s="615"/>
      <c r="C31" s="615"/>
      <c r="D31" s="615"/>
      <c r="E31" s="615"/>
      <c r="F31" s="615"/>
      <c r="G31" s="615"/>
      <c r="H31" s="615"/>
      <c r="I31" s="615"/>
      <c r="J31" s="615"/>
      <c r="K31" s="615"/>
      <c r="L31" s="615"/>
      <c r="M31" s="615"/>
      <c r="N31" s="615"/>
      <c r="O31" s="615"/>
      <c r="P31" s="615"/>
      <c r="Q31" s="615"/>
      <c r="R31" s="615"/>
      <c r="S31" s="615"/>
      <c r="T31" s="615"/>
      <c r="U31" s="615"/>
      <c r="V31" s="615"/>
      <c r="W31" s="615"/>
      <c r="X31" s="615"/>
      <c r="Y31" s="615"/>
      <c r="Z31" s="615"/>
      <c r="AA31" s="615"/>
      <c r="AB31" s="615"/>
      <c r="AC31" s="615"/>
      <c r="AD31" s="615"/>
      <c r="AE31" s="615"/>
      <c r="AF31" s="615"/>
      <c r="AG31" s="615"/>
      <c r="AH31" s="615"/>
      <c r="AI31" s="615"/>
    </row>
    <row r="32" spans="1:35" ht="12" customHeight="1" x14ac:dyDescent="0.2">
      <c r="A32" s="615"/>
      <c r="B32" s="615"/>
      <c r="C32" s="615"/>
      <c r="D32" s="615"/>
      <c r="E32" s="615"/>
      <c r="F32" s="615"/>
      <c r="G32" s="615"/>
      <c r="H32" s="615"/>
      <c r="I32" s="615"/>
      <c r="J32" s="615"/>
      <c r="K32" s="615"/>
      <c r="L32" s="615"/>
      <c r="M32" s="615"/>
      <c r="N32" s="615"/>
      <c r="O32" s="615"/>
      <c r="P32" s="615"/>
      <c r="Q32" s="615"/>
      <c r="R32" s="615"/>
      <c r="S32" s="615"/>
      <c r="T32" s="615"/>
      <c r="U32" s="615"/>
      <c r="V32" s="615"/>
      <c r="W32" s="615"/>
      <c r="X32" s="615"/>
      <c r="Y32" s="615"/>
      <c r="Z32" s="615"/>
      <c r="AA32" s="615"/>
      <c r="AB32" s="615"/>
      <c r="AC32" s="615"/>
      <c r="AD32" s="615"/>
      <c r="AE32" s="615"/>
      <c r="AF32" s="615"/>
      <c r="AG32" s="615"/>
      <c r="AH32" s="615"/>
      <c r="AI32" s="615"/>
    </row>
    <row r="33" spans="1:35" ht="12" customHeight="1" x14ac:dyDescent="0.2">
      <c r="A33" s="615"/>
      <c r="B33" s="615"/>
      <c r="C33" s="615"/>
      <c r="D33" s="615"/>
      <c r="E33" s="615"/>
      <c r="F33" s="615"/>
      <c r="G33" s="615"/>
      <c r="H33" s="615"/>
      <c r="I33" s="615"/>
      <c r="J33" s="615"/>
      <c r="K33" s="615"/>
      <c r="L33" s="615"/>
      <c r="M33" s="615"/>
      <c r="N33" s="615"/>
      <c r="O33" s="615"/>
      <c r="P33" s="615"/>
      <c r="Q33" s="615"/>
      <c r="R33" s="615"/>
      <c r="S33" s="615"/>
      <c r="T33" s="615"/>
      <c r="U33" s="615"/>
      <c r="V33" s="615"/>
      <c r="W33" s="615"/>
      <c r="X33" s="615"/>
      <c r="Y33" s="615"/>
      <c r="Z33" s="615"/>
      <c r="AA33" s="615"/>
      <c r="AB33" s="615"/>
      <c r="AC33" s="615"/>
      <c r="AD33" s="615"/>
      <c r="AE33" s="615"/>
      <c r="AF33" s="615"/>
      <c r="AG33" s="615"/>
      <c r="AH33" s="615"/>
      <c r="AI33" s="615"/>
    </row>
    <row r="34" spans="1:35" ht="15" customHeight="1" x14ac:dyDescent="0.2">
      <c r="A34" s="280"/>
      <c r="B34" s="280"/>
      <c r="C34" s="280"/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  <c r="P34" s="280"/>
      <c r="Q34" s="280"/>
      <c r="R34" s="280"/>
      <c r="S34" s="280"/>
      <c r="T34" s="280"/>
      <c r="U34" s="280"/>
      <c r="V34" s="280"/>
      <c r="W34" s="280"/>
      <c r="X34" s="280"/>
      <c r="Y34" s="280"/>
      <c r="Z34" s="280"/>
      <c r="AA34" s="280"/>
      <c r="AB34" s="280"/>
      <c r="AC34" s="280"/>
      <c r="AD34" s="280"/>
      <c r="AE34" s="280"/>
      <c r="AF34" s="280"/>
      <c r="AG34" s="280"/>
      <c r="AH34" s="280"/>
      <c r="AI34" s="280"/>
    </row>
    <row r="35" spans="1:35" ht="12" x14ac:dyDescent="0.2">
      <c r="A35" s="280"/>
      <c r="B35" s="280"/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  <c r="Z35" s="280"/>
      <c r="AA35" s="280"/>
      <c r="AB35" s="280"/>
      <c r="AC35" s="280"/>
      <c r="AD35" s="280"/>
      <c r="AE35" s="280"/>
      <c r="AF35" s="280"/>
      <c r="AG35" s="280"/>
      <c r="AH35" s="280"/>
      <c r="AI35" s="280"/>
    </row>
    <row r="36" spans="1:35" ht="12" x14ac:dyDescent="0.2">
      <c r="A36" s="280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280"/>
      <c r="T36" s="280"/>
      <c r="U36" s="280"/>
      <c r="V36" s="280"/>
      <c r="W36" s="280"/>
      <c r="X36" s="280"/>
      <c r="Y36" s="280"/>
      <c r="Z36" s="280"/>
      <c r="AA36" s="280"/>
      <c r="AB36" s="280"/>
      <c r="AC36" s="280"/>
      <c r="AD36" s="280"/>
      <c r="AE36" s="280"/>
      <c r="AF36" s="280"/>
      <c r="AG36" s="280"/>
      <c r="AH36" s="280"/>
      <c r="AI36" s="280"/>
    </row>
    <row r="37" spans="1:35" ht="12" x14ac:dyDescent="0.2">
      <c r="A37" s="280"/>
      <c r="B37" s="280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280"/>
      <c r="T37" s="280"/>
      <c r="U37" s="280"/>
      <c r="V37" s="280"/>
      <c r="W37" s="280"/>
      <c r="X37" s="280"/>
      <c r="Y37" s="280"/>
      <c r="Z37" s="280"/>
      <c r="AA37" s="280"/>
      <c r="AB37" s="280"/>
      <c r="AC37" s="280"/>
      <c r="AD37" s="280"/>
      <c r="AE37" s="280"/>
      <c r="AF37" s="280"/>
      <c r="AG37" s="280"/>
      <c r="AH37" s="280"/>
      <c r="AI37" s="280"/>
    </row>
    <row r="38" spans="1:35" ht="12" x14ac:dyDescent="0.2">
      <c r="A38" s="280"/>
      <c r="B38" s="280"/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  <c r="P38" s="280"/>
      <c r="Q38" s="280"/>
      <c r="R38" s="280"/>
      <c r="S38" s="280"/>
      <c r="T38" s="280"/>
      <c r="U38" s="280"/>
      <c r="V38" s="280"/>
      <c r="W38" s="280"/>
      <c r="X38" s="280"/>
      <c r="Y38" s="280"/>
      <c r="Z38" s="280"/>
      <c r="AA38" s="280"/>
      <c r="AB38" s="280"/>
      <c r="AC38" s="280"/>
      <c r="AD38" s="280"/>
      <c r="AE38" s="280"/>
      <c r="AF38" s="280"/>
      <c r="AG38" s="280"/>
      <c r="AH38" s="280"/>
      <c r="AI38" s="280"/>
    </row>
    <row r="39" spans="1:35" ht="15.75" customHeight="1" x14ac:dyDescent="0.2">
      <c r="A39" s="280"/>
      <c r="B39" s="280"/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0"/>
      <c r="N39" s="280"/>
      <c r="O39" s="280"/>
      <c r="P39" s="280"/>
      <c r="Q39" s="280"/>
      <c r="R39" s="280"/>
      <c r="S39" s="280"/>
      <c r="T39" s="280"/>
      <c r="U39" s="280"/>
      <c r="V39" s="280"/>
      <c r="W39" s="280"/>
      <c r="X39" s="280"/>
      <c r="Y39" s="280"/>
      <c r="Z39" s="280"/>
      <c r="AA39" s="280"/>
      <c r="AB39" s="280"/>
      <c r="AC39" s="280"/>
      <c r="AD39" s="280"/>
      <c r="AE39" s="280"/>
      <c r="AF39" s="280"/>
      <c r="AG39" s="280"/>
      <c r="AH39" s="280"/>
      <c r="AI39" s="280"/>
    </row>
    <row r="40" spans="1:35" ht="12" x14ac:dyDescent="0.2">
      <c r="A40" s="280"/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280"/>
      <c r="T40" s="280"/>
      <c r="U40" s="280"/>
      <c r="V40" s="280"/>
      <c r="W40" s="280"/>
      <c r="X40" s="280"/>
      <c r="Y40" s="280"/>
      <c r="Z40" s="280"/>
      <c r="AA40" s="280"/>
      <c r="AB40" s="280"/>
      <c r="AC40" s="280"/>
      <c r="AD40" s="280"/>
      <c r="AE40" s="280"/>
      <c r="AF40" s="280"/>
      <c r="AG40" s="280"/>
      <c r="AH40" s="280"/>
      <c r="AI40" s="280"/>
    </row>
    <row r="41" spans="1:35" ht="12" x14ac:dyDescent="0.2">
      <c r="A41" s="280"/>
      <c r="B41" s="280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0"/>
      <c r="N41" s="280"/>
      <c r="O41" s="280"/>
      <c r="P41" s="280"/>
      <c r="Q41" s="280"/>
      <c r="R41" s="280"/>
      <c r="S41" s="280"/>
      <c r="T41" s="280"/>
      <c r="U41" s="280"/>
      <c r="V41" s="280"/>
      <c r="W41" s="280"/>
      <c r="X41" s="280"/>
      <c r="Y41" s="280"/>
      <c r="Z41" s="280"/>
      <c r="AA41" s="280"/>
      <c r="AB41" s="280"/>
      <c r="AC41" s="280"/>
      <c r="AD41" s="280"/>
      <c r="AE41" s="280"/>
      <c r="AF41" s="280"/>
      <c r="AG41" s="280"/>
      <c r="AH41" s="280"/>
      <c r="AI41" s="280"/>
    </row>
    <row r="42" spans="1:35" ht="12" x14ac:dyDescent="0.2">
      <c r="A42" s="280"/>
      <c r="B42" s="280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  <c r="P42" s="280"/>
      <c r="Q42" s="280"/>
      <c r="R42" s="280"/>
      <c r="S42" s="280"/>
      <c r="T42" s="280"/>
      <c r="U42" s="280"/>
      <c r="V42" s="280"/>
      <c r="W42" s="280"/>
      <c r="X42" s="280"/>
      <c r="Y42" s="280"/>
      <c r="Z42" s="280"/>
      <c r="AA42" s="280"/>
      <c r="AB42" s="280"/>
      <c r="AC42" s="280"/>
      <c r="AD42" s="280"/>
      <c r="AE42" s="280"/>
      <c r="AF42" s="280"/>
      <c r="AG42" s="280"/>
      <c r="AH42" s="280"/>
      <c r="AI42" s="280"/>
    </row>
    <row r="43" spans="1:35" ht="12" x14ac:dyDescent="0.2">
      <c r="A43" s="280"/>
      <c r="B43" s="280"/>
      <c r="C43" s="280"/>
      <c r="D43" s="280"/>
      <c r="E43" s="280"/>
      <c r="F43" s="280"/>
      <c r="G43" s="280"/>
      <c r="H43" s="280"/>
      <c r="I43" s="280"/>
      <c r="J43" s="280"/>
      <c r="K43" s="280"/>
      <c r="L43" s="280"/>
      <c r="M43" s="280"/>
      <c r="N43" s="280"/>
      <c r="O43" s="280"/>
      <c r="P43" s="280"/>
      <c r="Q43" s="280"/>
      <c r="R43" s="280"/>
      <c r="S43" s="280"/>
      <c r="T43" s="280"/>
      <c r="U43" s="280"/>
      <c r="V43" s="280"/>
      <c r="W43" s="280"/>
      <c r="X43" s="280"/>
      <c r="Y43" s="280"/>
      <c r="Z43" s="280"/>
      <c r="AA43" s="280"/>
      <c r="AB43" s="280"/>
      <c r="AC43" s="280"/>
      <c r="AD43" s="280"/>
      <c r="AE43" s="280"/>
      <c r="AF43" s="280"/>
      <c r="AG43" s="280"/>
      <c r="AH43" s="280"/>
      <c r="AI43" s="280"/>
    </row>
    <row r="44" spans="1:35" ht="12" x14ac:dyDescent="0.2">
      <c r="A44" s="280"/>
      <c r="B44" s="280"/>
      <c r="C44" s="280"/>
      <c r="D44" s="280"/>
      <c r="E44" s="280"/>
      <c r="F44" s="280"/>
      <c r="G44" s="280"/>
      <c r="H44" s="280"/>
      <c r="I44" s="280"/>
      <c r="J44" s="280"/>
      <c r="K44" s="280"/>
      <c r="L44" s="280"/>
      <c r="M44" s="280"/>
      <c r="N44" s="280"/>
      <c r="O44" s="280"/>
      <c r="P44" s="280"/>
      <c r="Q44" s="280"/>
      <c r="R44" s="280"/>
      <c r="S44" s="280"/>
      <c r="T44" s="280"/>
      <c r="U44" s="280"/>
      <c r="V44" s="280"/>
      <c r="W44" s="280"/>
      <c r="X44" s="280"/>
      <c r="Y44" s="280"/>
      <c r="Z44" s="280"/>
      <c r="AA44" s="280"/>
      <c r="AB44" s="280"/>
      <c r="AC44" s="280"/>
      <c r="AD44" s="280"/>
      <c r="AE44" s="280"/>
      <c r="AF44" s="280"/>
      <c r="AG44" s="280"/>
      <c r="AH44" s="280"/>
      <c r="AI44" s="280"/>
    </row>
    <row r="45" spans="1:35" ht="12" x14ac:dyDescent="0.2">
      <c r="A45" s="280"/>
      <c r="B45" s="280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/>
      <c r="R45" s="280"/>
      <c r="S45" s="280"/>
      <c r="T45" s="280"/>
      <c r="U45" s="280"/>
      <c r="V45" s="280"/>
      <c r="W45" s="280"/>
      <c r="X45" s="280"/>
      <c r="Y45" s="280"/>
      <c r="Z45" s="280"/>
      <c r="AA45" s="280"/>
      <c r="AB45" s="280"/>
      <c r="AC45" s="280"/>
      <c r="AD45" s="280"/>
      <c r="AE45" s="280"/>
      <c r="AF45" s="280"/>
      <c r="AG45" s="280"/>
      <c r="AH45" s="280"/>
      <c r="AI45" s="280"/>
    </row>
    <row r="46" spans="1:35" ht="12" x14ac:dyDescent="0.2">
      <c r="A46" s="280"/>
      <c r="B46" s="280"/>
      <c r="C46" s="280"/>
      <c r="D46" s="280"/>
      <c r="E46" s="280"/>
      <c r="F46" s="280"/>
      <c r="G46" s="280"/>
      <c r="H46" s="280"/>
      <c r="I46" s="280"/>
      <c r="J46" s="280"/>
      <c r="K46" s="280"/>
      <c r="L46" s="280"/>
      <c r="M46" s="280"/>
      <c r="N46" s="280"/>
      <c r="O46" s="280"/>
      <c r="P46" s="280"/>
      <c r="Q46" s="280"/>
      <c r="R46" s="280"/>
      <c r="S46" s="280"/>
      <c r="T46" s="280"/>
      <c r="U46" s="280"/>
      <c r="V46" s="280"/>
      <c r="W46" s="280"/>
      <c r="X46" s="280"/>
      <c r="Y46" s="280"/>
      <c r="Z46" s="280"/>
      <c r="AA46" s="280"/>
      <c r="AB46" s="280"/>
      <c r="AC46" s="280"/>
      <c r="AD46" s="280"/>
      <c r="AE46" s="280"/>
      <c r="AF46" s="280"/>
      <c r="AG46" s="280"/>
      <c r="AH46" s="280"/>
      <c r="AI46" s="280"/>
    </row>
    <row r="47" spans="1:35" ht="12" x14ac:dyDescent="0.2">
      <c r="A47" s="280"/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  <c r="P47" s="280"/>
      <c r="Q47" s="280"/>
      <c r="R47" s="280"/>
      <c r="S47" s="280"/>
      <c r="T47" s="280"/>
      <c r="U47" s="280"/>
      <c r="V47" s="280"/>
      <c r="W47" s="280"/>
      <c r="X47" s="280"/>
      <c r="Y47" s="280"/>
      <c r="Z47" s="280"/>
      <c r="AA47" s="280"/>
      <c r="AB47" s="280"/>
      <c r="AC47" s="280"/>
      <c r="AD47" s="280"/>
      <c r="AE47" s="280"/>
      <c r="AF47" s="280"/>
      <c r="AG47" s="280"/>
      <c r="AH47" s="280"/>
      <c r="AI47" s="280"/>
    </row>
    <row r="48" spans="1:35" ht="12.75" customHeight="1" x14ac:dyDescent="0.2">
      <c r="A48" s="280"/>
      <c r="B48" s="280"/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  <c r="Z48" s="280"/>
      <c r="AA48" s="280"/>
      <c r="AB48" s="280"/>
      <c r="AC48" s="280"/>
      <c r="AD48" s="280"/>
      <c r="AE48" s="280"/>
      <c r="AF48" s="280"/>
      <c r="AG48" s="280"/>
      <c r="AH48" s="280"/>
      <c r="AI48" s="280"/>
    </row>
    <row r="49" spans="1:35" ht="12" x14ac:dyDescent="0.2">
      <c r="A49" s="280"/>
      <c r="B49" s="280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  <c r="Z49" s="280"/>
      <c r="AA49" s="280"/>
      <c r="AB49" s="280"/>
      <c r="AC49" s="280"/>
      <c r="AD49" s="280"/>
      <c r="AE49" s="280"/>
      <c r="AF49" s="280"/>
      <c r="AG49" s="280"/>
      <c r="AH49" s="280"/>
      <c r="AI49" s="280"/>
    </row>
    <row r="50" spans="1:35" ht="12" x14ac:dyDescent="0.2">
      <c r="A50" s="280"/>
      <c r="B50" s="280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  <c r="P50" s="280"/>
      <c r="Q50" s="280"/>
      <c r="R50" s="280"/>
      <c r="S50" s="280"/>
      <c r="T50" s="280"/>
      <c r="U50" s="280"/>
      <c r="V50" s="280"/>
      <c r="W50" s="280"/>
      <c r="X50" s="280"/>
      <c r="Y50" s="280"/>
      <c r="Z50" s="280"/>
      <c r="AA50" s="280"/>
      <c r="AB50" s="280"/>
      <c r="AC50" s="280"/>
      <c r="AD50" s="280"/>
      <c r="AE50" s="280"/>
      <c r="AF50" s="280"/>
      <c r="AG50" s="280"/>
      <c r="AH50" s="280"/>
      <c r="AI50" s="280"/>
    </row>
    <row r="51" spans="1:35" ht="12" x14ac:dyDescent="0.2">
      <c r="A51" s="280"/>
      <c r="B51" s="280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  <c r="P51" s="280"/>
      <c r="Q51" s="280"/>
      <c r="R51" s="280"/>
      <c r="S51" s="280"/>
      <c r="T51" s="280"/>
      <c r="U51" s="280"/>
      <c r="V51" s="280"/>
      <c r="W51" s="280"/>
      <c r="X51" s="280"/>
      <c r="Y51" s="280"/>
      <c r="Z51" s="280"/>
      <c r="AA51" s="280"/>
      <c r="AB51" s="280"/>
      <c r="AC51" s="280"/>
      <c r="AD51" s="280"/>
      <c r="AE51" s="280"/>
      <c r="AF51" s="280"/>
      <c r="AG51" s="280"/>
      <c r="AH51" s="280"/>
      <c r="AI51" s="280"/>
    </row>
    <row r="52" spans="1:35" ht="12" x14ac:dyDescent="0.2">
      <c r="A52" s="280"/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  <c r="P52" s="280"/>
      <c r="Q52" s="280"/>
      <c r="R52" s="280"/>
      <c r="S52" s="280"/>
      <c r="T52" s="280"/>
      <c r="U52" s="280"/>
      <c r="V52" s="280"/>
      <c r="W52" s="280"/>
      <c r="X52" s="280"/>
      <c r="Y52" s="280"/>
      <c r="Z52" s="280"/>
      <c r="AA52" s="280"/>
      <c r="AB52" s="280"/>
      <c r="AC52" s="280"/>
      <c r="AD52" s="280"/>
      <c r="AE52" s="280"/>
      <c r="AF52" s="280"/>
      <c r="AG52" s="280"/>
      <c r="AH52" s="280"/>
      <c r="AI52" s="280"/>
    </row>
    <row r="53" spans="1:35" ht="12" x14ac:dyDescent="0.2">
      <c r="A53" s="280"/>
      <c r="B53" s="280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  <c r="N53" s="280"/>
      <c r="O53" s="280"/>
      <c r="P53" s="280"/>
      <c r="Q53" s="280"/>
      <c r="R53" s="280"/>
      <c r="S53" s="280"/>
      <c r="T53" s="280"/>
      <c r="U53" s="280"/>
      <c r="V53" s="280"/>
      <c r="W53" s="280"/>
      <c r="X53" s="280"/>
      <c r="Y53" s="280"/>
      <c r="Z53" s="280"/>
      <c r="AA53" s="280"/>
      <c r="AB53" s="280"/>
      <c r="AC53" s="280"/>
      <c r="AD53" s="280"/>
      <c r="AE53" s="280"/>
      <c r="AF53" s="280"/>
      <c r="AG53" s="280"/>
      <c r="AH53" s="280"/>
      <c r="AI53" s="280"/>
    </row>
    <row r="54" spans="1:35" ht="12" x14ac:dyDescent="0.2">
      <c r="A54" s="280"/>
      <c r="B54" s="280"/>
      <c r="C54" s="280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280"/>
      <c r="O54" s="280"/>
      <c r="P54" s="280"/>
      <c r="Q54" s="280"/>
      <c r="R54" s="280"/>
      <c r="S54" s="280"/>
      <c r="T54" s="280"/>
      <c r="U54" s="280"/>
      <c r="V54" s="280"/>
      <c r="W54" s="280"/>
      <c r="X54" s="280"/>
      <c r="Y54" s="280"/>
      <c r="Z54" s="280"/>
      <c r="AA54" s="280"/>
      <c r="AB54" s="280"/>
      <c r="AC54" s="280"/>
      <c r="AD54" s="280"/>
      <c r="AE54" s="280"/>
      <c r="AF54" s="280"/>
      <c r="AG54" s="280"/>
      <c r="AH54" s="280"/>
      <c r="AI54" s="280"/>
    </row>
    <row r="55" spans="1:35" ht="12" x14ac:dyDescent="0.2">
      <c r="A55" s="280"/>
      <c r="B55" s="280"/>
      <c r="C55" s="280"/>
      <c r="D55" s="280"/>
      <c r="E55" s="280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280"/>
      <c r="T55" s="280"/>
      <c r="U55" s="280"/>
      <c r="V55" s="280"/>
      <c r="W55" s="280"/>
      <c r="X55" s="280"/>
      <c r="Y55" s="280"/>
      <c r="Z55" s="280"/>
      <c r="AA55" s="280"/>
      <c r="AB55" s="280"/>
      <c r="AC55" s="280"/>
      <c r="AD55" s="280"/>
      <c r="AE55" s="280"/>
      <c r="AF55" s="280"/>
      <c r="AG55" s="280"/>
      <c r="AH55" s="280"/>
      <c r="AI55" s="280"/>
    </row>
    <row r="56" spans="1:35" ht="12" x14ac:dyDescent="0.2">
      <c r="A56" s="280"/>
      <c r="B56" s="280"/>
      <c r="C56" s="280"/>
      <c r="D56" s="280"/>
      <c r="E56" s="280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280"/>
      <c r="T56" s="280"/>
      <c r="U56" s="280"/>
      <c r="V56" s="280"/>
      <c r="W56" s="280"/>
      <c r="X56" s="280"/>
      <c r="Y56" s="280"/>
      <c r="Z56" s="280"/>
      <c r="AA56" s="280"/>
      <c r="AB56" s="280"/>
      <c r="AC56" s="280"/>
      <c r="AD56" s="280"/>
      <c r="AE56" s="280"/>
      <c r="AF56" s="280"/>
      <c r="AG56" s="280"/>
      <c r="AH56" s="280"/>
      <c r="AI56" s="280"/>
    </row>
    <row r="57" spans="1:35" ht="12" x14ac:dyDescent="0.2">
      <c r="A57" s="280"/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280"/>
      <c r="T57" s="280"/>
      <c r="U57" s="280"/>
      <c r="V57" s="280"/>
      <c r="W57" s="280"/>
      <c r="X57" s="280"/>
      <c r="Y57" s="280"/>
      <c r="Z57" s="280"/>
      <c r="AA57" s="280"/>
      <c r="AB57" s="280"/>
      <c r="AC57" s="280"/>
      <c r="AD57" s="280"/>
      <c r="AE57" s="280"/>
      <c r="AF57" s="280"/>
      <c r="AG57" s="280"/>
      <c r="AH57" s="280"/>
      <c r="AI57" s="280"/>
    </row>
    <row r="58" spans="1:35" ht="12" x14ac:dyDescent="0.2">
      <c r="A58" s="280"/>
      <c r="B58" s="280"/>
      <c r="C58" s="280"/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280"/>
      <c r="T58" s="280"/>
      <c r="U58" s="280"/>
      <c r="V58" s="280"/>
      <c r="W58" s="280"/>
      <c r="X58" s="280"/>
      <c r="Y58" s="280"/>
      <c r="Z58" s="280"/>
      <c r="AA58" s="280"/>
      <c r="AB58" s="280"/>
      <c r="AC58" s="280"/>
      <c r="AD58" s="280"/>
      <c r="AE58" s="280"/>
      <c r="AF58" s="280"/>
      <c r="AG58" s="280"/>
      <c r="AH58" s="280"/>
      <c r="AI58" s="280"/>
    </row>
    <row r="59" spans="1:35" ht="12" x14ac:dyDescent="0.2">
      <c r="A59" s="280"/>
      <c r="B59" s="280"/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280"/>
      <c r="T59" s="280"/>
      <c r="U59" s="280"/>
      <c r="V59" s="280"/>
      <c r="W59" s="280"/>
      <c r="X59" s="280"/>
      <c r="Y59" s="280"/>
      <c r="Z59" s="280"/>
      <c r="AA59" s="280"/>
      <c r="AB59" s="280"/>
      <c r="AC59" s="280"/>
      <c r="AD59" s="280"/>
      <c r="AE59" s="280"/>
      <c r="AF59" s="280"/>
      <c r="AG59" s="280"/>
      <c r="AH59" s="280"/>
      <c r="AI59" s="280"/>
    </row>
    <row r="60" spans="1:35" ht="12" x14ac:dyDescent="0.2">
      <c r="A60" s="280"/>
      <c r="B60" s="280"/>
      <c r="C60" s="280"/>
      <c r="D60" s="280"/>
      <c r="E60" s="280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280"/>
      <c r="T60" s="280"/>
      <c r="U60" s="280"/>
      <c r="V60" s="280"/>
      <c r="W60" s="280"/>
      <c r="X60" s="280"/>
      <c r="Y60" s="280"/>
      <c r="Z60" s="280"/>
      <c r="AA60" s="280"/>
      <c r="AB60" s="280"/>
      <c r="AC60" s="280"/>
      <c r="AD60" s="280"/>
      <c r="AE60" s="280"/>
      <c r="AF60" s="280"/>
      <c r="AG60" s="280"/>
      <c r="AH60" s="280"/>
      <c r="AI60" s="280"/>
    </row>
    <row r="61" spans="1:35" ht="12" x14ac:dyDescent="0.2">
      <c r="A61" s="280"/>
      <c r="B61" s="280"/>
      <c r="C61" s="280"/>
      <c r="D61" s="280"/>
      <c r="E61" s="280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280"/>
      <c r="T61" s="280"/>
      <c r="U61" s="280"/>
      <c r="V61" s="280"/>
      <c r="W61" s="280"/>
      <c r="X61" s="280"/>
      <c r="Y61" s="280"/>
      <c r="Z61" s="280"/>
      <c r="AA61" s="280"/>
      <c r="AB61" s="280"/>
      <c r="AC61" s="280"/>
      <c r="AD61" s="280"/>
      <c r="AE61" s="280"/>
      <c r="AF61" s="280"/>
      <c r="AG61" s="280"/>
      <c r="AH61" s="280"/>
      <c r="AI61" s="280"/>
    </row>
    <row r="62" spans="1:35" ht="12" x14ac:dyDescent="0.2">
      <c r="A62" s="280"/>
      <c r="B62" s="280"/>
      <c r="C62" s="280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280"/>
      <c r="T62" s="280"/>
      <c r="U62" s="280"/>
      <c r="V62" s="280"/>
      <c r="W62" s="280"/>
      <c r="X62" s="280"/>
      <c r="Y62" s="280"/>
      <c r="Z62" s="280"/>
      <c r="AA62" s="280"/>
      <c r="AB62" s="280"/>
      <c r="AC62" s="280"/>
      <c r="AD62" s="280"/>
      <c r="AE62" s="280"/>
      <c r="AF62" s="280"/>
      <c r="AG62" s="280"/>
      <c r="AH62" s="280"/>
      <c r="AI62" s="280"/>
    </row>
  </sheetData>
  <sheetProtection selectLockedCells="1" selectUnlockedCells="1"/>
  <mergeCells count="2">
    <mergeCell ref="A6:AI33"/>
    <mergeCell ref="A34:AI62"/>
  </mergeCell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02E69-E9ED-49CF-A9E9-FE55EE803AC8}">
  <sheetPr codeName="Sheet5">
    <pageSetUpPr fitToPage="1"/>
  </sheetPr>
  <dimension ref="A1:BX62"/>
  <sheetViews>
    <sheetView topLeftCell="A47" zoomScaleNormal="100" workbookViewId="0">
      <selection activeCell="T52" sqref="T52:V52"/>
    </sheetView>
  </sheetViews>
  <sheetFormatPr defaultColWidth="0" defaultRowHeight="11.45" customHeight="1" zeroHeight="1" x14ac:dyDescent="0.2"/>
  <cols>
    <col min="1" max="72" width="2.7109375" style="12" customWidth="1"/>
    <col min="73" max="73" width="2.5703125" style="12" customWidth="1"/>
    <col min="74" max="76" width="2.7109375" style="12" hidden="1" customWidth="1"/>
    <col min="77" max="16384" width="9.140625" style="12" hidden="1"/>
  </cols>
  <sheetData>
    <row r="1" spans="1:73" ht="12" customHeight="1" x14ac:dyDescent="0.2">
      <c r="A1" s="106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645" t="s">
        <v>159</v>
      </c>
      <c r="AK1" s="645"/>
      <c r="AL1" s="645"/>
      <c r="AM1" s="645"/>
      <c r="AN1" s="645"/>
      <c r="AO1" s="645"/>
      <c r="AP1" s="645"/>
      <c r="AQ1" s="645"/>
      <c r="AR1" s="645"/>
      <c r="AS1" s="645"/>
      <c r="AT1" s="645"/>
      <c r="AU1" s="645"/>
      <c r="AV1" s="645"/>
      <c r="AW1" s="645"/>
      <c r="AX1" s="645"/>
      <c r="AY1" s="645"/>
      <c r="AZ1" s="645"/>
      <c r="BA1" s="645"/>
      <c r="BB1" s="645"/>
      <c r="BC1" s="645"/>
      <c r="BD1" s="645"/>
      <c r="BE1" s="645"/>
      <c r="BF1" s="645"/>
      <c r="BG1" s="645"/>
      <c r="BH1" s="645"/>
      <c r="BI1" s="645"/>
      <c r="BJ1" s="645"/>
      <c r="BK1" s="645"/>
      <c r="BL1" s="645"/>
      <c r="BM1" s="645"/>
      <c r="BN1" s="645"/>
      <c r="BO1" s="645"/>
      <c r="BP1" s="645"/>
      <c r="BQ1" s="645"/>
      <c r="BR1" s="645"/>
      <c r="BS1" s="645"/>
      <c r="BT1" s="645"/>
      <c r="BU1" s="645"/>
    </row>
    <row r="2" spans="1:73" ht="12" customHeight="1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</row>
    <row r="3" spans="1:73" ht="12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</row>
    <row r="4" spans="1:73" ht="12" customHeight="1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</row>
    <row r="5" spans="1:73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 t="s">
        <v>296</v>
      </c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</row>
    <row r="6" spans="1:73" ht="12" customHeight="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</row>
    <row r="7" spans="1:73" ht="12" customHeight="1" thickBot="1" x14ac:dyDescent="0.25">
      <c r="A7" s="526" t="s">
        <v>161</v>
      </c>
      <c r="B7" s="526"/>
      <c r="C7" s="526"/>
      <c r="D7" s="526"/>
      <c r="E7" s="526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42"/>
      <c r="R7" s="42"/>
      <c r="S7" s="42"/>
      <c r="T7" s="526" t="s">
        <v>162</v>
      </c>
      <c r="U7" s="526"/>
      <c r="V7" s="526"/>
      <c r="W7" s="526"/>
      <c r="X7" s="526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</row>
    <row r="8" spans="1:73" ht="12" customHeight="1" thickBo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8"/>
      <c r="AV8" s="678" t="s">
        <v>297</v>
      </c>
      <c r="AW8" s="679"/>
      <c r="AX8" s="679"/>
      <c r="AY8" s="679"/>
      <c r="AZ8" s="679"/>
      <c r="BA8" s="679"/>
      <c r="BB8" s="679"/>
      <c r="BC8" s="680"/>
      <c r="BD8" s="109"/>
      <c r="BE8" s="107"/>
      <c r="BF8" s="681"/>
      <c r="BG8" s="682"/>
      <c r="BH8" s="682"/>
      <c r="BI8" s="682"/>
      <c r="BJ8" s="682"/>
      <c r="BK8" s="682"/>
      <c r="BL8" s="682"/>
      <c r="BM8" s="682"/>
      <c r="BN8" s="682"/>
      <c r="BO8" s="682"/>
      <c r="BP8" s="682"/>
      <c r="BQ8" s="682"/>
      <c r="BR8" s="682"/>
      <c r="BS8" s="682"/>
      <c r="BT8" s="683"/>
      <c r="BU8" s="107"/>
    </row>
    <row r="9" spans="1:73" ht="12" customHeight="1" thickTop="1" thickBot="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526"/>
      <c r="U9" s="526"/>
      <c r="V9" s="526"/>
      <c r="W9" s="526"/>
      <c r="X9" s="526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10"/>
      <c r="AV9" s="684" t="s">
        <v>298</v>
      </c>
      <c r="AW9" s="684"/>
      <c r="AX9" s="684"/>
      <c r="AY9" s="684"/>
      <c r="AZ9" s="684"/>
      <c r="BA9" s="684"/>
      <c r="BB9" s="685"/>
      <c r="BC9" s="686"/>
      <c r="BD9" s="111"/>
      <c r="BE9" s="107"/>
      <c r="BF9" s="471" t="s">
        <v>160</v>
      </c>
      <c r="BG9" s="472"/>
      <c r="BH9" s="472"/>
      <c r="BI9" s="472"/>
      <c r="BJ9" s="472"/>
      <c r="BK9" s="472"/>
      <c r="BL9" s="472"/>
      <c r="BM9" s="472"/>
      <c r="BN9" s="472"/>
      <c r="BO9" s="472"/>
      <c r="BP9" s="472"/>
      <c r="BQ9" s="472"/>
      <c r="BR9" s="472"/>
      <c r="BS9" s="472"/>
      <c r="BT9" s="473"/>
      <c r="BU9" s="107"/>
    </row>
    <row r="10" spans="1:73" ht="12" customHeight="1" thickTop="1" thickBo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660" t="s">
        <v>299</v>
      </c>
      <c r="AL10" s="661"/>
      <c r="AM10" s="661"/>
      <c r="AN10" s="661"/>
      <c r="AO10" s="661"/>
      <c r="AP10" s="661"/>
      <c r="AQ10" s="661"/>
      <c r="AR10" s="661"/>
      <c r="AS10" s="662"/>
      <c r="AT10" s="107"/>
      <c r="AU10" s="110"/>
      <c r="AV10" s="669" t="s">
        <v>300</v>
      </c>
      <c r="AW10" s="669"/>
      <c r="AX10" s="669"/>
      <c r="AY10" s="669"/>
      <c r="AZ10" s="669"/>
      <c r="BA10" s="669"/>
      <c r="BB10" s="670"/>
      <c r="BC10" s="671"/>
      <c r="BD10" s="112"/>
      <c r="BE10" s="107"/>
      <c r="BF10" s="672"/>
      <c r="BG10" s="673"/>
      <c r="BH10" s="673"/>
      <c r="BI10" s="673"/>
      <c r="BJ10" s="674"/>
      <c r="BK10" s="675"/>
      <c r="BL10" s="673"/>
      <c r="BM10" s="673"/>
      <c r="BN10" s="673"/>
      <c r="BO10" s="674"/>
      <c r="BP10" s="676"/>
      <c r="BQ10" s="676"/>
      <c r="BR10" s="676"/>
      <c r="BS10" s="676"/>
      <c r="BT10" s="677"/>
      <c r="BU10" s="107"/>
    </row>
    <row r="11" spans="1:73" ht="12" customHeight="1" thickBot="1" x14ac:dyDescent="0.25">
      <c r="A11" s="649" t="s">
        <v>301</v>
      </c>
      <c r="B11" s="650"/>
      <c r="C11" s="650"/>
      <c r="D11" s="650"/>
      <c r="E11" s="650"/>
      <c r="F11" s="650"/>
      <c r="G11" s="650"/>
      <c r="H11" s="653" t="s">
        <v>302</v>
      </c>
      <c r="I11" s="653"/>
      <c r="J11" s="653"/>
      <c r="K11" s="653"/>
      <c r="L11" s="653"/>
      <c r="M11" s="653"/>
      <c r="N11" s="653"/>
      <c r="O11" s="653"/>
      <c r="P11" s="653"/>
      <c r="Q11" s="650" t="s">
        <v>303</v>
      </c>
      <c r="R11" s="650"/>
      <c r="S11" s="650"/>
      <c r="T11" s="653" t="s">
        <v>304</v>
      </c>
      <c r="U11" s="653"/>
      <c r="V11" s="653"/>
      <c r="W11" s="653"/>
      <c r="X11" s="653"/>
      <c r="Y11" s="653"/>
      <c r="Z11" s="653"/>
      <c r="AA11" s="653"/>
      <c r="AB11" s="653"/>
      <c r="AC11" s="650" t="s">
        <v>305</v>
      </c>
      <c r="AD11" s="650"/>
      <c r="AE11" s="650"/>
      <c r="AF11" s="654" t="s">
        <v>262</v>
      </c>
      <c r="AG11" s="655"/>
      <c r="AH11" s="655"/>
      <c r="AI11" s="656"/>
      <c r="AJ11" s="107"/>
      <c r="AK11" s="663"/>
      <c r="AL11" s="664"/>
      <c r="AM11" s="664"/>
      <c r="AN11" s="664"/>
      <c r="AO11" s="664"/>
      <c r="AP11" s="664"/>
      <c r="AQ11" s="664"/>
      <c r="AR11" s="664"/>
      <c r="AS11" s="665"/>
      <c r="AT11" s="107"/>
      <c r="AU11" s="113"/>
      <c r="AV11" s="114"/>
      <c r="AW11" s="114"/>
      <c r="AX11" s="114"/>
      <c r="AY11" s="114"/>
      <c r="AZ11" s="114"/>
      <c r="BA11" s="114"/>
      <c r="BB11" s="114"/>
      <c r="BC11" s="114"/>
      <c r="BD11" s="115"/>
      <c r="BE11" s="107"/>
      <c r="BF11" s="521"/>
      <c r="BG11" s="522"/>
      <c r="BH11" s="522"/>
      <c r="BI11" s="522"/>
      <c r="BJ11" s="523"/>
      <c r="BK11" s="524"/>
      <c r="BL11" s="522"/>
      <c r="BM11" s="522"/>
      <c r="BN11" s="522"/>
      <c r="BO11" s="523"/>
      <c r="BP11" s="288"/>
      <c r="BQ11" s="288"/>
      <c r="BR11" s="288"/>
      <c r="BS11" s="288"/>
      <c r="BT11" s="637"/>
      <c r="BU11" s="107"/>
    </row>
    <row r="12" spans="1:73" ht="12" customHeight="1" thickBot="1" x14ac:dyDescent="0.25">
      <c r="A12" s="651"/>
      <c r="B12" s="652"/>
      <c r="C12" s="652"/>
      <c r="D12" s="652"/>
      <c r="E12" s="652"/>
      <c r="F12" s="652"/>
      <c r="G12" s="652"/>
      <c r="H12" s="392" t="s">
        <v>306</v>
      </c>
      <c r="I12" s="392"/>
      <c r="J12" s="392"/>
      <c r="K12" s="392" t="s">
        <v>174</v>
      </c>
      <c r="L12" s="392"/>
      <c r="M12" s="392"/>
      <c r="N12" s="392" t="s">
        <v>307</v>
      </c>
      <c r="O12" s="392"/>
      <c r="P12" s="392"/>
      <c r="Q12" s="652"/>
      <c r="R12" s="652"/>
      <c r="S12" s="652"/>
      <c r="T12" s="392" t="s">
        <v>308</v>
      </c>
      <c r="U12" s="392"/>
      <c r="V12" s="392"/>
      <c r="W12" s="392" t="s">
        <v>180</v>
      </c>
      <c r="X12" s="392"/>
      <c r="Y12" s="392"/>
      <c r="Z12" s="392" t="s">
        <v>183</v>
      </c>
      <c r="AA12" s="392"/>
      <c r="AB12" s="392"/>
      <c r="AC12" s="652"/>
      <c r="AD12" s="652"/>
      <c r="AE12" s="652"/>
      <c r="AF12" s="657"/>
      <c r="AG12" s="658"/>
      <c r="AH12" s="658"/>
      <c r="AI12" s="659"/>
      <c r="AJ12" s="107"/>
      <c r="AK12" s="666"/>
      <c r="AL12" s="667"/>
      <c r="AM12" s="667"/>
      <c r="AN12" s="667"/>
      <c r="AO12" s="667"/>
      <c r="AP12" s="667"/>
      <c r="AQ12" s="667"/>
      <c r="AR12" s="667"/>
      <c r="AS12" s="668"/>
      <c r="AT12" s="107"/>
      <c r="AU12" s="646" t="s">
        <v>309</v>
      </c>
      <c r="AV12" s="647"/>
      <c r="AW12" s="647"/>
      <c r="AX12" s="647"/>
      <c r="AY12" s="647"/>
      <c r="AZ12" s="647"/>
      <c r="BA12" s="647"/>
      <c r="BB12" s="647"/>
      <c r="BC12" s="647"/>
      <c r="BD12" s="648"/>
      <c r="BE12" s="107"/>
      <c r="BF12" s="521"/>
      <c r="BG12" s="522"/>
      <c r="BH12" s="522"/>
      <c r="BI12" s="522"/>
      <c r="BJ12" s="523"/>
      <c r="BK12" s="524"/>
      <c r="BL12" s="522"/>
      <c r="BM12" s="522"/>
      <c r="BN12" s="522"/>
      <c r="BO12" s="523"/>
      <c r="BP12" s="288"/>
      <c r="BQ12" s="288"/>
      <c r="BR12" s="288"/>
      <c r="BS12" s="288"/>
      <c r="BT12" s="637"/>
      <c r="BU12" s="107"/>
    </row>
    <row r="13" spans="1:73" ht="12.6" customHeight="1" thickTop="1" x14ac:dyDescent="0.2">
      <c r="A13" s="642"/>
      <c r="B13" s="643"/>
      <c r="C13" s="643"/>
      <c r="D13" s="643"/>
      <c r="E13" s="643"/>
      <c r="F13" s="643"/>
      <c r="G13" s="643"/>
      <c r="H13" s="638"/>
      <c r="I13" s="638"/>
      <c r="J13" s="638"/>
      <c r="K13" s="644"/>
      <c r="L13" s="644"/>
      <c r="M13" s="644"/>
      <c r="N13" s="644"/>
      <c r="O13" s="644"/>
      <c r="P13" s="644"/>
      <c r="Q13" s="638"/>
      <c r="R13" s="638"/>
      <c r="S13" s="638"/>
      <c r="T13" s="638"/>
      <c r="U13" s="638"/>
      <c r="V13" s="638"/>
      <c r="W13" s="638"/>
      <c r="X13" s="638"/>
      <c r="Y13" s="638"/>
      <c r="Z13" s="638"/>
      <c r="AA13" s="638"/>
      <c r="AB13" s="638"/>
      <c r="AC13" s="638"/>
      <c r="AD13" s="638"/>
      <c r="AE13" s="638"/>
      <c r="AF13" s="639"/>
      <c r="AG13" s="640"/>
      <c r="AH13" s="640"/>
      <c r="AI13" s="641"/>
      <c r="AJ13" s="107"/>
      <c r="AK13" s="620" t="str">
        <f>IFERROR(AN13*(1-$BB$10),"")</f>
        <v/>
      </c>
      <c r="AL13" s="621"/>
      <c r="AM13" s="621"/>
      <c r="AN13" s="621" t="str">
        <f>IFERROR($AK$52*(Q13),"")</f>
        <v/>
      </c>
      <c r="AO13" s="621"/>
      <c r="AP13" s="621"/>
      <c r="AQ13" s="621" t="str">
        <f>IFERROR(AN13*(1+$BB$9),"")</f>
        <v/>
      </c>
      <c r="AR13" s="621"/>
      <c r="AS13" s="622"/>
      <c r="AT13" s="107"/>
      <c r="AU13" s="629" t="str">
        <f t="shared" ref="AU13:AU52" si="0">IF(AC13="","",IF(AC13&lt;Q13-(Q13*$BB$10),"Below "&amp;$BB$10*100&amp;"% by "&amp;Q13-(Q13*$BB$10)-AC13&amp;" CFM",IF(AC13&gt;Q13+(Q13*$BB$9),"Above "&amp;$BB$9*100&amp;"% by "&amp;AC13-Q13-(Q13*$BB$9)&amp;" CFM","")))</f>
        <v/>
      </c>
      <c r="AV13" s="630"/>
      <c r="AW13" s="630"/>
      <c r="AX13" s="630"/>
      <c r="AY13" s="630"/>
      <c r="AZ13" s="630"/>
      <c r="BA13" s="630"/>
      <c r="BB13" s="630"/>
      <c r="BC13" s="630"/>
      <c r="BD13" s="631"/>
      <c r="BE13" s="107"/>
      <c r="BF13" s="521"/>
      <c r="BG13" s="522"/>
      <c r="BH13" s="522"/>
      <c r="BI13" s="522"/>
      <c r="BJ13" s="523"/>
      <c r="BK13" s="524"/>
      <c r="BL13" s="522"/>
      <c r="BM13" s="522"/>
      <c r="BN13" s="522"/>
      <c r="BO13" s="523"/>
      <c r="BP13" s="288"/>
      <c r="BQ13" s="288"/>
      <c r="BR13" s="288"/>
      <c r="BS13" s="288"/>
      <c r="BT13" s="637"/>
      <c r="BU13" s="107"/>
    </row>
    <row r="14" spans="1:73" ht="12" customHeight="1" x14ac:dyDescent="0.2">
      <c r="A14" s="632"/>
      <c r="B14" s="633"/>
      <c r="C14" s="633"/>
      <c r="D14" s="633"/>
      <c r="E14" s="633"/>
      <c r="F14" s="633"/>
      <c r="G14" s="633"/>
      <c r="H14" s="577"/>
      <c r="I14" s="577"/>
      <c r="J14" s="577"/>
      <c r="K14" s="400"/>
      <c r="L14" s="400"/>
      <c r="M14" s="400"/>
      <c r="N14" s="400"/>
      <c r="O14" s="400"/>
      <c r="P14" s="400"/>
      <c r="Q14" s="577"/>
      <c r="R14" s="577"/>
      <c r="S14" s="577"/>
      <c r="T14" s="577"/>
      <c r="U14" s="577"/>
      <c r="V14" s="577"/>
      <c r="W14" s="634"/>
      <c r="X14" s="634"/>
      <c r="Y14" s="634"/>
      <c r="Z14" s="577"/>
      <c r="AA14" s="577"/>
      <c r="AB14" s="577"/>
      <c r="AC14" s="577"/>
      <c r="AD14" s="577"/>
      <c r="AE14" s="577"/>
      <c r="AF14" s="413"/>
      <c r="AG14" s="414"/>
      <c r="AH14" s="414"/>
      <c r="AI14" s="415"/>
      <c r="AJ14" s="107"/>
      <c r="AK14" s="620" t="str">
        <f t="shared" ref="AK14:AK51" si="1">IFERROR(AN14*(1-$BB$10),"")</f>
        <v/>
      </c>
      <c r="AL14" s="621"/>
      <c r="AM14" s="621"/>
      <c r="AN14" s="621" t="str">
        <f t="shared" ref="AN14:AN51" si="2">IFERROR($AK$52*(Q14),"")</f>
        <v/>
      </c>
      <c r="AO14" s="621"/>
      <c r="AP14" s="621"/>
      <c r="AQ14" s="621" t="str">
        <f t="shared" ref="AQ14:AQ51" si="3">IFERROR(AN14*(1+$BB$9),"")</f>
        <v/>
      </c>
      <c r="AR14" s="621"/>
      <c r="AS14" s="622"/>
      <c r="AT14" s="107"/>
      <c r="AU14" s="629" t="str">
        <f t="shared" si="0"/>
        <v/>
      </c>
      <c r="AV14" s="630"/>
      <c r="AW14" s="630"/>
      <c r="AX14" s="630"/>
      <c r="AY14" s="630"/>
      <c r="AZ14" s="630"/>
      <c r="BA14" s="630"/>
      <c r="BB14" s="630"/>
      <c r="BC14" s="630"/>
      <c r="BD14" s="631"/>
      <c r="BE14" s="107"/>
      <c r="BF14" s="521"/>
      <c r="BG14" s="522"/>
      <c r="BH14" s="522"/>
      <c r="BI14" s="522"/>
      <c r="BJ14" s="523"/>
      <c r="BK14" s="524"/>
      <c r="BL14" s="522"/>
      <c r="BM14" s="522"/>
      <c r="BN14" s="522"/>
      <c r="BO14" s="523"/>
      <c r="BP14" s="288"/>
      <c r="BQ14" s="288"/>
      <c r="BR14" s="288"/>
      <c r="BS14" s="288"/>
      <c r="BT14" s="637"/>
      <c r="BU14" s="107"/>
    </row>
    <row r="15" spans="1:73" ht="12" customHeight="1" thickBot="1" x14ac:dyDescent="0.25">
      <c r="A15" s="632"/>
      <c r="B15" s="633"/>
      <c r="C15" s="633"/>
      <c r="D15" s="633"/>
      <c r="E15" s="633"/>
      <c r="F15" s="633"/>
      <c r="G15" s="633"/>
      <c r="H15" s="634"/>
      <c r="I15" s="634"/>
      <c r="J15" s="634"/>
      <c r="K15" s="453"/>
      <c r="L15" s="453"/>
      <c r="M15" s="453"/>
      <c r="N15" s="400"/>
      <c r="O15" s="400"/>
      <c r="P15" s="400"/>
      <c r="Q15" s="577"/>
      <c r="R15" s="577"/>
      <c r="S15" s="577"/>
      <c r="T15" s="577"/>
      <c r="U15" s="577"/>
      <c r="V15" s="577"/>
      <c r="W15" s="634"/>
      <c r="X15" s="634"/>
      <c r="Y15" s="634"/>
      <c r="Z15" s="577"/>
      <c r="AA15" s="577"/>
      <c r="AB15" s="577"/>
      <c r="AC15" s="577"/>
      <c r="AD15" s="577"/>
      <c r="AE15" s="577"/>
      <c r="AF15" s="413"/>
      <c r="AG15" s="414"/>
      <c r="AH15" s="414"/>
      <c r="AI15" s="415"/>
      <c r="AJ15" s="107"/>
      <c r="AK15" s="620" t="str">
        <f t="shared" si="1"/>
        <v/>
      </c>
      <c r="AL15" s="621"/>
      <c r="AM15" s="621"/>
      <c r="AN15" s="621" t="str">
        <f t="shared" si="2"/>
        <v/>
      </c>
      <c r="AO15" s="621"/>
      <c r="AP15" s="621"/>
      <c r="AQ15" s="621" t="str">
        <f t="shared" si="3"/>
        <v/>
      </c>
      <c r="AR15" s="621"/>
      <c r="AS15" s="622"/>
      <c r="AT15" s="107"/>
      <c r="AU15" s="629" t="str">
        <f t="shared" si="0"/>
        <v/>
      </c>
      <c r="AV15" s="630"/>
      <c r="AW15" s="630"/>
      <c r="AX15" s="630"/>
      <c r="AY15" s="630"/>
      <c r="AZ15" s="630"/>
      <c r="BA15" s="630"/>
      <c r="BB15" s="630"/>
      <c r="BC15" s="630"/>
      <c r="BD15" s="631"/>
      <c r="BE15" s="107"/>
      <c r="BF15" s="528"/>
      <c r="BG15" s="529"/>
      <c r="BH15" s="529"/>
      <c r="BI15" s="529"/>
      <c r="BJ15" s="530"/>
      <c r="BK15" s="531"/>
      <c r="BL15" s="529"/>
      <c r="BM15" s="529"/>
      <c r="BN15" s="529"/>
      <c r="BO15" s="530"/>
      <c r="BP15" s="635"/>
      <c r="BQ15" s="635"/>
      <c r="BR15" s="635"/>
      <c r="BS15" s="635"/>
      <c r="BT15" s="636"/>
      <c r="BU15" s="107"/>
    </row>
    <row r="16" spans="1:73" ht="12" customHeight="1" x14ac:dyDescent="0.2">
      <c r="A16" s="632"/>
      <c r="B16" s="633"/>
      <c r="C16" s="633"/>
      <c r="D16" s="633"/>
      <c r="E16" s="633"/>
      <c r="F16" s="633"/>
      <c r="G16" s="633"/>
      <c r="H16" s="577"/>
      <c r="I16" s="577"/>
      <c r="J16" s="577"/>
      <c r="K16" s="400"/>
      <c r="L16" s="400"/>
      <c r="M16" s="400"/>
      <c r="N16" s="400"/>
      <c r="O16" s="400"/>
      <c r="P16" s="400"/>
      <c r="Q16" s="577"/>
      <c r="R16" s="577"/>
      <c r="S16" s="577"/>
      <c r="T16" s="634"/>
      <c r="U16" s="634"/>
      <c r="V16" s="634"/>
      <c r="W16" s="634"/>
      <c r="X16" s="634"/>
      <c r="Y16" s="634"/>
      <c r="Z16" s="634"/>
      <c r="AA16" s="634"/>
      <c r="AB16" s="634"/>
      <c r="AC16" s="577"/>
      <c r="AD16" s="577"/>
      <c r="AE16" s="577"/>
      <c r="AF16" s="413"/>
      <c r="AG16" s="414"/>
      <c r="AH16" s="414"/>
      <c r="AI16" s="415"/>
      <c r="AJ16" s="107"/>
      <c r="AK16" s="620" t="str">
        <f t="shared" si="1"/>
        <v/>
      </c>
      <c r="AL16" s="621"/>
      <c r="AM16" s="621"/>
      <c r="AN16" s="621" t="str">
        <f t="shared" si="2"/>
        <v/>
      </c>
      <c r="AO16" s="621"/>
      <c r="AP16" s="621"/>
      <c r="AQ16" s="621" t="str">
        <f t="shared" si="3"/>
        <v/>
      </c>
      <c r="AR16" s="621"/>
      <c r="AS16" s="622"/>
      <c r="AT16" s="107"/>
      <c r="AU16" s="629" t="str">
        <f t="shared" si="0"/>
        <v/>
      </c>
      <c r="AV16" s="630"/>
      <c r="AW16" s="630"/>
      <c r="AX16" s="630"/>
      <c r="AY16" s="630"/>
      <c r="AZ16" s="630"/>
      <c r="BA16" s="630"/>
      <c r="BB16" s="630"/>
      <c r="BC16" s="630"/>
      <c r="BD16" s="631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7"/>
    </row>
    <row r="17" spans="1:73" ht="12" customHeight="1" x14ac:dyDescent="0.2">
      <c r="A17" s="632"/>
      <c r="B17" s="633"/>
      <c r="C17" s="633"/>
      <c r="D17" s="633"/>
      <c r="E17" s="633"/>
      <c r="F17" s="633"/>
      <c r="G17" s="633"/>
      <c r="H17" s="634"/>
      <c r="I17" s="634"/>
      <c r="J17" s="634"/>
      <c r="K17" s="400"/>
      <c r="L17" s="400"/>
      <c r="M17" s="400"/>
      <c r="N17" s="400"/>
      <c r="O17" s="400"/>
      <c r="P17" s="400"/>
      <c r="Q17" s="577"/>
      <c r="R17" s="577"/>
      <c r="S17" s="577"/>
      <c r="T17" s="577"/>
      <c r="U17" s="577"/>
      <c r="V17" s="577"/>
      <c r="W17" s="634"/>
      <c r="X17" s="634"/>
      <c r="Y17" s="634"/>
      <c r="Z17" s="577"/>
      <c r="AA17" s="577"/>
      <c r="AB17" s="577"/>
      <c r="AC17" s="577"/>
      <c r="AD17" s="577"/>
      <c r="AE17" s="577"/>
      <c r="AF17" s="400"/>
      <c r="AG17" s="400"/>
      <c r="AH17" s="400"/>
      <c r="AI17" s="401"/>
      <c r="AJ17" s="107"/>
      <c r="AK17" s="620" t="str">
        <f t="shared" si="1"/>
        <v/>
      </c>
      <c r="AL17" s="621"/>
      <c r="AM17" s="621"/>
      <c r="AN17" s="621" t="str">
        <f t="shared" si="2"/>
        <v/>
      </c>
      <c r="AO17" s="621"/>
      <c r="AP17" s="621"/>
      <c r="AQ17" s="621" t="str">
        <f t="shared" si="3"/>
        <v/>
      </c>
      <c r="AR17" s="621"/>
      <c r="AS17" s="622"/>
      <c r="AT17" s="107"/>
      <c r="AU17" s="629" t="str">
        <f t="shared" si="0"/>
        <v/>
      </c>
      <c r="AV17" s="630"/>
      <c r="AW17" s="630"/>
      <c r="AX17" s="630"/>
      <c r="AY17" s="630"/>
      <c r="AZ17" s="630"/>
      <c r="BA17" s="630"/>
      <c r="BB17" s="630"/>
      <c r="BC17" s="630"/>
      <c r="BD17" s="631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BP17" s="107"/>
      <c r="BQ17" s="107"/>
      <c r="BR17" s="107"/>
      <c r="BS17" s="107"/>
      <c r="BT17" s="107"/>
      <c r="BU17" s="107"/>
    </row>
    <row r="18" spans="1:73" ht="12" customHeight="1" x14ac:dyDescent="0.2">
      <c r="A18" s="632"/>
      <c r="B18" s="633"/>
      <c r="C18" s="633"/>
      <c r="D18" s="633"/>
      <c r="E18" s="633"/>
      <c r="F18" s="633"/>
      <c r="G18" s="633"/>
      <c r="H18" s="577"/>
      <c r="I18" s="577"/>
      <c r="J18" s="577"/>
      <c r="K18" s="400"/>
      <c r="L18" s="400"/>
      <c r="M18" s="400"/>
      <c r="N18" s="400"/>
      <c r="O18" s="400"/>
      <c r="P18" s="400"/>
      <c r="Q18" s="577"/>
      <c r="R18" s="577"/>
      <c r="S18" s="577"/>
      <c r="T18" s="577"/>
      <c r="U18" s="577"/>
      <c r="V18" s="577"/>
      <c r="W18" s="634"/>
      <c r="X18" s="634"/>
      <c r="Y18" s="634"/>
      <c r="Z18" s="577"/>
      <c r="AA18" s="577"/>
      <c r="AB18" s="577"/>
      <c r="AC18" s="577"/>
      <c r="AD18" s="577"/>
      <c r="AE18" s="577"/>
      <c r="AF18" s="400"/>
      <c r="AG18" s="400"/>
      <c r="AH18" s="400"/>
      <c r="AI18" s="401"/>
      <c r="AJ18" s="107"/>
      <c r="AK18" s="620" t="str">
        <f t="shared" si="1"/>
        <v/>
      </c>
      <c r="AL18" s="621"/>
      <c r="AM18" s="621"/>
      <c r="AN18" s="621" t="str">
        <f t="shared" si="2"/>
        <v/>
      </c>
      <c r="AO18" s="621"/>
      <c r="AP18" s="621"/>
      <c r="AQ18" s="621" t="str">
        <f t="shared" si="3"/>
        <v/>
      </c>
      <c r="AR18" s="621"/>
      <c r="AS18" s="622"/>
      <c r="AT18" s="107"/>
      <c r="AU18" s="629" t="str">
        <f t="shared" si="0"/>
        <v/>
      </c>
      <c r="AV18" s="630"/>
      <c r="AW18" s="630"/>
      <c r="AX18" s="630"/>
      <c r="AY18" s="630"/>
      <c r="AZ18" s="630"/>
      <c r="BA18" s="630"/>
      <c r="BB18" s="630"/>
      <c r="BC18" s="630"/>
      <c r="BD18" s="631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/>
      <c r="BP18" s="107"/>
      <c r="BQ18" s="107"/>
      <c r="BR18" s="107"/>
      <c r="BS18" s="107"/>
      <c r="BT18" s="107"/>
      <c r="BU18" s="107"/>
    </row>
    <row r="19" spans="1:73" ht="12" customHeight="1" x14ac:dyDescent="0.2">
      <c r="A19" s="632"/>
      <c r="B19" s="633"/>
      <c r="C19" s="633"/>
      <c r="D19" s="633"/>
      <c r="E19" s="633"/>
      <c r="F19" s="633"/>
      <c r="G19" s="633"/>
      <c r="H19" s="634"/>
      <c r="I19" s="634"/>
      <c r="J19" s="634"/>
      <c r="K19" s="400"/>
      <c r="L19" s="400"/>
      <c r="M19" s="400"/>
      <c r="N19" s="400"/>
      <c r="O19" s="400"/>
      <c r="P19" s="400"/>
      <c r="Q19" s="577"/>
      <c r="R19" s="577"/>
      <c r="S19" s="577"/>
      <c r="T19" s="577"/>
      <c r="U19" s="577"/>
      <c r="V19" s="577"/>
      <c r="W19" s="634"/>
      <c r="X19" s="634"/>
      <c r="Y19" s="634"/>
      <c r="Z19" s="577"/>
      <c r="AA19" s="577"/>
      <c r="AB19" s="577"/>
      <c r="AC19" s="577"/>
      <c r="AD19" s="577"/>
      <c r="AE19" s="577"/>
      <c r="AF19" s="400"/>
      <c r="AG19" s="400"/>
      <c r="AH19" s="400"/>
      <c r="AI19" s="401"/>
      <c r="AJ19" s="107"/>
      <c r="AK19" s="620" t="str">
        <f t="shared" si="1"/>
        <v/>
      </c>
      <c r="AL19" s="621"/>
      <c r="AM19" s="621"/>
      <c r="AN19" s="621" t="str">
        <f t="shared" si="2"/>
        <v/>
      </c>
      <c r="AO19" s="621"/>
      <c r="AP19" s="621"/>
      <c r="AQ19" s="621" t="str">
        <f t="shared" si="3"/>
        <v/>
      </c>
      <c r="AR19" s="621"/>
      <c r="AS19" s="622"/>
      <c r="AT19" s="107"/>
      <c r="AU19" s="629" t="str">
        <f t="shared" si="0"/>
        <v/>
      </c>
      <c r="AV19" s="630"/>
      <c r="AW19" s="630"/>
      <c r="AX19" s="630"/>
      <c r="AY19" s="630"/>
      <c r="AZ19" s="630"/>
      <c r="BA19" s="630"/>
      <c r="BB19" s="630"/>
      <c r="BC19" s="630"/>
      <c r="BD19" s="631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  <c r="BT19" s="107"/>
      <c r="BU19" s="107"/>
    </row>
    <row r="20" spans="1:73" ht="12" customHeight="1" x14ac:dyDescent="0.2">
      <c r="A20" s="632"/>
      <c r="B20" s="633"/>
      <c r="C20" s="633"/>
      <c r="D20" s="633"/>
      <c r="E20" s="633"/>
      <c r="F20" s="633"/>
      <c r="G20" s="633"/>
      <c r="H20" s="577"/>
      <c r="I20" s="577"/>
      <c r="J20" s="577"/>
      <c r="K20" s="400"/>
      <c r="L20" s="400"/>
      <c r="M20" s="400"/>
      <c r="N20" s="400"/>
      <c r="O20" s="400"/>
      <c r="P20" s="400"/>
      <c r="Q20" s="577"/>
      <c r="R20" s="577"/>
      <c r="S20" s="577"/>
      <c r="T20" s="577"/>
      <c r="U20" s="577"/>
      <c r="V20" s="577"/>
      <c r="W20" s="634"/>
      <c r="X20" s="634"/>
      <c r="Y20" s="634"/>
      <c r="Z20" s="577"/>
      <c r="AA20" s="577"/>
      <c r="AB20" s="577"/>
      <c r="AC20" s="577"/>
      <c r="AD20" s="577"/>
      <c r="AE20" s="577"/>
      <c r="AF20" s="400"/>
      <c r="AG20" s="400"/>
      <c r="AH20" s="400"/>
      <c r="AI20" s="401"/>
      <c r="AJ20" s="107"/>
      <c r="AK20" s="620" t="str">
        <f t="shared" si="1"/>
        <v/>
      </c>
      <c r="AL20" s="621"/>
      <c r="AM20" s="621"/>
      <c r="AN20" s="621" t="str">
        <f t="shared" si="2"/>
        <v/>
      </c>
      <c r="AO20" s="621"/>
      <c r="AP20" s="621"/>
      <c r="AQ20" s="621" t="str">
        <f t="shared" si="3"/>
        <v/>
      </c>
      <c r="AR20" s="621"/>
      <c r="AS20" s="622"/>
      <c r="AT20" s="107"/>
      <c r="AU20" s="629" t="str">
        <f t="shared" si="0"/>
        <v/>
      </c>
      <c r="AV20" s="630"/>
      <c r="AW20" s="630"/>
      <c r="AX20" s="630"/>
      <c r="AY20" s="630"/>
      <c r="AZ20" s="630"/>
      <c r="BA20" s="630"/>
      <c r="BB20" s="630"/>
      <c r="BC20" s="630"/>
      <c r="BD20" s="631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  <c r="BT20" s="107"/>
      <c r="BU20" s="107"/>
    </row>
    <row r="21" spans="1:73" ht="12" customHeight="1" x14ac:dyDescent="0.2">
      <c r="A21" s="632"/>
      <c r="B21" s="633"/>
      <c r="C21" s="633"/>
      <c r="D21" s="633"/>
      <c r="E21" s="633"/>
      <c r="F21" s="633"/>
      <c r="G21" s="633"/>
      <c r="H21" s="634"/>
      <c r="I21" s="634"/>
      <c r="J21" s="634"/>
      <c r="K21" s="400"/>
      <c r="L21" s="400"/>
      <c r="M21" s="400"/>
      <c r="N21" s="400"/>
      <c r="O21" s="400"/>
      <c r="P21" s="400"/>
      <c r="Q21" s="577"/>
      <c r="R21" s="577"/>
      <c r="S21" s="577"/>
      <c r="T21" s="577"/>
      <c r="U21" s="577"/>
      <c r="V21" s="577"/>
      <c r="W21" s="634"/>
      <c r="X21" s="634"/>
      <c r="Y21" s="634"/>
      <c r="Z21" s="577"/>
      <c r="AA21" s="577"/>
      <c r="AB21" s="577"/>
      <c r="AC21" s="577"/>
      <c r="AD21" s="577"/>
      <c r="AE21" s="577"/>
      <c r="AF21" s="400"/>
      <c r="AG21" s="400"/>
      <c r="AH21" s="400"/>
      <c r="AI21" s="401"/>
      <c r="AJ21" s="107"/>
      <c r="AK21" s="620" t="str">
        <f t="shared" si="1"/>
        <v/>
      </c>
      <c r="AL21" s="621"/>
      <c r="AM21" s="621"/>
      <c r="AN21" s="621" t="str">
        <f t="shared" si="2"/>
        <v/>
      </c>
      <c r="AO21" s="621"/>
      <c r="AP21" s="621"/>
      <c r="AQ21" s="621" t="str">
        <f t="shared" si="3"/>
        <v/>
      </c>
      <c r="AR21" s="621"/>
      <c r="AS21" s="622"/>
      <c r="AT21" s="107"/>
      <c r="AU21" s="629" t="str">
        <f t="shared" si="0"/>
        <v/>
      </c>
      <c r="AV21" s="630"/>
      <c r="AW21" s="630"/>
      <c r="AX21" s="630"/>
      <c r="AY21" s="630"/>
      <c r="AZ21" s="630"/>
      <c r="BA21" s="630"/>
      <c r="BB21" s="630"/>
      <c r="BC21" s="630"/>
      <c r="BD21" s="631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  <c r="BT21" s="107"/>
      <c r="BU21" s="107"/>
    </row>
    <row r="22" spans="1:73" ht="12" customHeight="1" x14ac:dyDescent="0.2">
      <c r="A22" s="632"/>
      <c r="B22" s="633"/>
      <c r="C22" s="633"/>
      <c r="D22" s="633"/>
      <c r="E22" s="633"/>
      <c r="F22" s="633"/>
      <c r="G22" s="633"/>
      <c r="H22" s="577"/>
      <c r="I22" s="577"/>
      <c r="J22" s="577"/>
      <c r="K22" s="400"/>
      <c r="L22" s="400"/>
      <c r="M22" s="400"/>
      <c r="N22" s="400"/>
      <c r="O22" s="400"/>
      <c r="P22" s="400"/>
      <c r="Q22" s="577"/>
      <c r="R22" s="577"/>
      <c r="S22" s="577"/>
      <c r="T22" s="577"/>
      <c r="U22" s="577"/>
      <c r="V22" s="577"/>
      <c r="W22" s="634"/>
      <c r="X22" s="634"/>
      <c r="Y22" s="634"/>
      <c r="Z22" s="577"/>
      <c r="AA22" s="577"/>
      <c r="AB22" s="577"/>
      <c r="AC22" s="577"/>
      <c r="AD22" s="577"/>
      <c r="AE22" s="577"/>
      <c r="AF22" s="400"/>
      <c r="AG22" s="400"/>
      <c r="AH22" s="400"/>
      <c r="AI22" s="401"/>
      <c r="AJ22" s="107"/>
      <c r="AK22" s="620" t="str">
        <f t="shared" si="1"/>
        <v/>
      </c>
      <c r="AL22" s="621"/>
      <c r="AM22" s="621"/>
      <c r="AN22" s="621" t="str">
        <f t="shared" si="2"/>
        <v/>
      </c>
      <c r="AO22" s="621"/>
      <c r="AP22" s="621"/>
      <c r="AQ22" s="621" t="str">
        <f t="shared" si="3"/>
        <v/>
      </c>
      <c r="AR22" s="621"/>
      <c r="AS22" s="622"/>
      <c r="AT22" s="107"/>
      <c r="AU22" s="629" t="str">
        <f t="shared" si="0"/>
        <v/>
      </c>
      <c r="AV22" s="630"/>
      <c r="AW22" s="630"/>
      <c r="AX22" s="630"/>
      <c r="AY22" s="630"/>
      <c r="AZ22" s="630"/>
      <c r="BA22" s="630"/>
      <c r="BB22" s="630"/>
      <c r="BC22" s="630"/>
      <c r="BD22" s="631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</row>
    <row r="23" spans="1:73" ht="12" customHeight="1" x14ac:dyDescent="0.2">
      <c r="A23" s="632"/>
      <c r="B23" s="633"/>
      <c r="C23" s="633"/>
      <c r="D23" s="633"/>
      <c r="E23" s="633"/>
      <c r="F23" s="633"/>
      <c r="G23" s="633"/>
      <c r="H23" s="634"/>
      <c r="I23" s="634"/>
      <c r="J23" s="634"/>
      <c r="K23" s="400"/>
      <c r="L23" s="400"/>
      <c r="M23" s="400"/>
      <c r="N23" s="400"/>
      <c r="O23" s="400"/>
      <c r="P23" s="400"/>
      <c r="Q23" s="577"/>
      <c r="R23" s="577"/>
      <c r="S23" s="577"/>
      <c r="T23" s="577"/>
      <c r="U23" s="577"/>
      <c r="V23" s="577"/>
      <c r="W23" s="634"/>
      <c r="X23" s="634"/>
      <c r="Y23" s="634"/>
      <c r="Z23" s="577"/>
      <c r="AA23" s="577"/>
      <c r="AB23" s="577"/>
      <c r="AC23" s="577"/>
      <c r="AD23" s="577"/>
      <c r="AE23" s="577"/>
      <c r="AF23" s="400"/>
      <c r="AG23" s="400"/>
      <c r="AH23" s="400"/>
      <c r="AI23" s="401"/>
      <c r="AJ23" s="107"/>
      <c r="AK23" s="620" t="str">
        <f t="shared" si="1"/>
        <v/>
      </c>
      <c r="AL23" s="621"/>
      <c r="AM23" s="621"/>
      <c r="AN23" s="621" t="str">
        <f t="shared" si="2"/>
        <v/>
      </c>
      <c r="AO23" s="621"/>
      <c r="AP23" s="621"/>
      <c r="AQ23" s="621" t="str">
        <f t="shared" si="3"/>
        <v/>
      </c>
      <c r="AR23" s="621"/>
      <c r="AS23" s="622"/>
      <c r="AT23" s="107"/>
      <c r="AU23" s="629" t="str">
        <f t="shared" si="0"/>
        <v/>
      </c>
      <c r="AV23" s="630"/>
      <c r="AW23" s="630"/>
      <c r="AX23" s="630"/>
      <c r="AY23" s="630"/>
      <c r="AZ23" s="630"/>
      <c r="BA23" s="630"/>
      <c r="BB23" s="630"/>
      <c r="BC23" s="630"/>
      <c r="BD23" s="631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  <c r="BT23" s="107"/>
      <c r="BU23" s="107"/>
    </row>
    <row r="24" spans="1:73" ht="12" customHeight="1" x14ac:dyDescent="0.2">
      <c r="A24" s="632"/>
      <c r="B24" s="633"/>
      <c r="C24" s="633"/>
      <c r="D24" s="633"/>
      <c r="E24" s="633"/>
      <c r="F24" s="633"/>
      <c r="G24" s="633"/>
      <c r="H24" s="577"/>
      <c r="I24" s="577"/>
      <c r="J24" s="577"/>
      <c r="K24" s="400"/>
      <c r="L24" s="400"/>
      <c r="M24" s="400"/>
      <c r="N24" s="400"/>
      <c r="O24" s="400"/>
      <c r="P24" s="400"/>
      <c r="Q24" s="577"/>
      <c r="R24" s="577"/>
      <c r="S24" s="577"/>
      <c r="T24" s="577"/>
      <c r="U24" s="577"/>
      <c r="V24" s="577"/>
      <c r="W24" s="634"/>
      <c r="X24" s="634"/>
      <c r="Y24" s="634"/>
      <c r="Z24" s="577"/>
      <c r="AA24" s="577"/>
      <c r="AB24" s="577"/>
      <c r="AC24" s="577"/>
      <c r="AD24" s="577"/>
      <c r="AE24" s="577"/>
      <c r="AF24" s="400"/>
      <c r="AG24" s="400"/>
      <c r="AH24" s="400"/>
      <c r="AI24" s="401"/>
      <c r="AJ24" s="107"/>
      <c r="AK24" s="620" t="str">
        <f t="shared" si="1"/>
        <v/>
      </c>
      <c r="AL24" s="621"/>
      <c r="AM24" s="621"/>
      <c r="AN24" s="621" t="str">
        <f t="shared" si="2"/>
        <v/>
      </c>
      <c r="AO24" s="621"/>
      <c r="AP24" s="621"/>
      <c r="AQ24" s="621" t="str">
        <f t="shared" si="3"/>
        <v/>
      </c>
      <c r="AR24" s="621"/>
      <c r="AS24" s="622"/>
      <c r="AT24" s="107"/>
      <c r="AU24" s="629" t="str">
        <f t="shared" si="0"/>
        <v/>
      </c>
      <c r="AV24" s="630"/>
      <c r="AW24" s="630"/>
      <c r="AX24" s="630"/>
      <c r="AY24" s="630"/>
      <c r="AZ24" s="630"/>
      <c r="BA24" s="630"/>
      <c r="BB24" s="630"/>
      <c r="BC24" s="630"/>
      <c r="BD24" s="631"/>
      <c r="BE24" s="107"/>
      <c r="BF24" s="107"/>
      <c r="BG24" s="107"/>
      <c r="BH24" s="107"/>
      <c r="BI24" s="107"/>
      <c r="BJ24" s="107"/>
      <c r="BK24" s="107"/>
      <c r="BL24" s="107"/>
      <c r="BM24" s="107"/>
      <c r="BN24" s="107"/>
      <c r="BO24" s="107"/>
      <c r="BP24" s="107"/>
      <c r="BQ24" s="107"/>
      <c r="BR24" s="107"/>
      <c r="BS24" s="107"/>
      <c r="BT24" s="107"/>
      <c r="BU24" s="107"/>
    </row>
    <row r="25" spans="1:73" ht="12" customHeight="1" x14ac:dyDescent="0.2">
      <c r="A25" s="632"/>
      <c r="B25" s="633"/>
      <c r="C25" s="633"/>
      <c r="D25" s="633"/>
      <c r="E25" s="633"/>
      <c r="F25" s="633"/>
      <c r="G25" s="633"/>
      <c r="H25" s="634"/>
      <c r="I25" s="634"/>
      <c r="J25" s="634"/>
      <c r="K25" s="400"/>
      <c r="L25" s="400"/>
      <c r="M25" s="400"/>
      <c r="N25" s="400"/>
      <c r="O25" s="400"/>
      <c r="P25" s="400"/>
      <c r="Q25" s="577"/>
      <c r="R25" s="577"/>
      <c r="S25" s="577"/>
      <c r="T25" s="577"/>
      <c r="U25" s="577"/>
      <c r="V25" s="577"/>
      <c r="W25" s="634"/>
      <c r="X25" s="634"/>
      <c r="Y25" s="634"/>
      <c r="Z25" s="577"/>
      <c r="AA25" s="577"/>
      <c r="AB25" s="577"/>
      <c r="AC25" s="577"/>
      <c r="AD25" s="577"/>
      <c r="AE25" s="577"/>
      <c r="AF25" s="400"/>
      <c r="AG25" s="400"/>
      <c r="AH25" s="400"/>
      <c r="AI25" s="401"/>
      <c r="AJ25" s="107"/>
      <c r="AK25" s="620" t="str">
        <f t="shared" si="1"/>
        <v/>
      </c>
      <c r="AL25" s="621"/>
      <c r="AM25" s="621"/>
      <c r="AN25" s="621" t="str">
        <f t="shared" si="2"/>
        <v/>
      </c>
      <c r="AO25" s="621"/>
      <c r="AP25" s="621"/>
      <c r="AQ25" s="621" t="str">
        <f t="shared" si="3"/>
        <v/>
      </c>
      <c r="AR25" s="621"/>
      <c r="AS25" s="622"/>
      <c r="AT25" s="107"/>
      <c r="AU25" s="629" t="str">
        <f t="shared" si="0"/>
        <v/>
      </c>
      <c r="AV25" s="630"/>
      <c r="AW25" s="630"/>
      <c r="AX25" s="630"/>
      <c r="AY25" s="630"/>
      <c r="AZ25" s="630"/>
      <c r="BA25" s="630"/>
      <c r="BB25" s="630"/>
      <c r="BC25" s="630"/>
      <c r="BD25" s="631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</row>
    <row r="26" spans="1:73" ht="12" customHeight="1" x14ac:dyDescent="0.2">
      <c r="A26" s="632"/>
      <c r="B26" s="633"/>
      <c r="C26" s="633"/>
      <c r="D26" s="633"/>
      <c r="E26" s="633"/>
      <c r="F26" s="633"/>
      <c r="G26" s="633"/>
      <c r="H26" s="577"/>
      <c r="I26" s="577"/>
      <c r="J26" s="577"/>
      <c r="K26" s="400"/>
      <c r="L26" s="400"/>
      <c r="M26" s="400"/>
      <c r="N26" s="400"/>
      <c r="O26" s="400"/>
      <c r="P26" s="400"/>
      <c r="Q26" s="577"/>
      <c r="R26" s="577"/>
      <c r="S26" s="577"/>
      <c r="T26" s="577"/>
      <c r="U26" s="577"/>
      <c r="V26" s="577"/>
      <c r="W26" s="634"/>
      <c r="X26" s="634"/>
      <c r="Y26" s="634"/>
      <c r="Z26" s="577"/>
      <c r="AA26" s="577"/>
      <c r="AB26" s="577"/>
      <c r="AC26" s="577"/>
      <c r="AD26" s="577"/>
      <c r="AE26" s="577"/>
      <c r="AF26" s="400"/>
      <c r="AG26" s="400"/>
      <c r="AH26" s="400"/>
      <c r="AI26" s="401"/>
      <c r="AJ26" s="107"/>
      <c r="AK26" s="620" t="str">
        <f t="shared" si="1"/>
        <v/>
      </c>
      <c r="AL26" s="621"/>
      <c r="AM26" s="621"/>
      <c r="AN26" s="621" t="str">
        <f t="shared" si="2"/>
        <v/>
      </c>
      <c r="AO26" s="621"/>
      <c r="AP26" s="621"/>
      <c r="AQ26" s="621" t="str">
        <f t="shared" si="3"/>
        <v/>
      </c>
      <c r="AR26" s="621"/>
      <c r="AS26" s="622"/>
      <c r="AT26" s="107"/>
      <c r="AU26" s="629" t="str">
        <f t="shared" si="0"/>
        <v/>
      </c>
      <c r="AV26" s="630"/>
      <c r="AW26" s="630"/>
      <c r="AX26" s="630"/>
      <c r="AY26" s="630"/>
      <c r="AZ26" s="630"/>
      <c r="BA26" s="630"/>
      <c r="BB26" s="630"/>
      <c r="BC26" s="630"/>
      <c r="BD26" s="631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</row>
    <row r="27" spans="1:73" ht="12" customHeight="1" x14ac:dyDescent="0.2">
      <c r="A27" s="632"/>
      <c r="B27" s="633"/>
      <c r="C27" s="633"/>
      <c r="D27" s="633"/>
      <c r="E27" s="633"/>
      <c r="F27" s="633"/>
      <c r="G27" s="633"/>
      <c r="H27" s="634"/>
      <c r="I27" s="634"/>
      <c r="J27" s="634"/>
      <c r="K27" s="400"/>
      <c r="L27" s="400"/>
      <c r="M27" s="400"/>
      <c r="N27" s="400"/>
      <c r="O27" s="400"/>
      <c r="P27" s="400"/>
      <c r="Q27" s="577"/>
      <c r="R27" s="577"/>
      <c r="S27" s="577"/>
      <c r="T27" s="577"/>
      <c r="U27" s="577"/>
      <c r="V27" s="577"/>
      <c r="W27" s="634"/>
      <c r="X27" s="634"/>
      <c r="Y27" s="634"/>
      <c r="Z27" s="577"/>
      <c r="AA27" s="577"/>
      <c r="AB27" s="577"/>
      <c r="AC27" s="577"/>
      <c r="AD27" s="577"/>
      <c r="AE27" s="577"/>
      <c r="AF27" s="400"/>
      <c r="AG27" s="400"/>
      <c r="AH27" s="400"/>
      <c r="AI27" s="401"/>
      <c r="AJ27" s="107"/>
      <c r="AK27" s="620" t="str">
        <f t="shared" si="1"/>
        <v/>
      </c>
      <c r="AL27" s="621"/>
      <c r="AM27" s="621"/>
      <c r="AN27" s="621" t="str">
        <f t="shared" si="2"/>
        <v/>
      </c>
      <c r="AO27" s="621"/>
      <c r="AP27" s="621"/>
      <c r="AQ27" s="621" t="str">
        <f t="shared" si="3"/>
        <v/>
      </c>
      <c r="AR27" s="621"/>
      <c r="AS27" s="622"/>
      <c r="AT27" s="107"/>
      <c r="AU27" s="629" t="str">
        <f t="shared" si="0"/>
        <v/>
      </c>
      <c r="AV27" s="630"/>
      <c r="AW27" s="630"/>
      <c r="AX27" s="630"/>
      <c r="AY27" s="630"/>
      <c r="AZ27" s="630"/>
      <c r="BA27" s="630"/>
      <c r="BB27" s="630"/>
      <c r="BC27" s="630"/>
      <c r="BD27" s="631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</row>
    <row r="28" spans="1:73" ht="12" customHeight="1" x14ac:dyDescent="0.2">
      <c r="A28" s="632"/>
      <c r="B28" s="633"/>
      <c r="C28" s="633"/>
      <c r="D28" s="633"/>
      <c r="E28" s="633"/>
      <c r="F28" s="633"/>
      <c r="G28" s="633"/>
      <c r="H28" s="577"/>
      <c r="I28" s="577"/>
      <c r="J28" s="577"/>
      <c r="K28" s="400"/>
      <c r="L28" s="400"/>
      <c r="M28" s="400"/>
      <c r="N28" s="400"/>
      <c r="O28" s="400"/>
      <c r="P28" s="400"/>
      <c r="Q28" s="577"/>
      <c r="R28" s="577"/>
      <c r="S28" s="577"/>
      <c r="T28" s="577"/>
      <c r="U28" s="577"/>
      <c r="V28" s="577"/>
      <c r="W28" s="634"/>
      <c r="X28" s="634"/>
      <c r="Y28" s="634"/>
      <c r="Z28" s="577"/>
      <c r="AA28" s="577"/>
      <c r="AB28" s="577"/>
      <c r="AC28" s="577"/>
      <c r="AD28" s="577"/>
      <c r="AE28" s="577"/>
      <c r="AF28" s="400"/>
      <c r="AG28" s="400"/>
      <c r="AH28" s="400"/>
      <c r="AI28" s="401"/>
      <c r="AJ28" s="107"/>
      <c r="AK28" s="620" t="str">
        <f t="shared" si="1"/>
        <v/>
      </c>
      <c r="AL28" s="621"/>
      <c r="AM28" s="621"/>
      <c r="AN28" s="621" t="str">
        <f t="shared" si="2"/>
        <v/>
      </c>
      <c r="AO28" s="621"/>
      <c r="AP28" s="621"/>
      <c r="AQ28" s="621" t="str">
        <f t="shared" si="3"/>
        <v/>
      </c>
      <c r="AR28" s="621"/>
      <c r="AS28" s="622"/>
      <c r="AT28" s="107"/>
      <c r="AU28" s="629" t="str">
        <f t="shared" si="0"/>
        <v/>
      </c>
      <c r="AV28" s="630"/>
      <c r="AW28" s="630"/>
      <c r="AX28" s="630"/>
      <c r="AY28" s="630"/>
      <c r="AZ28" s="630"/>
      <c r="BA28" s="630"/>
      <c r="BB28" s="630"/>
      <c r="BC28" s="630"/>
      <c r="BD28" s="631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</row>
    <row r="29" spans="1:73" ht="12" customHeight="1" x14ac:dyDescent="0.2">
      <c r="A29" s="632"/>
      <c r="B29" s="633"/>
      <c r="C29" s="633"/>
      <c r="D29" s="633"/>
      <c r="E29" s="633"/>
      <c r="F29" s="633"/>
      <c r="G29" s="633"/>
      <c r="H29" s="634"/>
      <c r="I29" s="634"/>
      <c r="J29" s="634"/>
      <c r="K29" s="400"/>
      <c r="L29" s="400"/>
      <c r="M29" s="400"/>
      <c r="N29" s="400"/>
      <c r="O29" s="400"/>
      <c r="P29" s="400"/>
      <c r="Q29" s="577"/>
      <c r="R29" s="577"/>
      <c r="S29" s="577"/>
      <c r="T29" s="577"/>
      <c r="U29" s="577"/>
      <c r="V29" s="577"/>
      <c r="W29" s="634"/>
      <c r="X29" s="634"/>
      <c r="Y29" s="634"/>
      <c r="Z29" s="577"/>
      <c r="AA29" s="577"/>
      <c r="AB29" s="577"/>
      <c r="AC29" s="577"/>
      <c r="AD29" s="577"/>
      <c r="AE29" s="577"/>
      <c r="AF29" s="400"/>
      <c r="AG29" s="400"/>
      <c r="AH29" s="400"/>
      <c r="AI29" s="401"/>
      <c r="AJ29" s="107"/>
      <c r="AK29" s="620" t="str">
        <f t="shared" si="1"/>
        <v/>
      </c>
      <c r="AL29" s="621"/>
      <c r="AM29" s="621"/>
      <c r="AN29" s="621" t="str">
        <f t="shared" si="2"/>
        <v/>
      </c>
      <c r="AO29" s="621"/>
      <c r="AP29" s="621"/>
      <c r="AQ29" s="621" t="str">
        <f t="shared" si="3"/>
        <v/>
      </c>
      <c r="AR29" s="621"/>
      <c r="AS29" s="622"/>
      <c r="AT29" s="107"/>
      <c r="AU29" s="629" t="str">
        <f t="shared" si="0"/>
        <v/>
      </c>
      <c r="AV29" s="630"/>
      <c r="AW29" s="630"/>
      <c r="AX29" s="630"/>
      <c r="AY29" s="630"/>
      <c r="AZ29" s="630"/>
      <c r="BA29" s="630"/>
      <c r="BB29" s="630"/>
      <c r="BC29" s="630"/>
      <c r="BD29" s="631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</row>
    <row r="30" spans="1:73" ht="12" customHeight="1" x14ac:dyDescent="0.2">
      <c r="A30" s="632"/>
      <c r="B30" s="633"/>
      <c r="C30" s="633"/>
      <c r="D30" s="633"/>
      <c r="E30" s="633"/>
      <c r="F30" s="633"/>
      <c r="G30" s="633"/>
      <c r="H30" s="577"/>
      <c r="I30" s="577"/>
      <c r="J30" s="577"/>
      <c r="K30" s="400"/>
      <c r="L30" s="400"/>
      <c r="M30" s="400"/>
      <c r="N30" s="400"/>
      <c r="O30" s="400"/>
      <c r="P30" s="400"/>
      <c r="Q30" s="577"/>
      <c r="R30" s="577"/>
      <c r="S30" s="577"/>
      <c r="T30" s="577"/>
      <c r="U30" s="577"/>
      <c r="V30" s="577"/>
      <c r="W30" s="634"/>
      <c r="X30" s="634"/>
      <c r="Y30" s="634"/>
      <c r="Z30" s="577"/>
      <c r="AA30" s="577"/>
      <c r="AB30" s="577"/>
      <c r="AC30" s="577"/>
      <c r="AD30" s="577"/>
      <c r="AE30" s="577"/>
      <c r="AF30" s="400"/>
      <c r="AG30" s="400"/>
      <c r="AH30" s="400"/>
      <c r="AI30" s="401"/>
      <c r="AJ30" s="107"/>
      <c r="AK30" s="620" t="str">
        <f t="shared" si="1"/>
        <v/>
      </c>
      <c r="AL30" s="621"/>
      <c r="AM30" s="621"/>
      <c r="AN30" s="621" t="str">
        <f t="shared" si="2"/>
        <v/>
      </c>
      <c r="AO30" s="621"/>
      <c r="AP30" s="621"/>
      <c r="AQ30" s="621" t="str">
        <f t="shared" si="3"/>
        <v/>
      </c>
      <c r="AR30" s="621"/>
      <c r="AS30" s="622"/>
      <c r="AT30" s="107"/>
      <c r="AU30" s="629" t="str">
        <f t="shared" si="0"/>
        <v/>
      </c>
      <c r="AV30" s="630"/>
      <c r="AW30" s="630"/>
      <c r="AX30" s="630"/>
      <c r="AY30" s="630"/>
      <c r="AZ30" s="630"/>
      <c r="BA30" s="630"/>
      <c r="BB30" s="630"/>
      <c r="BC30" s="630"/>
      <c r="BD30" s="631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</row>
    <row r="31" spans="1:73" ht="12" customHeight="1" x14ac:dyDescent="0.2">
      <c r="A31" s="632"/>
      <c r="B31" s="633"/>
      <c r="C31" s="633"/>
      <c r="D31" s="633"/>
      <c r="E31" s="633"/>
      <c r="F31" s="633"/>
      <c r="G31" s="633"/>
      <c r="H31" s="634"/>
      <c r="I31" s="634"/>
      <c r="J31" s="634"/>
      <c r="K31" s="400"/>
      <c r="L31" s="400"/>
      <c r="M31" s="400"/>
      <c r="N31" s="400"/>
      <c r="O31" s="400"/>
      <c r="P31" s="400"/>
      <c r="Q31" s="577"/>
      <c r="R31" s="577"/>
      <c r="S31" s="577"/>
      <c r="T31" s="577"/>
      <c r="U31" s="577"/>
      <c r="V31" s="577"/>
      <c r="W31" s="634"/>
      <c r="X31" s="634"/>
      <c r="Y31" s="634"/>
      <c r="Z31" s="577"/>
      <c r="AA31" s="577"/>
      <c r="AB31" s="577"/>
      <c r="AC31" s="577"/>
      <c r="AD31" s="577"/>
      <c r="AE31" s="577"/>
      <c r="AF31" s="400"/>
      <c r="AG31" s="400"/>
      <c r="AH31" s="400"/>
      <c r="AI31" s="401"/>
      <c r="AJ31" s="107"/>
      <c r="AK31" s="620" t="str">
        <f t="shared" si="1"/>
        <v/>
      </c>
      <c r="AL31" s="621"/>
      <c r="AM31" s="621"/>
      <c r="AN31" s="621" t="str">
        <f t="shared" si="2"/>
        <v/>
      </c>
      <c r="AO31" s="621"/>
      <c r="AP31" s="621"/>
      <c r="AQ31" s="621" t="str">
        <f t="shared" si="3"/>
        <v/>
      </c>
      <c r="AR31" s="621"/>
      <c r="AS31" s="622"/>
      <c r="AT31" s="107"/>
      <c r="AU31" s="629" t="str">
        <f t="shared" si="0"/>
        <v/>
      </c>
      <c r="AV31" s="630"/>
      <c r="AW31" s="630"/>
      <c r="AX31" s="630"/>
      <c r="AY31" s="630"/>
      <c r="AZ31" s="630"/>
      <c r="BA31" s="630"/>
      <c r="BB31" s="630"/>
      <c r="BC31" s="630"/>
      <c r="BD31" s="631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</row>
    <row r="32" spans="1:73" ht="12" customHeight="1" x14ac:dyDescent="0.2">
      <c r="A32" s="632"/>
      <c r="B32" s="633"/>
      <c r="C32" s="633"/>
      <c r="D32" s="633"/>
      <c r="E32" s="633"/>
      <c r="F32" s="633"/>
      <c r="G32" s="633"/>
      <c r="H32" s="577"/>
      <c r="I32" s="577"/>
      <c r="J32" s="577"/>
      <c r="K32" s="400"/>
      <c r="L32" s="400"/>
      <c r="M32" s="400"/>
      <c r="N32" s="400"/>
      <c r="O32" s="400"/>
      <c r="P32" s="400"/>
      <c r="Q32" s="577"/>
      <c r="R32" s="577"/>
      <c r="S32" s="577"/>
      <c r="T32" s="577"/>
      <c r="U32" s="577"/>
      <c r="V32" s="577"/>
      <c r="W32" s="634"/>
      <c r="X32" s="634"/>
      <c r="Y32" s="634"/>
      <c r="Z32" s="577"/>
      <c r="AA32" s="577"/>
      <c r="AB32" s="577"/>
      <c r="AC32" s="577"/>
      <c r="AD32" s="577"/>
      <c r="AE32" s="577"/>
      <c r="AF32" s="400"/>
      <c r="AG32" s="400"/>
      <c r="AH32" s="400"/>
      <c r="AI32" s="401"/>
      <c r="AJ32" s="107"/>
      <c r="AK32" s="620" t="str">
        <f t="shared" si="1"/>
        <v/>
      </c>
      <c r="AL32" s="621"/>
      <c r="AM32" s="621"/>
      <c r="AN32" s="621" t="str">
        <f t="shared" si="2"/>
        <v/>
      </c>
      <c r="AO32" s="621"/>
      <c r="AP32" s="621"/>
      <c r="AQ32" s="621" t="str">
        <f t="shared" si="3"/>
        <v/>
      </c>
      <c r="AR32" s="621"/>
      <c r="AS32" s="622"/>
      <c r="AT32" s="107"/>
      <c r="AU32" s="629" t="str">
        <f t="shared" si="0"/>
        <v/>
      </c>
      <c r="AV32" s="630"/>
      <c r="AW32" s="630"/>
      <c r="AX32" s="630"/>
      <c r="AY32" s="630"/>
      <c r="AZ32" s="630"/>
      <c r="BA32" s="630"/>
      <c r="BB32" s="630"/>
      <c r="BC32" s="630"/>
      <c r="BD32" s="631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</row>
    <row r="33" spans="1:73" ht="12" customHeight="1" x14ac:dyDescent="0.2">
      <c r="A33" s="632"/>
      <c r="B33" s="633"/>
      <c r="C33" s="633"/>
      <c r="D33" s="633"/>
      <c r="E33" s="633"/>
      <c r="F33" s="633"/>
      <c r="G33" s="633"/>
      <c r="H33" s="634"/>
      <c r="I33" s="634"/>
      <c r="J33" s="634"/>
      <c r="K33" s="400"/>
      <c r="L33" s="400"/>
      <c r="M33" s="400"/>
      <c r="N33" s="400"/>
      <c r="O33" s="400"/>
      <c r="P33" s="400"/>
      <c r="Q33" s="577"/>
      <c r="R33" s="577"/>
      <c r="S33" s="577"/>
      <c r="T33" s="577"/>
      <c r="U33" s="577"/>
      <c r="V33" s="577"/>
      <c r="W33" s="577"/>
      <c r="X33" s="577"/>
      <c r="Y33" s="577"/>
      <c r="Z33" s="577"/>
      <c r="AA33" s="577"/>
      <c r="AB33" s="577"/>
      <c r="AC33" s="577"/>
      <c r="AD33" s="577"/>
      <c r="AE33" s="577"/>
      <c r="AF33" s="400"/>
      <c r="AG33" s="400"/>
      <c r="AH33" s="400"/>
      <c r="AI33" s="401"/>
      <c r="AJ33" s="107"/>
      <c r="AK33" s="620" t="str">
        <f t="shared" si="1"/>
        <v/>
      </c>
      <c r="AL33" s="621"/>
      <c r="AM33" s="621"/>
      <c r="AN33" s="621" t="str">
        <f t="shared" si="2"/>
        <v/>
      </c>
      <c r="AO33" s="621"/>
      <c r="AP33" s="621"/>
      <c r="AQ33" s="621" t="str">
        <f t="shared" si="3"/>
        <v/>
      </c>
      <c r="AR33" s="621"/>
      <c r="AS33" s="622"/>
      <c r="AT33" s="107"/>
      <c r="AU33" s="629" t="str">
        <f t="shared" si="0"/>
        <v/>
      </c>
      <c r="AV33" s="630"/>
      <c r="AW33" s="630"/>
      <c r="AX33" s="630"/>
      <c r="AY33" s="630"/>
      <c r="AZ33" s="630"/>
      <c r="BA33" s="630"/>
      <c r="BB33" s="630"/>
      <c r="BC33" s="630"/>
      <c r="BD33" s="631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</row>
    <row r="34" spans="1:73" ht="12" customHeight="1" x14ac:dyDescent="0.2">
      <c r="A34" s="632"/>
      <c r="B34" s="633"/>
      <c r="C34" s="633"/>
      <c r="D34" s="633"/>
      <c r="E34" s="633"/>
      <c r="F34" s="633"/>
      <c r="G34" s="633"/>
      <c r="H34" s="577"/>
      <c r="I34" s="577"/>
      <c r="J34" s="577"/>
      <c r="K34" s="400"/>
      <c r="L34" s="400"/>
      <c r="M34" s="400"/>
      <c r="N34" s="400"/>
      <c r="O34" s="400"/>
      <c r="P34" s="400"/>
      <c r="Q34" s="577"/>
      <c r="R34" s="577"/>
      <c r="S34" s="577"/>
      <c r="T34" s="577"/>
      <c r="U34" s="577"/>
      <c r="V34" s="577"/>
      <c r="W34" s="577"/>
      <c r="X34" s="577"/>
      <c r="Y34" s="577"/>
      <c r="Z34" s="577"/>
      <c r="AA34" s="577"/>
      <c r="AB34" s="577"/>
      <c r="AC34" s="577"/>
      <c r="AD34" s="577"/>
      <c r="AE34" s="577"/>
      <c r="AF34" s="400"/>
      <c r="AG34" s="400"/>
      <c r="AH34" s="400"/>
      <c r="AI34" s="401"/>
      <c r="AJ34" s="107"/>
      <c r="AK34" s="620" t="str">
        <f t="shared" si="1"/>
        <v/>
      </c>
      <c r="AL34" s="621"/>
      <c r="AM34" s="621"/>
      <c r="AN34" s="621" t="str">
        <f t="shared" si="2"/>
        <v/>
      </c>
      <c r="AO34" s="621"/>
      <c r="AP34" s="621"/>
      <c r="AQ34" s="621" t="str">
        <f t="shared" si="3"/>
        <v/>
      </c>
      <c r="AR34" s="621"/>
      <c r="AS34" s="622"/>
      <c r="AT34" s="107"/>
      <c r="AU34" s="629" t="str">
        <f t="shared" si="0"/>
        <v/>
      </c>
      <c r="AV34" s="630"/>
      <c r="AW34" s="630"/>
      <c r="AX34" s="630"/>
      <c r="AY34" s="630"/>
      <c r="AZ34" s="630"/>
      <c r="BA34" s="630"/>
      <c r="BB34" s="630"/>
      <c r="BC34" s="630"/>
      <c r="BD34" s="631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</row>
    <row r="35" spans="1:73" ht="12" customHeight="1" x14ac:dyDescent="0.2">
      <c r="A35" s="632"/>
      <c r="B35" s="633"/>
      <c r="C35" s="633"/>
      <c r="D35" s="633"/>
      <c r="E35" s="633"/>
      <c r="F35" s="633"/>
      <c r="G35" s="633"/>
      <c r="H35" s="634"/>
      <c r="I35" s="634"/>
      <c r="J35" s="634"/>
      <c r="K35" s="400"/>
      <c r="L35" s="400"/>
      <c r="M35" s="400"/>
      <c r="N35" s="400"/>
      <c r="O35" s="400"/>
      <c r="P35" s="400"/>
      <c r="Q35" s="577"/>
      <c r="R35" s="577"/>
      <c r="S35" s="577"/>
      <c r="T35" s="577"/>
      <c r="U35" s="577"/>
      <c r="V35" s="577"/>
      <c r="W35" s="577"/>
      <c r="X35" s="577"/>
      <c r="Y35" s="577"/>
      <c r="Z35" s="577"/>
      <c r="AA35" s="577"/>
      <c r="AB35" s="577"/>
      <c r="AC35" s="577"/>
      <c r="AD35" s="577"/>
      <c r="AE35" s="577"/>
      <c r="AF35" s="400"/>
      <c r="AG35" s="400"/>
      <c r="AH35" s="400"/>
      <c r="AI35" s="401"/>
      <c r="AJ35" s="107"/>
      <c r="AK35" s="620" t="str">
        <f t="shared" si="1"/>
        <v/>
      </c>
      <c r="AL35" s="621"/>
      <c r="AM35" s="621"/>
      <c r="AN35" s="621" t="str">
        <f t="shared" si="2"/>
        <v/>
      </c>
      <c r="AO35" s="621"/>
      <c r="AP35" s="621"/>
      <c r="AQ35" s="621" t="str">
        <f t="shared" si="3"/>
        <v/>
      </c>
      <c r="AR35" s="621"/>
      <c r="AS35" s="622"/>
      <c r="AT35" s="107"/>
      <c r="AU35" s="629" t="str">
        <f t="shared" si="0"/>
        <v/>
      </c>
      <c r="AV35" s="630"/>
      <c r="AW35" s="630"/>
      <c r="AX35" s="630"/>
      <c r="AY35" s="630"/>
      <c r="AZ35" s="630"/>
      <c r="BA35" s="630"/>
      <c r="BB35" s="630"/>
      <c r="BC35" s="630"/>
      <c r="BD35" s="631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</row>
    <row r="36" spans="1:73" ht="12" customHeight="1" x14ac:dyDescent="0.2">
      <c r="A36" s="632"/>
      <c r="B36" s="633"/>
      <c r="C36" s="633"/>
      <c r="D36" s="633"/>
      <c r="E36" s="633"/>
      <c r="F36" s="633"/>
      <c r="G36" s="633"/>
      <c r="H36" s="577"/>
      <c r="I36" s="577"/>
      <c r="J36" s="577"/>
      <c r="K36" s="400"/>
      <c r="L36" s="400"/>
      <c r="M36" s="400"/>
      <c r="N36" s="400"/>
      <c r="O36" s="400"/>
      <c r="P36" s="400"/>
      <c r="Q36" s="577"/>
      <c r="R36" s="577"/>
      <c r="S36" s="577"/>
      <c r="T36" s="577"/>
      <c r="U36" s="577"/>
      <c r="V36" s="577"/>
      <c r="W36" s="577"/>
      <c r="X36" s="577"/>
      <c r="Y36" s="577"/>
      <c r="Z36" s="577"/>
      <c r="AA36" s="577"/>
      <c r="AB36" s="577"/>
      <c r="AC36" s="577"/>
      <c r="AD36" s="577"/>
      <c r="AE36" s="577"/>
      <c r="AF36" s="400"/>
      <c r="AG36" s="400"/>
      <c r="AH36" s="400"/>
      <c r="AI36" s="401"/>
      <c r="AJ36" s="107"/>
      <c r="AK36" s="620" t="str">
        <f t="shared" si="1"/>
        <v/>
      </c>
      <c r="AL36" s="621"/>
      <c r="AM36" s="621"/>
      <c r="AN36" s="621" t="str">
        <f t="shared" si="2"/>
        <v/>
      </c>
      <c r="AO36" s="621"/>
      <c r="AP36" s="621"/>
      <c r="AQ36" s="621" t="str">
        <f t="shared" si="3"/>
        <v/>
      </c>
      <c r="AR36" s="621"/>
      <c r="AS36" s="622"/>
      <c r="AT36" s="107"/>
      <c r="AU36" s="629" t="str">
        <f t="shared" si="0"/>
        <v/>
      </c>
      <c r="AV36" s="630"/>
      <c r="AW36" s="630"/>
      <c r="AX36" s="630"/>
      <c r="AY36" s="630"/>
      <c r="AZ36" s="630"/>
      <c r="BA36" s="630"/>
      <c r="BB36" s="630"/>
      <c r="BC36" s="630"/>
      <c r="BD36" s="631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</row>
    <row r="37" spans="1:73" ht="12" customHeight="1" x14ac:dyDescent="0.2">
      <c r="A37" s="632"/>
      <c r="B37" s="633"/>
      <c r="C37" s="633"/>
      <c r="D37" s="633"/>
      <c r="E37" s="633"/>
      <c r="F37" s="633"/>
      <c r="G37" s="633"/>
      <c r="H37" s="634"/>
      <c r="I37" s="634"/>
      <c r="J37" s="634"/>
      <c r="K37" s="400"/>
      <c r="L37" s="400"/>
      <c r="M37" s="400"/>
      <c r="N37" s="400"/>
      <c r="O37" s="400"/>
      <c r="P37" s="400"/>
      <c r="Q37" s="577"/>
      <c r="R37" s="577"/>
      <c r="S37" s="577"/>
      <c r="T37" s="577"/>
      <c r="U37" s="577"/>
      <c r="V37" s="577"/>
      <c r="W37" s="577"/>
      <c r="X37" s="577"/>
      <c r="Y37" s="577"/>
      <c r="Z37" s="577"/>
      <c r="AA37" s="577"/>
      <c r="AB37" s="577"/>
      <c r="AC37" s="577"/>
      <c r="AD37" s="577"/>
      <c r="AE37" s="577"/>
      <c r="AF37" s="400"/>
      <c r="AG37" s="400"/>
      <c r="AH37" s="400"/>
      <c r="AI37" s="401"/>
      <c r="AJ37" s="107"/>
      <c r="AK37" s="620" t="str">
        <f t="shared" si="1"/>
        <v/>
      </c>
      <c r="AL37" s="621"/>
      <c r="AM37" s="621"/>
      <c r="AN37" s="621" t="str">
        <f t="shared" si="2"/>
        <v/>
      </c>
      <c r="AO37" s="621"/>
      <c r="AP37" s="621"/>
      <c r="AQ37" s="621" t="str">
        <f t="shared" si="3"/>
        <v/>
      </c>
      <c r="AR37" s="621"/>
      <c r="AS37" s="622"/>
      <c r="AT37" s="107"/>
      <c r="AU37" s="629" t="str">
        <f t="shared" si="0"/>
        <v/>
      </c>
      <c r="AV37" s="630"/>
      <c r="AW37" s="630"/>
      <c r="AX37" s="630"/>
      <c r="AY37" s="630"/>
      <c r="AZ37" s="630"/>
      <c r="BA37" s="630"/>
      <c r="BB37" s="630"/>
      <c r="BC37" s="630"/>
      <c r="BD37" s="631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</row>
    <row r="38" spans="1:73" ht="12" customHeight="1" x14ac:dyDescent="0.2">
      <c r="A38" s="632"/>
      <c r="B38" s="633"/>
      <c r="C38" s="633"/>
      <c r="D38" s="633"/>
      <c r="E38" s="633"/>
      <c r="F38" s="633"/>
      <c r="G38" s="633"/>
      <c r="H38" s="577"/>
      <c r="I38" s="577"/>
      <c r="J38" s="577"/>
      <c r="K38" s="400"/>
      <c r="L38" s="400"/>
      <c r="M38" s="400"/>
      <c r="N38" s="400"/>
      <c r="O38" s="400"/>
      <c r="P38" s="400"/>
      <c r="Q38" s="577"/>
      <c r="R38" s="577"/>
      <c r="S38" s="577"/>
      <c r="T38" s="577"/>
      <c r="U38" s="577"/>
      <c r="V38" s="577"/>
      <c r="W38" s="577"/>
      <c r="X38" s="577"/>
      <c r="Y38" s="577"/>
      <c r="Z38" s="577"/>
      <c r="AA38" s="577"/>
      <c r="AB38" s="577"/>
      <c r="AC38" s="577"/>
      <c r="AD38" s="577"/>
      <c r="AE38" s="577"/>
      <c r="AF38" s="400"/>
      <c r="AG38" s="400"/>
      <c r="AH38" s="400"/>
      <c r="AI38" s="401"/>
      <c r="AJ38" s="107"/>
      <c r="AK38" s="620" t="str">
        <f t="shared" si="1"/>
        <v/>
      </c>
      <c r="AL38" s="621"/>
      <c r="AM38" s="621"/>
      <c r="AN38" s="621" t="str">
        <f t="shared" si="2"/>
        <v/>
      </c>
      <c r="AO38" s="621"/>
      <c r="AP38" s="621"/>
      <c r="AQ38" s="621" t="str">
        <f t="shared" si="3"/>
        <v/>
      </c>
      <c r="AR38" s="621"/>
      <c r="AS38" s="622"/>
      <c r="AT38" s="107"/>
      <c r="AU38" s="629" t="str">
        <f t="shared" si="0"/>
        <v/>
      </c>
      <c r="AV38" s="630"/>
      <c r="AW38" s="630"/>
      <c r="AX38" s="630"/>
      <c r="AY38" s="630"/>
      <c r="AZ38" s="630"/>
      <c r="BA38" s="630"/>
      <c r="BB38" s="630"/>
      <c r="BC38" s="630"/>
      <c r="BD38" s="631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</row>
    <row r="39" spans="1:73" ht="12" customHeight="1" x14ac:dyDescent="0.2">
      <c r="A39" s="632"/>
      <c r="B39" s="633"/>
      <c r="C39" s="633"/>
      <c r="D39" s="633"/>
      <c r="E39" s="633"/>
      <c r="F39" s="633"/>
      <c r="G39" s="633"/>
      <c r="H39" s="634"/>
      <c r="I39" s="634"/>
      <c r="J39" s="634"/>
      <c r="K39" s="400"/>
      <c r="L39" s="400"/>
      <c r="M39" s="400"/>
      <c r="N39" s="400"/>
      <c r="O39" s="400"/>
      <c r="P39" s="400"/>
      <c r="Q39" s="577"/>
      <c r="R39" s="577"/>
      <c r="S39" s="577"/>
      <c r="T39" s="577"/>
      <c r="U39" s="577"/>
      <c r="V39" s="577"/>
      <c r="W39" s="577"/>
      <c r="X39" s="577"/>
      <c r="Y39" s="577"/>
      <c r="Z39" s="577"/>
      <c r="AA39" s="577"/>
      <c r="AB39" s="577"/>
      <c r="AC39" s="577"/>
      <c r="AD39" s="577"/>
      <c r="AE39" s="577"/>
      <c r="AF39" s="400"/>
      <c r="AG39" s="400"/>
      <c r="AH39" s="400"/>
      <c r="AI39" s="401"/>
      <c r="AJ39" s="107"/>
      <c r="AK39" s="620" t="str">
        <f t="shared" si="1"/>
        <v/>
      </c>
      <c r="AL39" s="621"/>
      <c r="AM39" s="621"/>
      <c r="AN39" s="621" t="str">
        <f t="shared" si="2"/>
        <v/>
      </c>
      <c r="AO39" s="621"/>
      <c r="AP39" s="621"/>
      <c r="AQ39" s="621" t="str">
        <f t="shared" si="3"/>
        <v/>
      </c>
      <c r="AR39" s="621"/>
      <c r="AS39" s="622"/>
      <c r="AT39" s="107"/>
      <c r="AU39" s="629" t="str">
        <f t="shared" si="0"/>
        <v/>
      </c>
      <c r="AV39" s="630"/>
      <c r="AW39" s="630"/>
      <c r="AX39" s="630"/>
      <c r="AY39" s="630"/>
      <c r="AZ39" s="630"/>
      <c r="BA39" s="630"/>
      <c r="BB39" s="630"/>
      <c r="BC39" s="630"/>
      <c r="BD39" s="631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</row>
    <row r="40" spans="1:73" ht="12" customHeight="1" x14ac:dyDescent="0.2">
      <c r="A40" s="632"/>
      <c r="B40" s="633"/>
      <c r="C40" s="633"/>
      <c r="D40" s="633"/>
      <c r="E40" s="633"/>
      <c r="F40" s="633"/>
      <c r="G40" s="633"/>
      <c r="H40" s="577"/>
      <c r="I40" s="577"/>
      <c r="J40" s="577"/>
      <c r="K40" s="400"/>
      <c r="L40" s="400"/>
      <c r="M40" s="400"/>
      <c r="N40" s="400"/>
      <c r="O40" s="400"/>
      <c r="P40" s="400"/>
      <c r="Q40" s="577"/>
      <c r="R40" s="577"/>
      <c r="S40" s="577"/>
      <c r="T40" s="577"/>
      <c r="U40" s="577"/>
      <c r="V40" s="577"/>
      <c r="W40" s="577"/>
      <c r="X40" s="577"/>
      <c r="Y40" s="577"/>
      <c r="Z40" s="577"/>
      <c r="AA40" s="577"/>
      <c r="AB40" s="577"/>
      <c r="AC40" s="577"/>
      <c r="AD40" s="577"/>
      <c r="AE40" s="577"/>
      <c r="AF40" s="400"/>
      <c r="AG40" s="400"/>
      <c r="AH40" s="400"/>
      <c r="AI40" s="401"/>
      <c r="AJ40" s="107"/>
      <c r="AK40" s="620" t="str">
        <f t="shared" si="1"/>
        <v/>
      </c>
      <c r="AL40" s="621"/>
      <c r="AM40" s="621"/>
      <c r="AN40" s="621" t="str">
        <f t="shared" si="2"/>
        <v/>
      </c>
      <c r="AO40" s="621"/>
      <c r="AP40" s="621"/>
      <c r="AQ40" s="621" t="str">
        <f t="shared" si="3"/>
        <v/>
      </c>
      <c r="AR40" s="621"/>
      <c r="AS40" s="622"/>
      <c r="AT40" s="107"/>
      <c r="AU40" s="629" t="str">
        <f t="shared" si="0"/>
        <v/>
      </c>
      <c r="AV40" s="630"/>
      <c r="AW40" s="630"/>
      <c r="AX40" s="630"/>
      <c r="AY40" s="630"/>
      <c r="AZ40" s="630"/>
      <c r="BA40" s="630"/>
      <c r="BB40" s="630"/>
      <c r="BC40" s="630"/>
      <c r="BD40" s="631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</row>
    <row r="41" spans="1:73" ht="12" customHeight="1" x14ac:dyDescent="0.2">
      <c r="A41" s="632"/>
      <c r="B41" s="633"/>
      <c r="C41" s="633"/>
      <c r="D41" s="633"/>
      <c r="E41" s="633"/>
      <c r="F41" s="633"/>
      <c r="G41" s="633"/>
      <c r="H41" s="634"/>
      <c r="I41" s="634"/>
      <c r="J41" s="634"/>
      <c r="K41" s="400"/>
      <c r="L41" s="400"/>
      <c r="M41" s="400"/>
      <c r="N41" s="400"/>
      <c r="O41" s="400"/>
      <c r="P41" s="400"/>
      <c r="Q41" s="577"/>
      <c r="R41" s="577"/>
      <c r="S41" s="577"/>
      <c r="T41" s="577"/>
      <c r="U41" s="577"/>
      <c r="V41" s="577"/>
      <c r="W41" s="577"/>
      <c r="X41" s="577"/>
      <c r="Y41" s="577"/>
      <c r="Z41" s="577"/>
      <c r="AA41" s="577"/>
      <c r="AB41" s="577"/>
      <c r="AC41" s="577"/>
      <c r="AD41" s="577"/>
      <c r="AE41" s="577"/>
      <c r="AF41" s="400"/>
      <c r="AG41" s="400"/>
      <c r="AH41" s="400"/>
      <c r="AI41" s="401"/>
      <c r="AJ41" s="107"/>
      <c r="AK41" s="620" t="str">
        <f t="shared" si="1"/>
        <v/>
      </c>
      <c r="AL41" s="621"/>
      <c r="AM41" s="621"/>
      <c r="AN41" s="621" t="str">
        <f t="shared" si="2"/>
        <v/>
      </c>
      <c r="AO41" s="621"/>
      <c r="AP41" s="621"/>
      <c r="AQ41" s="621" t="str">
        <f t="shared" si="3"/>
        <v/>
      </c>
      <c r="AR41" s="621"/>
      <c r="AS41" s="622"/>
      <c r="AT41" s="107"/>
      <c r="AU41" s="629" t="str">
        <f t="shared" si="0"/>
        <v/>
      </c>
      <c r="AV41" s="630"/>
      <c r="AW41" s="630"/>
      <c r="AX41" s="630"/>
      <c r="AY41" s="630"/>
      <c r="AZ41" s="630"/>
      <c r="BA41" s="630"/>
      <c r="BB41" s="630"/>
      <c r="BC41" s="630"/>
      <c r="BD41" s="631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</row>
    <row r="42" spans="1:73" ht="12" customHeight="1" x14ac:dyDescent="0.2">
      <c r="A42" s="632"/>
      <c r="B42" s="633"/>
      <c r="C42" s="633"/>
      <c r="D42" s="633"/>
      <c r="E42" s="633"/>
      <c r="F42" s="633"/>
      <c r="G42" s="633"/>
      <c r="H42" s="577"/>
      <c r="I42" s="577"/>
      <c r="J42" s="577"/>
      <c r="K42" s="400"/>
      <c r="L42" s="400"/>
      <c r="M42" s="400"/>
      <c r="N42" s="400"/>
      <c r="O42" s="400"/>
      <c r="P42" s="400"/>
      <c r="Q42" s="577"/>
      <c r="R42" s="577"/>
      <c r="S42" s="577"/>
      <c r="T42" s="577"/>
      <c r="U42" s="577"/>
      <c r="V42" s="577"/>
      <c r="W42" s="577"/>
      <c r="X42" s="577"/>
      <c r="Y42" s="577"/>
      <c r="Z42" s="577"/>
      <c r="AA42" s="577"/>
      <c r="AB42" s="577"/>
      <c r="AC42" s="577"/>
      <c r="AD42" s="577"/>
      <c r="AE42" s="577"/>
      <c r="AF42" s="400"/>
      <c r="AG42" s="400"/>
      <c r="AH42" s="400"/>
      <c r="AI42" s="401"/>
      <c r="AJ42" s="107"/>
      <c r="AK42" s="620" t="str">
        <f t="shared" si="1"/>
        <v/>
      </c>
      <c r="AL42" s="621"/>
      <c r="AM42" s="621"/>
      <c r="AN42" s="621" t="str">
        <f t="shared" si="2"/>
        <v/>
      </c>
      <c r="AO42" s="621"/>
      <c r="AP42" s="621"/>
      <c r="AQ42" s="621" t="str">
        <f t="shared" si="3"/>
        <v/>
      </c>
      <c r="AR42" s="621"/>
      <c r="AS42" s="622"/>
      <c r="AT42" s="107"/>
      <c r="AU42" s="629" t="str">
        <f t="shared" si="0"/>
        <v/>
      </c>
      <c r="AV42" s="630"/>
      <c r="AW42" s="630"/>
      <c r="AX42" s="630"/>
      <c r="AY42" s="630"/>
      <c r="AZ42" s="630"/>
      <c r="BA42" s="630"/>
      <c r="BB42" s="630"/>
      <c r="BC42" s="630"/>
      <c r="BD42" s="631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</row>
    <row r="43" spans="1:73" ht="12" customHeight="1" x14ac:dyDescent="0.2">
      <c r="A43" s="632"/>
      <c r="B43" s="633"/>
      <c r="C43" s="633"/>
      <c r="D43" s="633"/>
      <c r="E43" s="633"/>
      <c r="F43" s="633"/>
      <c r="G43" s="633"/>
      <c r="H43" s="634"/>
      <c r="I43" s="634"/>
      <c r="J43" s="634"/>
      <c r="K43" s="400"/>
      <c r="L43" s="400"/>
      <c r="M43" s="400"/>
      <c r="N43" s="400"/>
      <c r="O43" s="400"/>
      <c r="P43" s="400"/>
      <c r="Q43" s="577"/>
      <c r="R43" s="577"/>
      <c r="S43" s="577"/>
      <c r="T43" s="577"/>
      <c r="U43" s="577"/>
      <c r="V43" s="577"/>
      <c r="W43" s="577"/>
      <c r="X43" s="577"/>
      <c r="Y43" s="577"/>
      <c r="Z43" s="577"/>
      <c r="AA43" s="577"/>
      <c r="AB43" s="577"/>
      <c r="AC43" s="577"/>
      <c r="AD43" s="577"/>
      <c r="AE43" s="577"/>
      <c r="AF43" s="400"/>
      <c r="AG43" s="400"/>
      <c r="AH43" s="400"/>
      <c r="AI43" s="401"/>
      <c r="AJ43" s="107"/>
      <c r="AK43" s="620" t="str">
        <f t="shared" si="1"/>
        <v/>
      </c>
      <c r="AL43" s="621"/>
      <c r="AM43" s="621"/>
      <c r="AN43" s="621" t="str">
        <f t="shared" si="2"/>
        <v/>
      </c>
      <c r="AO43" s="621"/>
      <c r="AP43" s="621"/>
      <c r="AQ43" s="621" t="str">
        <f t="shared" si="3"/>
        <v/>
      </c>
      <c r="AR43" s="621"/>
      <c r="AS43" s="622"/>
      <c r="AT43" s="107"/>
      <c r="AU43" s="629" t="str">
        <f t="shared" si="0"/>
        <v/>
      </c>
      <c r="AV43" s="630"/>
      <c r="AW43" s="630"/>
      <c r="AX43" s="630"/>
      <c r="AY43" s="630"/>
      <c r="AZ43" s="630"/>
      <c r="BA43" s="630"/>
      <c r="BB43" s="630"/>
      <c r="BC43" s="630"/>
      <c r="BD43" s="631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</row>
    <row r="44" spans="1:73" ht="12" customHeight="1" x14ac:dyDescent="0.2">
      <c r="A44" s="632"/>
      <c r="B44" s="633"/>
      <c r="C44" s="633"/>
      <c r="D44" s="633"/>
      <c r="E44" s="633"/>
      <c r="F44" s="633"/>
      <c r="G44" s="633"/>
      <c r="H44" s="577"/>
      <c r="I44" s="577"/>
      <c r="J44" s="577"/>
      <c r="K44" s="400"/>
      <c r="L44" s="400"/>
      <c r="M44" s="400"/>
      <c r="N44" s="400"/>
      <c r="O44" s="400"/>
      <c r="P44" s="400"/>
      <c r="Q44" s="577"/>
      <c r="R44" s="577"/>
      <c r="S44" s="577"/>
      <c r="T44" s="577"/>
      <c r="U44" s="577"/>
      <c r="V44" s="577"/>
      <c r="W44" s="577"/>
      <c r="X44" s="577"/>
      <c r="Y44" s="577"/>
      <c r="Z44" s="577"/>
      <c r="AA44" s="577"/>
      <c r="AB44" s="577"/>
      <c r="AC44" s="577"/>
      <c r="AD44" s="577"/>
      <c r="AE44" s="577"/>
      <c r="AF44" s="400"/>
      <c r="AG44" s="400"/>
      <c r="AH44" s="400"/>
      <c r="AI44" s="401"/>
      <c r="AJ44" s="107"/>
      <c r="AK44" s="620" t="str">
        <f t="shared" si="1"/>
        <v/>
      </c>
      <c r="AL44" s="621"/>
      <c r="AM44" s="621"/>
      <c r="AN44" s="621" t="str">
        <f t="shared" si="2"/>
        <v/>
      </c>
      <c r="AO44" s="621"/>
      <c r="AP44" s="621"/>
      <c r="AQ44" s="621" t="str">
        <f t="shared" si="3"/>
        <v/>
      </c>
      <c r="AR44" s="621"/>
      <c r="AS44" s="622"/>
      <c r="AT44" s="107"/>
      <c r="AU44" s="629" t="str">
        <f t="shared" si="0"/>
        <v/>
      </c>
      <c r="AV44" s="630"/>
      <c r="AW44" s="630"/>
      <c r="AX44" s="630"/>
      <c r="AY44" s="630"/>
      <c r="AZ44" s="630"/>
      <c r="BA44" s="630"/>
      <c r="BB44" s="630"/>
      <c r="BC44" s="630"/>
      <c r="BD44" s="631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</row>
    <row r="45" spans="1:73" ht="12" customHeight="1" x14ac:dyDescent="0.2">
      <c r="A45" s="632"/>
      <c r="B45" s="633"/>
      <c r="C45" s="633"/>
      <c r="D45" s="633"/>
      <c r="E45" s="633"/>
      <c r="F45" s="633"/>
      <c r="G45" s="633"/>
      <c r="H45" s="634"/>
      <c r="I45" s="634"/>
      <c r="J45" s="634"/>
      <c r="K45" s="400"/>
      <c r="L45" s="400"/>
      <c r="M45" s="400"/>
      <c r="N45" s="400"/>
      <c r="O45" s="400"/>
      <c r="P45" s="400"/>
      <c r="Q45" s="577"/>
      <c r="R45" s="577"/>
      <c r="S45" s="577"/>
      <c r="T45" s="577"/>
      <c r="U45" s="577"/>
      <c r="V45" s="577"/>
      <c r="W45" s="577"/>
      <c r="X45" s="577"/>
      <c r="Y45" s="577"/>
      <c r="Z45" s="577"/>
      <c r="AA45" s="577"/>
      <c r="AB45" s="577"/>
      <c r="AC45" s="577"/>
      <c r="AD45" s="577"/>
      <c r="AE45" s="577"/>
      <c r="AF45" s="400"/>
      <c r="AG45" s="400"/>
      <c r="AH45" s="400"/>
      <c r="AI45" s="401"/>
      <c r="AJ45" s="107"/>
      <c r="AK45" s="620" t="str">
        <f t="shared" si="1"/>
        <v/>
      </c>
      <c r="AL45" s="621"/>
      <c r="AM45" s="621"/>
      <c r="AN45" s="621" t="str">
        <f t="shared" si="2"/>
        <v/>
      </c>
      <c r="AO45" s="621"/>
      <c r="AP45" s="621"/>
      <c r="AQ45" s="621" t="str">
        <f t="shared" si="3"/>
        <v/>
      </c>
      <c r="AR45" s="621"/>
      <c r="AS45" s="622"/>
      <c r="AT45" s="107"/>
      <c r="AU45" s="629" t="str">
        <f t="shared" si="0"/>
        <v/>
      </c>
      <c r="AV45" s="630"/>
      <c r="AW45" s="630"/>
      <c r="AX45" s="630"/>
      <c r="AY45" s="630"/>
      <c r="AZ45" s="630"/>
      <c r="BA45" s="630"/>
      <c r="BB45" s="630"/>
      <c r="BC45" s="630"/>
      <c r="BD45" s="631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</row>
    <row r="46" spans="1:73" ht="12" customHeight="1" x14ac:dyDescent="0.2">
      <c r="A46" s="632"/>
      <c r="B46" s="633"/>
      <c r="C46" s="633"/>
      <c r="D46" s="633"/>
      <c r="E46" s="633"/>
      <c r="F46" s="633"/>
      <c r="G46" s="633"/>
      <c r="H46" s="577"/>
      <c r="I46" s="577"/>
      <c r="J46" s="577"/>
      <c r="K46" s="400"/>
      <c r="L46" s="400"/>
      <c r="M46" s="400"/>
      <c r="N46" s="400"/>
      <c r="O46" s="400"/>
      <c r="P46" s="400"/>
      <c r="Q46" s="577"/>
      <c r="R46" s="577"/>
      <c r="S46" s="577"/>
      <c r="T46" s="577"/>
      <c r="U46" s="577"/>
      <c r="V46" s="577"/>
      <c r="W46" s="577"/>
      <c r="X46" s="577"/>
      <c r="Y46" s="577"/>
      <c r="Z46" s="577"/>
      <c r="AA46" s="577"/>
      <c r="AB46" s="577"/>
      <c r="AC46" s="577"/>
      <c r="AD46" s="577"/>
      <c r="AE46" s="577"/>
      <c r="AF46" s="400"/>
      <c r="AG46" s="400"/>
      <c r="AH46" s="400"/>
      <c r="AI46" s="401"/>
      <c r="AJ46" s="107"/>
      <c r="AK46" s="620" t="str">
        <f t="shared" si="1"/>
        <v/>
      </c>
      <c r="AL46" s="621"/>
      <c r="AM46" s="621"/>
      <c r="AN46" s="621" t="str">
        <f t="shared" si="2"/>
        <v/>
      </c>
      <c r="AO46" s="621"/>
      <c r="AP46" s="621"/>
      <c r="AQ46" s="621" t="str">
        <f t="shared" si="3"/>
        <v/>
      </c>
      <c r="AR46" s="621"/>
      <c r="AS46" s="622"/>
      <c r="AT46" s="107"/>
      <c r="AU46" s="629" t="str">
        <f t="shared" si="0"/>
        <v/>
      </c>
      <c r="AV46" s="630"/>
      <c r="AW46" s="630"/>
      <c r="AX46" s="630"/>
      <c r="AY46" s="630"/>
      <c r="AZ46" s="630"/>
      <c r="BA46" s="630"/>
      <c r="BB46" s="630"/>
      <c r="BC46" s="630"/>
      <c r="BD46" s="631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</row>
    <row r="47" spans="1:73" ht="12" customHeight="1" x14ac:dyDescent="0.2">
      <c r="A47" s="632"/>
      <c r="B47" s="633"/>
      <c r="C47" s="633"/>
      <c r="D47" s="633"/>
      <c r="E47" s="633"/>
      <c r="F47" s="633"/>
      <c r="G47" s="633"/>
      <c r="H47" s="634"/>
      <c r="I47" s="634"/>
      <c r="J47" s="634"/>
      <c r="K47" s="400"/>
      <c r="L47" s="400"/>
      <c r="M47" s="400"/>
      <c r="N47" s="400"/>
      <c r="O47" s="400"/>
      <c r="P47" s="400"/>
      <c r="Q47" s="577"/>
      <c r="R47" s="577"/>
      <c r="S47" s="577"/>
      <c r="T47" s="577"/>
      <c r="U47" s="577"/>
      <c r="V47" s="577"/>
      <c r="W47" s="577"/>
      <c r="X47" s="577"/>
      <c r="Y47" s="577"/>
      <c r="Z47" s="577"/>
      <c r="AA47" s="577"/>
      <c r="AB47" s="577"/>
      <c r="AC47" s="577"/>
      <c r="AD47" s="577"/>
      <c r="AE47" s="577"/>
      <c r="AF47" s="400"/>
      <c r="AG47" s="400"/>
      <c r="AH47" s="400"/>
      <c r="AI47" s="401"/>
      <c r="AJ47" s="107"/>
      <c r="AK47" s="620" t="str">
        <f t="shared" si="1"/>
        <v/>
      </c>
      <c r="AL47" s="621"/>
      <c r="AM47" s="621"/>
      <c r="AN47" s="621" t="str">
        <f t="shared" si="2"/>
        <v/>
      </c>
      <c r="AO47" s="621"/>
      <c r="AP47" s="621"/>
      <c r="AQ47" s="621" t="str">
        <f t="shared" si="3"/>
        <v/>
      </c>
      <c r="AR47" s="621"/>
      <c r="AS47" s="622"/>
      <c r="AT47" s="107"/>
      <c r="AU47" s="629" t="str">
        <f t="shared" si="0"/>
        <v/>
      </c>
      <c r="AV47" s="630"/>
      <c r="AW47" s="630"/>
      <c r="AX47" s="630"/>
      <c r="AY47" s="630"/>
      <c r="AZ47" s="630"/>
      <c r="BA47" s="630"/>
      <c r="BB47" s="630"/>
      <c r="BC47" s="630"/>
      <c r="BD47" s="631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</row>
    <row r="48" spans="1:73" ht="12" customHeight="1" x14ac:dyDescent="0.2">
      <c r="A48" s="632"/>
      <c r="B48" s="633"/>
      <c r="C48" s="633"/>
      <c r="D48" s="633"/>
      <c r="E48" s="633"/>
      <c r="F48" s="633"/>
      <c r="G48" s="633"/>
      <c r="H48" s="577"/>
      <c r="I48" s="577"/>
      <c r="J48" s="577"/>
      <c r="K48" s="400"/>
      <c r="L48" s="400"/>
      <c r="M48" s="400"/>
      <c r="N48" s="400"/>
      <c r="O48" s="400"/>
      <c r="P48" s="400"/>
      <c r="Q48" s="577"/>
      <c r="R48" s="577"/>
      <c r="S48" s="577"/>
      <c r="T48" s="577"/>
      <c r="U48" s="577"/>
      <c r="V48" s="577"/>
      <c r="W48" s="577"/>
      <c r="X48" s="577"/>
      <c r="Y48" s="577"/>
      <c r="Z48" s="577"/>
      <c r="AA48" s="577"/>
      <c r="AB48" s="577"/>
      <c r="AC48" s="577"/>
      <c r="AD48" s="577"/>
      <c r="AE48" s="577"/>
      <c r="AF48" s="400"/>
      <c r="AG48" s="400"/>
      <c r="AH48" s="400"/>
      <c r="AI48" s="401"/>
      <c r="AJ48" s="107"/>
      <c r="AK48" s="620" t="str">
        <f t="shared" si="1"/>
        <v/>
      </c>
      <c r="AL48" s="621"/>
      <c r="AM48" s="621"/>
      <c r="AN48" s="621" t="str">
        <f t="shared" si="2"/>
        <v/>
      </c>
      <c r="AO48" s="621"/>
      <c r="AP48" s="621"/>
      <c r="AQ48" s="621" t="str">
        <f t="shared" si="3"/>
        <v/>
      </c>
      <c r="AR48" s="621"/>
      <c r="AS48" s="622"/>
      <c r="AT48" s="107"/>
      <c r="AU48" s="629" t="str">
        <f t="shared" si="0"/>
        <v/>
      </c>
      <c r="AV48" s="630"/>
      <c r="AW48" s="630"/>
      <c r="AX48" s="630"/>
      <c r="AY48" s="630"/>
      <c r="AZ48" s="630"/>
      <c r="BA48" s="630"/>
      <c r="BB48" s="630"/>
      <c r="BC48" s="630"/>
      <c r="BD48" s="631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</row>
    <row r="49" spans="1:73" ht="12" customHeight="1" x14ac:dyDescent="0.2">
      <c r="A49" s="632"/>
      <c r="B49" s="633"/>
      <c r="C49" s="633"/>
      <c r="D49" s="633"/>
      <c r="E49" s="633"/>
      <c r="F49" s="633"/>
      <c r="G49" s="633"/>
      <c r="H49" s="634"/>
      <c r="I49" s="634"/>
      <c r="J49" s="634"/>
      <c r="K49" s="400"/>
      <c r="L49" s="400"/>
      <c r="M49" s="400"/>
      <c r="N49" s="400"/>
      <c r="O49" s="400"/>
      <c r="P49" s="400"/>
      <c r="Q49" s="577"/>
      <c r="R49" s="577"/>
      <c r="S49" s="577"/>
      <c r="T49" s="577"/>
      <c r="U49" s="577"/>
      <c r="V49" s="577"/>
      <c r="W49" s="577"/>
      <c r="X49" s="577"/>
      <c r="Y49" s="577"/>
      <c r="Z49" s="577"/>
      <c r="AA49" s="577"/>
      <c r="AB49" s="577"/>
      <c r="AC49" s="577"/>
      <c r="AD49" s="577"/>
      <c r="AE49" s="577"/>
      <c r="AF49" s="400"/>
      <c r="AG49" s="400"/>
      <c r="AH49" s="400"/>
      <c r="AI49" s="401"/>
      <c r="AJ49" s="107"/>
      <c r="AK49" s="620" t="str">
        <f t="shared" si="1"/>
        <v/>
      </c>
      <c r="AL49" s="621"/>
      <c r="AM49" s="621"/>
      <c r="AN49" s="621" t="str">
        <f t="shared" si="2"/>
        <v/>
      </c>
      <c r="AO49" s="621"/>
      <c r="AP49" s="621"/>
      <c r="AQ49" s="621" t="str">
        <f t="shared" si="3"/>
        <v/>
      </c>
      <c r="AR49" s="621"/>
      <c r="AS49" s="622"/>
      <c r="AT49" s="107"/>
      <c r="AU49" s="629" t="str">
        <f t="shared" si="0"/>
        <v/>
      </c>
      <c r="AV49" s="630"/>
      <c r="AW49" s="630"/>
      <c r="AX49" s="630"/>
      <c r="AY49" s="630"/>
      <c r="AZ49" s="630"/>
      <c r="BA49" s="630"/>
      <c r="BB49" s="630"/>
      <c r="BC49" s="630"/>
      <c r="BD49" s="631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</row>
    <row r="50" spans="1:73" ht="12" customHeight="1" x14ac:dyDescent="0.2">
      <c r="A50" s="632"/>
      <c r="B50" s="633"/>
      <c r="C50" s="633"/>
      <c r="D50" s="633"/>
      <c r="E50" s="633"/>
      <c r="F50" s="633"/>
      <c r="G50" s="633"/>
      <c r="H50" s="577"/>
      <c r="I50" s="577"/>
      <c r="J50" s="577"/>
      <c r="K50" s="400"/>
      <c r="L50" s="400"/>
      <c r="M50" s="400"/>
      <c r="N50" s="400"/>
      <c r="O50" s="400"/>
      <c r="P50" s="400"/>
      <c r="Q50" s="577"/>
      <c r="R50" s="577"/>
      <c r="S50" s="577"/>
      <c r="T50" s="577"/>
      <c r="U50" s="577"/>
      <c r="V50" s="577"/>
      <c r="W50" s="577"/>
      <c r="X50" s="577"/>
      <c r="Y50" s="577"/>
      <c r="Z50" s="577"/>
      <c r="AA50" s="577"/>
      <c r="AB50" s="577"/>
      <c r="AC50" s="577"/>
      <c r="AD50" s="577"/>
      <c r="AE50" s="577"/>
      <c r="AF50" s="400"/>
      <c r="AG50" s="400"/>
      <c r="AH50" s="400"/>
      <c r="AI50" s="401"/>
      <c r="AJ50" s="107"/>
      <c r="AK50" s="620" t="str">
        <f t="shared" si="1"/>
        <v/>
      </c>
      <c r="AL50" s="621"/>
      <c r="AM50" s="621"/>
      <c r="AN50" s="621" t="str">
        <f t="shared" si="2"/>
        <v/>
      </c>
      <c r="AO50" s="621"/>
      <c r="AP50" s="621"/>
      <c r="AQ50" s="621" t="str">
        <f t="shared" si="3"/>
        <v/>
      </c>
      <c r="AR50" s="621"/>
      <c r="AS50" s="622"/>
      <c r="AT50" s="107"/>
      <c r="AU50" s="629" t="str">
        <f t="shared" si="0"/>
        <v/>
      </c>
      <c r="AV50" s="630"/>
      <c r="AW50" s="630"/>
      <c r="AX50" s="630"/>
      <c r="AY50" s="630"/>
      <c r="AZ50" s="630"/>
      <c r="BA50" s="630"/>
      <c r="BB50" s="630"/>
      <c r="BC50" s="630"/>
      <c r="BD50" s="631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</row>
    <row r="51" spans="1:73" ht="12" customHeight="1" x14ac:dyDescent="0.2">
      <c r="A51" s="632"/>
      <c r="B51" s="633"/>
      <c r="C51" s="633"/>
      <c r="D51" s="633"/>
      <c r="E51" s="633"/>
      <c r="F51" s="633"/>
      <c r="G51" s="633"/>
      <c r="H51" s="634"/>
      <c r="I51" s="634"/>
      <c r="J51" s="634"/>
      <c r="K51" s="400"/>
      <c r="L51" s="400"/>
      <c r="M51" s="400"/>
      <c r="N51" s="400"/>
      <c r="O51" s="400"/>
      <c r="P51" s="400"/>
      <c r="Q51" s="577"/>
      <c r="R51" s="577"/>
      <c r="S51" s="577"/>
      <c r="T51" s="577"/>
      <c r="U51" s="577"/>
      <c r="V51" s="577"/>
      <c r="W51" s="577"/>
      <c r="X51" s="577"/>
      <c r="Y51" s="577"/>
      <c r="Z51" s="577"/>
      <c r="AA51" s="577"/>
      <c r="AB51" s="577"/>
      <c r="AC51" s="577"/>
      <c r="AD51" s="577"/>
      <c r="AE51" s="577"/>
      <c r="AF51" s="400"/>
      <c r="AG51" s="400"/>
      <c r="AH51" s="400"/>
      <c r="AI51" s="401"/>
      <c r="AJ51" s="107"/>
      <c r="AK51" s="620" t="str">
        <f t="shared" si="1"/>
        <v/>
      </c>
      <c r="AL51" s="621"/>
      <c r="AM51" s="621"/>
      <c r="AN51" s="621" t="str">
        <f t="shared" si="2"/>
        <v/>
      </c>
      <c r="AO51" s="621"/>
      <c r="AP51" s="621"/>
      <c r="AQ51" s="621" t="str">
        <f t="shared" si="3"/>
        <v/>
      </c>
      <c r="AR51" s="621"/>
      <c r="AS51" s="622"/>
      <c r="AT51" s="107"/>
      <c r="AU51" s="629" t="str">
        <f t="shared" si="0"/>
        <v/>
      </c>
      <c r="AV51" s="630"/>
      <c r="AW51" s="630"/>
      <c r="AX51" s="630"/>
      <c r="AY51" s="630"/>
      <c r="AZ51" s="630"/>
      <c r="BA51" s="630"/>
      <c r="BB51" s="630"/>
      <c r="BC51" s="630"/>
      <c r="BD51" s="631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</row>
    <row r="52" spans="1:73" ht="12" customHeight="1" thickBot="1" x14ac:dyDescent="0.25">
      <c r="A52" s="618" t="s">
        <v>310</v>
      </c>
      <c r="B52" s="619"/>
      <c r="C52" s="619"/>
      <c r="D52" s="619"/>
      <c r="E52" s="619"/>
      <c r="F52" s="619"/>
      <c r="G52" s="619"/>
      <c r="H52" s="619"/>
      <c r="I52" s="619"/>
      <c r="J52" s="619"/>
      <c r="K52" s="619"/>
      <c r="L52" s="619"/>
      <c r="M52" s="619"/>
      <c r="N52" s="619"/>
      <c r="O52" s="619"/>
      <c r="P52" s="619"/>
      <c r="Q52" s="350" t="str">
        <f>IF(SUM(Q13:S51)&lt;&gt;0,SUM(Q13:S51),"")</f>
        <v/>
      </c>
      <c r="R52" s="350"/>
      <c r="S52" s="350"/>
      <c r="T52" s="350" t="str">
        <f>IF(SUM(T13:V51)&lt;&gt;0,SUM(T13:V51),"")</f>
        <v/>
      </c>
      <c r="U52" s="350"/>
      <c r="V52" s="350"/>
      <c r="W52" s="350" t="str">
        <f>IF(SUM(W13:Y51)&lt;&gt;0,SUM(W13:Y51),"")</f>
        <v/>
      </c>
      <c r="X52" s="350"/>
      <c r="Y52" s="350"/>
      <c r="Z52" s="350" t="str">
        <f>IF(SUM(Z13:AB51)&lt;&gt;0,SUM(Z13:AB51),"")</f>
        <v/>
      </c>
      <c r="AA52" s="350"/>
      <c r="AB52" s="350"/>
      <c r="AC52" s="350" t="str">
        <f>IF(SUM(AC13:AE51)&lt;&gt;0,SUM(AC13:AE51),"")</f>
        <v/>
      </c>
      <c r="AD52" s="350"/>
      <c r="AE52" s="350"/>
      <c r="AF52" s="616"/>
      <c r="AG52" s="616"/>
      <c r="AH52" s="616"/>
      <c r="AI52" s="617"/>
      <c r="AJ52" s="107"/>
      <c r="AK52" s="623" t="str">
        <f>IFERROR(T52/Q52,"")</f>
        <v/>
      </c>
      <c r="AL52" s="624"/>
      <c r="AM52" s="624"/>
      <c r="AN52" s="624"/>
      <c r="AO52" s="624"/>
      <c r="AP52" s="624"/>
      <c r="AQ52" s="624"/>
      <c r="AR52" s="624"/>
      <c r="AS52" s="625"/>
      <c r="AT52" s="107"/>
      <c r="AU52" s="626" t="str">
        <f t="shared" si="0"/>
        <v/>
      </c>
      <c r="AV52" s="627"/>
      <c r="AW52" s="627"/>
      <c r="AX52" s="627"/>
      <c r="AY52" s="627"/>
      <c r="AZ52" s="627"/>
      <c r="BA52" s="627"/>
      <c r="BB52" s="627"/>
      <c r="BC52" s="627"/>
      <c r="BD52" s="628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</row>
    <row r="53" spans="1:73" ht="12" customHeight="1" x14ac:dyDescent="0.2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116" t="str">
        <f>IF(SUM(Q13:S51)&lt;&gt;0,SUM(Q13:S51),"")</f>
        <v/>
      </c>
      <c r="R53" s="42"/>
      <c r="S53" s="42"/>
      <c r="T53" s="116" t="str">
        <f>IF(SUM(T13:V51)&lt;&gt;0,SUM(T13:V51),"")</f>
        <v/>
      </c>
      <c r="U53" s="42"/>
      <c r="V53" s="42"/>
      <c r="W53" s="116" t="str">
        <f>IF(SUM(W13:Y51)&lt;&gt;0,SUM(W13:Y51),"")</f>
        <v/>
      </c>
      <c r="X53" s="42"/>
      <c r="Y53" s="42"/>
      <c r="Z53" s="116" t="str">
        <f>IF(SUM(Z13:AB51)&lt;&gt;0,SUM(Z13:AB51),"")</f>
        <v/>
      </c>
      <c r="AA53" s="42"/>
      <c r="AB53" s="42"/>
      <c r="AC53" s="116" t="str">
        <f>IF(SUM(AC13:AE51)&lt;&gt;0,SUM(AC13:AE51),"")</f>
        <v/>
      </c>
      <c r="AD53" s="42"/>
      <c r="AE53" s="42"/>
      <c r="AF53" s="42"/>
      <c r="AG53" s="42"/>
      <c r="AH53" s="42"/>
      <c r="AI53" s="42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7"/>
      <c r="AZ53" s="107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</row>
    <row r="54" spans="1:73" ht="12" customHeight="1" x14ac:dyDescent="0.2">
      <c r="A54" s="42"/>
      <c r="B54" s="117" t="s">
        <v>262</v>
      </c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</row>
    <row r="55" spans="1:73" ht="12" customHeight="1" x14ac:dyDescent="0.2">
      <c r="A55" s="84"/>
      <c r="B55" s="281"/>
      <c r="C55" s="281"/>
      <c r="D55" s="281"/>
      <c r="E55" s="281"/>
      <c r="F55" s="281"/>
      <c r="G55" s="281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  <c r="AF55" s="281"/>
      <c r="AG55" s="281"/>
      <c r="AH55" s="281"/>
      <c r="AI55" s="281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</row>
    <row r="56" spans="1:73" ht="12" customHeight="1" x14ac:dyDescent="0.2">
      <c r="A56" s="84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</row>
    <row r="57" spans="1:73" ht="12" customHeight="1" x14ac:dyDescent="0.2">
      <c r="A57" s="84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</row>
    <row r="58" spans="1:73" ht="12" customHeight="1" x14ac:dyDescent="0.2">
      <c r="A58" s="84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</row>
    <row r="59" spans="1:73" ht="12" customHeight="1" x14ac:dyDescent="0.2">
      <c r="A59" s="84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</row>
    <row r="60" spans="1:73" ht="12" customHeight="1" x14ac:dyDescent="0.2">
      <c r="A60" s="84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</row>
    <row r="61" spans="1:73" ht="12" customHeight="1" x14ac:dyDescent="0.2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</row>
    <row r="62" spans="1:73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</row>
  </sheetData>
  <mergeCells count="611">
    <mergeCell ref="A7:E7"/>
    <mergeCell ref="F7:P7"/>
    <mergeCell ref="T7:X7"/>
    <mergeCell ref="Y7:AI7"/>
    <mergeCell ref="BP11:BT11"/>
    <mergeCell ref="AV8:BC8"/>
    <mergeCell ref="BF8:BT8"/>
    <mergeCell ref="T9:X9"/>
    <mergeCell ref="AV9:BA9"/>
    <mergeCell ref="BB9:BC9"/>
    <mergeCell ref="BF9:BT9"/>
    <mergeCell ref="BF11:BJ11"/>
    <mergeCell ref="BK11:BO11"/>
    <mergeCell ref="AJ1:BU1"/>
    <mergeCell ref="M5:AI5"/>
    <mergeCell ref="W12:Y12"/>
    <mergeCell ref="Z12:AB12"/>
    <mergeCell ref="AU12:BD12"/>
    <mergeCell ref="BF12:BJ12"/>
    <mergeCell ref="BK12:BO12"/>
    <mergeCell ref="BP12:BT12"/>
    <mergeCell ref="A11:G12"/>
    <mergeCell ref="H11:P11"/>
    <mergeCell ref="Q11:S12"/>
    <mergeCell ref="T11:AB11"/>
    <mergeCell ref="AC11:AE12"/>
    <mergeCell ref="AF11:AI12"/>
    <mergeCell ref="H12:J12"/>
    <mergeCell ref="K12:M12"/>
    <mergeCell ref="N12:P12"/>
    <mergeCell ref="T12:V12"/>
    <mergeCell ref="AK10:AS12"/>
    <mergeCell ref="AV10:BA10"/>
    <mergeCell ref="BB10:BC10"/>
    <mergeCell ref="BF10:BJ10"/>
    <mergeCell ref="BK10:BO10"/>
    <mergeCell ref="BP10:BT10"/>
    <mergeCell ref="AQ13:AS13"/>
    <mergeCell ref="AU13:BD13"/>
    <mergeCell ref="BF13:BJ13"/>
    <mergeCell ref="BK13:BO13"/>
    <mergeCell ref="BP13:BT13"/>
    <mergeCell ref="A14:G14"/>
    <mergeCell ref="H14:J14"/>
    <mergeCell ref="K14:M14"/>
    <mergeCell ref="N14:P14"/>
    <mergeCell ref="Q14:S14"/>
    <mergeCell ref="W13:Y13"/>
    <mergeCell ref="Z13:AB13"/>
    <mergeCell ref="AC13:AE13"/>
    <mergeCell ref="AF13:AI13"/>
    <mergeCell ref="AK13:AM13"/>
    <mergeCell ref="AN13:AP13"/>
    <mergeCell ref="A13:G13"/>
    <mergeCell ref="H13:J13"/>
    <mergeCell ref="K13:M13"/>
    <mergeCell ref="N13:P13"/>
    <mergeCell ref="Q13:S13"/>
    <mergeCell ref="T13:V13"/>
    <mergeCell ref="AN14:AP14"/>
    <mergeCell ref="AQ14:AS14"/>
    <mergeCell ref="AU14:BD14"/>
    <mergeCell ref="BF14:BJ14"/>
    <mergeCell ref="BK14:BO14"/>
    <mergeCell ref="BP14:BT14"/>
    <mergeCell ref="T14:V14"/>
    <mergeCell ref="W14:Y14"/>
    <mergeCell ref="Z14:AB14"/>
    <mergeCell ref="AC14:AE14"/>
    <mergeCell ref="AF14:AI14"/>
    <mergeCell ref="AK14:AM14"/>
    <mergeCell ref="AQ15:AS15"/>
    <mergeCell ref="AU15:BD15"/>
    <mergeCell ref="BF15:BJ15"/>
    <mergeCell ref="BK15:BO15"/>
    <mergeCell ref="BP15:BT15"/>
    <mergeCell ref="A16:G16"/>
    <mergeCell ref="H16:J16"/>
    <mergeCell ref="K16:M16"/>
    <mergeCell ref="N16:P16"/>
    <mergeCell ref="Q16:S16"/>
    <mergeCell ref="W15:Y15"/>
    <mergeCell ref="Z15:AB15"/>
    <mergeCell ref="AC15:AE15"/>
    <mergeCell ref="AF15:AI15"/>
    <mergeCell ref="AK15:AM15"/>
    <mergeCell ref="AN15:AP15"/>
    <mergeCell ref="A15:G15"/>
    <mergeCell ref="H15:J15"/>
    <mergeCell ref="K15:M15"/>
    <mergeCell ref="N15:P15"/>
    <mergeCell ref="Q15:S15"/>
    <mergeCell ref="T15:V15"/>
    <mergeCell ref="AN16:AP16"/>
    <mergeCell ref="AQ16:AS16"/>
    <mergeCell ref="AU16:BD16"/>
    <mergeCell ref="A17:G17"/>
    <mergeCell ref="H17:J17"/>
    <mergeCell ref="K17:M17"/>
    <mergeCell ref="N17:P17"/>
    <mergeCell ref="Q17:S17"/>
    <mergeCell ref="T17:V17"/>
    <mergeCell ref="W17:Y17"/>
    <mergeCell ref="T16:V16"/>
    <mergeCell ref="W16:Y16"/>
    <mergeCell ref="Z16:AB16"/>
    <mergeCell ref="AC16:AE16"/>
    <mergeCell ref="AF16:AI16"/>
    <mergeCell ref="AK16:AM16"/>
    <mergeCell ref="AU17:BD17"/>
    <mergeCell ref="Z17:AB17"/>
    <mergeCell ref="AC17:AE17"/>
    <mergeCell ref="AF17:AI17"/>
    <mergeCell ref="AK17:AM17"/>
    <mergeCell ref="AN17:AP17"/>
    <mergeCell ref="AQ17:AS17"/>
    <mergeCell ref="AQ18:AS18"/>
    <mergeCell ref="AU18:BD18"/>
    <mergeCell ref="A19:G19"/>
    <mergeCell ref="H19:J19"/>
    <mergeCell ref="K19:M19"/>
    <mergeCell ref="N19:P19"/>
    <mergeCell ref="Q19:S19"/>
    <mergeCell ref="AN19:AP19"/>
    <mergeCell ref="AQ19:AS19"/>
    <mergeCell ref="AU19:BD19"/>
    <mergeCell ref="Z19:AB19"/>
    <mergeCell ref="AC19:AE19"/>
    <mergeCell ref="AF19:AI19"/>
    <mergeCell ref="AK19:AM19"/>
    <mergeCell ref="A18:G18"/>
    <mergeCell ref="H18:J18"/>
    <mergeCell ref="K18:M18"/>
    <mergeCell ref="N18:P18"/>
    <mergeCell ref="Q18:S18"/>
    <mergeCell ref="T18:V18"/>
    <mergeCell ref="W18:Y18"/>
    <mergeCell ref="Z18:AB18"/>
    <mergeCell ref="AC18:AE18"/>
    <mergeCell ref="N20:P20"/>
    <mergeCell ref="Q20:S20"/>
    <mergeCell ref="T20:V20"/>
    <mergeCell ref="W20:Y20"/>
    <mergeCell ref="T19:V19"/>
    <mergeCell ref="W19:Y19"/>
    <mergeCell ref="AF18:AI18"/>
    <mergeCell ref="AK18:AM18"/>
    <mergeCell ref="AN18:AP18"/>
    <mergeCell ref="AU20:BD20"/>
    <mergeCell ref="A21:G21"/>
    <mergeCell ref="H21:J21"/>
    <mergeCell ref="K21:M21"/>
    <mergeCell ref="N21:P21"/>
    <mergeCell ref="Q21:S21"/>
    <mergeCell ref="T21:V21"/>
    <mergeCell ref="W21:Y21"/>
    <mergeCell ref="Z21:AB21"/>
    <mergeCell ref="AC21:AE21"/>
    <mergeCell ref="Z20:AB20"/>
    <mergeCell ref="AC20:AE20"/>
    <mergeCell ref="AF20:AI20"/>
    <mergeCell ref="AK20:AM20"/>
    <mergeCell ref="AN20:AP20"/>
    <mergeCell ref="AQ20:AS20"/>
    <mergeCell ref="AF21:AI21"/>
    <mergeCell ref="AK21:AM21"/>
    <mergeCell ref="AN21:AP21"/>
    <mergeCell ref="AQ21:AS21"/>
    <mergeCell ref="AU21:BD21"/>
    <mergeCell ref="A20:G20"/>
    <mergeCell ref="H20:J20"/>
    <mergeCell ref="K20:M20"/>
    <mergeCell ref="A22:G22"/>
    <mergeCell ref="H22:J22"/>
    <mergeCell ref="K22:M22"/>
    <mergeCell ref="N22:P22"/>
    <mergeCell ref="Q22:S22"/>
    <mergeCell ref="AN22:AP22"/>
    <mergeCell ref="AQ22:AS22"/>
    <mergeCell ref="AU22:BD22"/>
    <mergeCell ref="A23:G23"/>
    <mergeCell ref="H23:J23"/>
    <mergeCell ref="K23:M23"/>
    <mergeCell ref="N23:P23"/>
    <mergeCell ref="Q23:S23"/>
    <mergeCell ref="T23:V23"/>
    <mergeCell ref="W23:Y23"/>
    <mergeCell ref="T22:V22"/>
    <mergeCell ref="W22:Y22"/>
    <mergeCell ref="Z22:AB22"/>
    <mergeCell ref="AC22:AE22"/>
    <mergeCell ref="AF22:AI22"/>
    <mergeCell ref="AK22:AM22"/>
    <mergeCell ref="AU23:BD23"/>
    <mergeCell ref="Z23:AB23"/>
    <mergeCell ref="AC23:AE23"/>
    <mergeCell ref="A24:G24"/>
    <mergeCell ref="H24:J24"/>
    <mergeCell ref="K24:M24"/>
    <mergeCell ref="N24:P24"/>
    <mergeCell ref="Q24:S24"/>
    <mergeCell ref="T24:V24"/>
    <mergeCell ref="W24:Y24"/>
    <mergeCell ref="Z24:AB24"/>
    <mergeCell ref="AC24:AE24"/>
    <mergeCell ref="AF23:AI23"/>
    <mergeCell ref="AK23:AM23"/>
    <mergeCell ref="AN23:AP23"/>
    <mergeCell ref="AQ23:AS23"/>
    <mergeCell ref="AF24:AI24"/>
    <mergeCell ref="AK24:AM24"/>
    <mergeCell ref="AN24:AP24"/>
    <mergeCell ref="AQ24:AS24"/>
    <mergeCell ref="AU24:BD24"/>
    <mergeCell ref="A25:G25"/>
    <mergeCell ref="H25:J25"/>
    <mergeCell ref="K25:M25"/>
    <mergeCell ref="N25:P25"/>
    <mergeCell ref="Q25:S25"/>
    <mergeCell ref="AN25:AP25"/>
    <mergeCell ref="AQ25:AS25"/>
    <mergeCell ref="AU25:BD25"/>
    <mergeCell ref="A26:G26"/>
    <mergeCell ref="H26:J26"/>
    <mergeCell ref="K26:M26"/>
    <mergeCell ref="N26:P26"/>
    <mergeCell ref="Q26:S26"/>
    <mergeCell ref="T26:V26"/>
    <mergeCell ref="W26:Y26"/>
    <mergeCell ref="T25:V25"/>
    <mergeCell ref="W25:Y25"/>
    <mergeCell ref="Z25:AB25"/>
    <mergeCell ref="AC25:AE25"/>
    <mergeCell ref="AF25:AI25"/>
    <mergeCell ref="AK25:AM25"/>
    <mergeCell ref="AU26:BD26"/>
    <mergeCell ref="Z26:AB26"/>
    <mergeCell ref="AC26:AE26"/>
    <mergeCell ref="A27:G27"/>
    <mergeCell ref="H27:J27"/>
    <mergeCell ref="K27:M27"/>
    <mergeCell ref="N27:P27"/>
    <mergeCell ref="Q27:S27"/>
    <mergeCell ref="T27:V27"/>
    <mergeCell ref="W27:Y27"/>
    <mergeCell ref="Z27:AB27"/>
    <mergeCell ref="AC27:AE27"/>
    <mergeCell ref="AF26:AI26"/>
    <mergeCell ref="AK26:AM26"/>
    <mergeCell ref="AN26:AP26"/>
    <mergeCell ref="AQ26:AS26"/>
    <mergeCell ref="AF27:AI27"/>
    <mergeCell ref="AK27:AM27"/>
    <mergeCell ref="AN27:AP27"/>
    <mergeCell ref="AQ27:AS27"/>
    <mergeCell ref="AU27:BD27"/>
    <mergeCell ref="A28:G28"/>
    <mergeCell ref="H28:J28"/>
    <mergeCell ref="K28:M28"/>
    <mergeCell ref="N28:P28"/>
    <mergeCell ref="Q28:S28"/>
    <mergeCell ref="AN28:AP28"/>
    <mergeCell ref="AQ28:AS28"/>
    <mergeCell ref="AU28:BD28"/>
    <mergeCell ref="A29:G29"/>
    <mergeCell ref="H29:J29"/>
    <mergeCell ref="K29:M29"/>
    <mergeCell ref="N29:P29"/>
    <mergeCell ref="Q29:S29"/>
    <mergeCell ref="T29:V29"/>
    <mergeCell ref="W29:Y29"/>
    <mergeCell ref="T28:V28"/>
    <mergeCell ref="W28:Y28"/>
    <mergeCell ref="Z28:AB28"/>
    <mergeCell ref="AC28:AE28"/>
    <mergeCell ref="AF28:AI28"/>
    <mergeCell ref="AK28:AM28"/>
    <mergeCell ref="AU29:BD29"/>
    <mergeCell ref="Z29:AB29"/>
    <mergeCell ref="AC29:AE29"/>
    <mergeCell ref="A30:G30"/>
    <mergeCell ref="H30:J30"/>
    <mergeCell ref="K30:M30"/>
    <mergeCell ref="N30:P30"/>
    <mergeCell ref="Q30:S30"/>
    <mergeCell ref="T30:V30"/>
    <mergeCell ref="W30:Y30"/>
    <mergeCell ref="Z30:AB30"/>
    <mergeCell ref="AC30:AE30"/>
    <mergeCell ref="AF29:AI29"/>
    <mergeCell ref="AK29:AM29"/>
    <mergeCell ref="AN29:AP29"/>
    <mergeCell ref="AQ29:AS29"/>
    <mergeCell ref="AF30:AI30"/>
    <mergeCell ref="AK30:AM30"/>
    <mergeCell ref="AN30:AP30"/>
    <mergeCell ref="AQ30:AS30"/>
    <mergeCell ref="AU30:BD30"/>
    <mergeCell ref="A31:G31"/>
    <mergeCell ref="H31:J31"/>
    <mergeCell ref="K31:M31"/>
    <mergeCell ref="N31:P31"/>
    <mergeCell ref="Q31:S31"/>
    <mergeCell ref="AN31:AP31"/>
    <mergeCell ref="AQ31:AS31"/>
    <mergeCell ref="AU31:BD31"/>
    <mergeCell ref="A32:G32"/>
    <mergeCell ref="H32:J32"/>
    <mergeCell ref="K32:M32"/>
    <mergeCell ref="N32:P32"/>
    <mergeCell ref="Q32:S32"/>
    <mergeCell ref="T32:V32"/>
    <mergeCell ref="W32:Y32"/>
    <mergeCell ref="T31:V31"/>
    <mergeCell ref="W31:Y31"/>
    <mergeCell ref="Z31:AB31"/>
    <mergeCell ref="AC31:AE31"/>
    <mergeCell ref="AF31:AI31"/>
    <mergeCell ref="AK31:AM31"/>
    <mergeCell ref="AU32:BD32"/>
    <mergeCell ref="Z32:AB32"/>
    <mergeCell ref="AC32:AE32"/>
    <mergeCell ref="A33:G33"/>
    <mergeCell ref="H33:J33"/>
    <mergeCell ref="K33:M33"/>
    <mergeCell ref="N33:P33"/>
    <mergeCell ref="Q33:S33"/>
    <mergeCell ref="T33:V33"/>
    <mergeCell ref="W33:Y33"/>
    <mergeCell ref="Z33:AB33"/>
    <mergeCell ref="AC33:AE33"/>
    <mergeCell ref="AF32:AI32"/>
    <mergeCell ref="AK32:AM32"/>
    <mergeCell ref="AN32:AP32"/>
    <mergeCell ref="AQ32:AS32"/>
    <mergeCell ref="AF33:AI33"/>
    <mergeCell ref="AK33:AM33"/>
    <mergeCell ref="AN33:AP33"/>
    <mergeCell ref="AQ33:AS33"/>
    <mergeCell ref="AU33:BD33"/>
    <mergeCell ref="A34:G34"/>
    <mergeCell ref="H34:J34"/>
    <mergeCell ref="K34:M34"/>
    <mergeCell ref="N34:P34"/>
    <mergeCell ref="Q34:S34"/>
    <mergeCell ref="AN34:AP34"/>
    <mergeCell ref="AQ34:AS34"/>
    <mergeCell ref="AU34:BD34"/>
    <mergeCell ref="A35:G35"/>
    <mergeCell ref="H35:J35"/>
    <mergeCell ref="K35:M35"/>
    <mergeCell ref="N35:P35"/>
    <mergeCell ref="Q35:S35"/>
    <mergeCell ref="T35:V35"/>
    <mergeCell ref="W35:Y35"/>
    <mergeCell ref="T34:V34"/>
    <mergeCell ref="W34:Y34"/>
    <mergeCell ref="Z34:AB34"/>
    <mergeCell ref="AC34:AE34"/>
    <mergeCell ref="AF34:AI34"/>
    <mergeCell ref="AK34:AM34"/>
    <mergeCell ref="AU35:BD35"/>
    <mergeCell ref="Z35:AB35"/>
    <mergeCell ref="AC35:AE35"/>
    <mergeCell ref="A36:G36"/>
    <mergeCell ref="H36:J36"/>
    <mergeCell ref="K36:M36"/>
    <mergeCell ref="N36:P36"/>
    <mergeCell ref="Q36:S36"/>
    <mergeCell ref="T36:V36"/>
    <mergeCell ref="W36:Y36"/>
    <mergeCell ref="Z36:AB36"/>
    <mergeCell ref="AC36:AE36"/>
    <mergeCell ref="AF35:AI35"/>
    <mergeCell ref="AK35:AM35"/>
    <mergeCell ref="AN35:AP35"/>
    <mergeCell ref="AQ35:AS35"/>
    <mergeCell ref="AF36:AI36"/>
    <mergeCell ref="AK36:AM36"/>
    <mergeCell ref="AN36:AP36"/>
    <mergeCell ref="AQ36:AS36"/>
    <mergeCell ref="AU36:BD36"/>
    <mergeCell ref="A37:G37"/>
    <mergeCell ref="H37:J37"/>
    <mergeCell ref="K37:M37"/>
    <mergeCell ref="N37:P37"/>
    <mergeCell ref="Q37:S37"/>
    <mergeCell ref="AN37:AP37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T37:V37"/>
    <mergeCell ref="W37:Y37"/>
    <mergeCell ref="Z37:AB37"/>
    <mergeCell ref="AC37:AE37"/>
    <mergeCell ref="AF37:AI37"/>
    <mergeCell ref="AK37:AM37"/>
    <mergeCell ref="AU38:BD38"/>
    <mergeCell ref="Z38:AB38"/>
    <mergeCell ref="AC38:AE38"/>
    <mergeCell ref="A39:G39"/>
    <mergeCell ref="H39:J39"/>
    <mergeCell ref="K39:M39"/>
    <mergeCell ref="N39:P39"/>
    <mergeCell ref="Q39:S39"/>
    <mergeCell ref="T39:V39"/>
    <mergeCell ref="W39:Y39"/>
    <mergeCell ref="Z39:AB39"/>
    <mergeCell ref="AC39:AE39"/>
    <mergeCell ref="AF38:AI38"/>
    <mergeCell ref="AK38:AM38"/>
    <mergeCell ref="AN38:AP38"/>
    <mergeCell ref="AQ38:AS38"/>
    <mergeCell ref="AF39:AI39"/>
    <mergeCell ref="AK39:AM39"/>
    <mergeCell ref="AN39:AP39"/>
    <mergeCell ref="AQ39:AS39"/>
    <mergeCell ref="AU39:BD39"/>
    <mergeCell ref="A40:G40"/>
    <mergeCell ref="H40:J40"/>
    <mergeCell ref="K40:M40"/>
    <mergeCell ref="N40:P40"/>
    <mergeCell ref="Q40:S40"/>
    <mergeCell ref="AN40:AP40"/>
    <mergeCell ref="AQ40:AS40"/>
    <mergeCell ref="AU40:BD40"/>
    <mergeCell ref="A41:G41"/>
    <mergeCell ref="H41:J41"/>
    <mergeCell ref="K41:M41"/>
    <mergeCell ref="N41:P41"/>
    <mergeCell ref="Q41:S41"/>
    <mergeCell ref="T41:V41"/>
    <mergeCell ref="W41:Y41"/>
    <mergeCell ref="T40:V40"/>
    <mergeCell ref="W40:Y40"/>
    <mergeCell ref="Z40:AB40"/>
    <mergeCell ref="AC40:AE40"/>
    <mergeCell ref="AF40:AI40"/>
    <mergeCell ref="AK40:AM40"/>
    <mergeCell ref="AU41:BD41"/>
    <mergeCell ref="Z41:AB41"/>
    <mergeCell ref="AC41:AE41"/>
    <mergeCell ref="A42:G42"/>
    <mergeCell ref="H42:J42"/>
    <mergeCell ref="K42:M42"/>
    <mergeCell ref="N42:P42"/>
    <mergeCell ref="Q42:S42"/>
    <mergeCell ref="T42:V42"/>
    <mergeCell ref="W42:Y42"/>
    <mergeCell ref="Z42:AB42"/>
    <mergeCell ref="AC42:AE42"/>
    <mergeCell ref="AF41:AI41"/>
    <mergeCell ref="AK41:AM41"/>
    <mergeCell ref="AN41:AP41"/>
    <mergeCell ref="AQ41:AS41"/>
    <mergeCell ref="AF42:AI42"/>
    <mergeCell ref="AK42:AM42"/>
    <mergeCell ref="AN42:AP42"/>
    <mergeCell ref="AQ42:AS42"/>
    <mergeCell ref="AU42:BD42"/>
    <mergeCell ref="A43:G43"/>
    <mergeCell ref="H43:J43"/>
    <mergeCell ref="K43:M43"/>
    <mergeCell ref="N43:P43"/>
    <mergeCell ref="Q43:S43"/>
    <mergeCell ref="AN43:AP43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T43:V43"/>
    <mergeCell ref="W43:Y43"/>
    <mergeCell ref="Z43:AB43"/>
    <mergeCell ref="AC43:AE43"/>
    <mergeCell ref="AF43:AI43"/>
    <mergeCell ref="AK43:AM43"/>
    <mergeCell ref="AU44:BD44"/>
    <mergeCell ref="Z44:AB44"/>
    <mergeCell ref="AC44:AE44"/>
    <mergeCell ref="A45:G45"/>
    <mergeCell ref="H45:J45"/>
    <mergeCell ref="K45:M45"/>
    <mergeCell ref="N45:P45"/>
    <mergeCell ref="Q45:S45"/>
    <mergeCell ref="T45:V45"/>
    <mergeCell ref="W45:Y45"/>
    <mergeCell ref="Z45:AB45"/>
    <mergeCell ref="AC45:AE45"/>
    <mergeCell ref="AF44:AI44"/>
    <mergeCell ref="AK44:AM44"/>
    <mergeCell ref="AN44:AP44"/>
    <mergeCell ref="AQ44:AS44"/>
    <mergeCell ref="AF45:AI45"/>
    <mergeCell ref="AK45:AM45"/>
    <mergeCell ref="AN45:AP45"/>
    <mergeCell ref="AQ45:AS45"/>
    <mergeCell ref="AU45:BD45"/>
    <mergeCell ref="A46:G46"/>
    <mergeCell ref="H46:J46"/>
    <mergeCell ref="K46:M46"/>
    <mergeCell ref="N46:P46"/>
    <mergeCell ref="Q46:S46"/>
    <mergeCell ref="AN46:AP46"/>
    <mergeCell ref="AQ46:AS46"/>
    <mergeCell ref="AU46:BD46"/>
    <mergeCell ref="A47:G47"/>
    <mergeCell ref="H47:J47"/>
    <mergeCell ref="K47:M47"/>
    <mergeCell ref="N47:P47"/>
    <mergeCell ref="Q47:S47"/>
    <mergeCell ref="T47:V47"/>
    <mergeCell ref="W47:Y47"/>
    <mergeCell ref="T46:V46"/>
    <mergeCell ref="W46:Y46"/>
    <mergeCell ref="Z46:AB46"/>
    <mergeCell ref="AC46:AE46"/>
    <mergeCell ref="AF46:AI46"/>
    <mergeCell ref="AK46:AM46"/>
    <mergeCell ref="AU47:BD47"/>
    <mergeCell ref="Z47:AB47"/>
    <mergeCell ref="AC47:AE47"/>
    <mergeCell ref="A48:G48"/>
    <mergeCell ref="H48:J48"/>
    <mergeCell ref="K48:M48"/>
    <mergeCell ref="N48:P48"/>
    <mergeCell ref="Q48:S48"/>
    <mergeCell ref="T48:V48"/>
    <mergeCell ref="W48:Y48"/>
    <mergeCell ref="Z48:AB48"/>
    <mergeCell ref="AC48:AE48"/>
    <mergeCell ref="AF47:AI47"/>
    <mergeCell ref="AK47:AM47"/>
    <mergeCell ref="AN47:AP47"/>
    <mergeCell ref="AQ47:AS47"/>
    <mergeCell ref="AF48:AI48"/>
    <mergeCell ref="AK48:AM48"/>
    <mergeCell ref="AN48:AP48"/>
    <mergeCell ref="AQ48:AS48"/>
    <mergeCell ref="AU48:BD48"/>
    <mergeCell ref="A49:G49"/>
    <mergeCell ref="H49:J49"/>
    <mergeCell ref="K49:M49"/>
    <mergeCell ref="N49:P49"/>
    <mergeCell ref="Q49:S49"/>
    <mergeCell ref="AN49:AP49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T49:V49"/>
    <mergeCell ref="W49:Y49"/>
    <mergeCell ref="Z49:AB49"/>
    <mergeCell ref="AC49:AE49"/>
    <mergeCell ref="AF49:AI49"/>
    <mergeCell ref="AK49:AM49"/>
    <mergeCell ref="AU50:BD50"/>
    <mergeCell ref="Z50:AB50"/>
    <mergeCell ref="AC50:AE50"/>
    <mergeCell ref="A51:G51"/>
    <mergeCell ref="H51:J51"/>
    <mergeCell ref="K51:M51"/>
    <mergeCell ref="N51:P51"/>
    <mergeCell ref="Q51:S51"/>
    <mergeCell ref="T51:V51"/>
    <mergeCell ref="W51:Y51"/>
    <mergeCell ref="Z51:AB51"/>
    <mergeCell ref="AC51:AE51"/>
    <mergeCell ref="AF50:AI50"/>
    <mergeCell ref="AK50:AM50"/>
    <mergeCell ref="AN50:AP50"/>
    <mergeCell ref="AQ50:AS50"/>
    <mergeCell ref="AK52:AM52"/>
    <mergeCell ref="AN52:AP52"/>
    <mergeCell ref="AQ52:AS52"/>
    <mergeCell ref="AU52:BD52"/>
    <mergeCell ref="AF51:AI51"/>
    <mergeCell ref="AK51:AM51"/>
    <mergeCell ref="AN51:AP51"/>
    <mergeCell ref="AQ51:AS51"/>
    <mergeCell ref="AU51:BD51"/>
    <mergeCell ref="E62:K62"/>
    <mergeCell ref="V62:AI62"/>
    <mergeCell ref="B55:AI55"/>
    <mergeCell ref="B56:AI56"/>
    <mergeCell ref="B57:AI57"/>
    <mergeCell ref="B58:AI58"/>
    <mergeCell ref="B59:AI59"/>
    <mergeCell ref="B60:AI60"/>
    <mergeCell ref="AC52:AE52"/>
    <mergeCell ref="AF52:AI52"/>
    <mergeCell ref="A52:P52"/>
    <mergeCell ref="Q52:S52"/>
    <mergeCell ref="T52:V52"/>
    <mergeCell ref="W52:Y52"/>
    <mergeCell ref="Z52:AB52"/>
  </mergeCells>
  <conditionalFormatting sqref="AU13:BD52">
    <cfRule type="notContainsBlanks" dxfId="269" priority="6">
      <formula>LEN(TRIM(AU13))&gt;0</formula>
    </cfRule>
  </conditionalFormatting>
  <conditionalFormatting sqref="F7:P7 Y7:AI7 E62:K62 V62:AI62 BB9:BB10">
    <cfRule type="containsBlanks" dxfId="268" priority="3">
      <formula>LEN(TRIM(E7))=0</formula>
    </cfRule>
  </conditionalFormatting>
  <conditionalFormatting sqref="A13:AC51">
    <cfRule type="notContainsBlanks" dxfId="267" priority="4">
      <formula>LEN(TRIM(A13))&gt;0</formula>
    </cfRule>
    <cfRule type="expression" dxfId="266" priority="5">
      <formula>NOT(ISBLANK($H13))</formula>
    </cfRule>
  </conditionalFormatting>
  <conditionalFormatting sqref="Q52:AE52">
    <cfRule type="cellIs" dxfId="265" priority="2" operator="between">
      <formula>0</formula>
      <formula>0</formula>
    </cfRule>
  </conditionalFormatting>
  <conditionalFormatting sqref="T13:AB52">
    <cfRule type="expression" dxfId="264" priority="1">
      <formula>$AC13&lt;&gt;""</formula>
    </cfRule>
  </conditionalFormatting>
  <dataValidations count="1">
    <dataValidation type="whole" allowBlank="1" showInputMessage="1" showErrorMessage="1" error="This Remarks section is limited to 6." sqref="A55:A60" xr:uid="{330ECFF6-EAB2-4404-AE8A-E1ABB9FD7060}">
      <formula1>1</formula1>
      <formula2>6</formula2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025D9-CD14-4318-913A-A72F2F62358E}">
  <sheetPr codeName="Sheet4">
    <pageSetUpPr fitToPage="1"/>
  </sheetPr>
  <dimension ref="A1:DG55"/>
  <sheetViews>
    <sheetView zoomScaleNormal="100" workbookViewId="0">
      <selection activeCell="A45" sqref="A45:G45"/>
    </sheetView>
  </sheetViews>
  <sheetFormatPr defaultColWidth="0" defaultRowHeight="14.45" customHeight="1" zeroHeight="1" x14ac:dyDescent="0.25"/>
  <cols>
    <col min="1" max="48" width="2.7109375" style="12" customWidth="1"/>
    <col min="49" max="84" width="2.7109375" customWidth="1"/>
    <col min="85" max="111" width="2.7109375" hidden="1" customWidth="1"/>
    <col min="112" max="16384" width="9.140625" hidden="1"/>
  </cols>
  <sheetData>
    <row r="1" spans="1:85" ht="12" customHeight="1" x14ac:dyDescent="0.25">
      <c r="A1" s="106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546" t="s">
        <v>159</v>
      </c>
      <c r="AX1" s="546"/>
      <c r="AY1" s="546"/>
      <c r="AZ1" s="546"/>
      <c r="BA1" s="546"/>
      <c r="BB1" s="546"/>
      <c r="BC1" s="546"/>
      <c r="BD1" s="546"/>
      <c r="BE1" s="546"/>
      <c r="BF1" s="546"/>
      <c r="BG1" s="546"/>
      <c r="BH1" s="546"/>
      <c r="BI1" s="546"/>
      <c r="BJ1" s="546"/>
      <c r="BK1" s="546"/>
      <c r="BL1" s="546"/>
      <c r="BM1" s="546"/>
      <c r="BN1" s="546"/>
      <c r="BO1" s="546"/>
      <c r="BP1" s="546"/>
      <c r="BQ1" s="546"/>
      <c r="BR1" s="546"/>
      <c r="BS1" s="546"/>
      <c r="BT1" s="546"/>
      <c r="BU1" s="546"/>
      <c r="BV1" s="546"/>
      <c r="BW1" s="546"/>
      <c r="BX1" s="546"/>
      <c r="BY1" s="546"/>
      <c r="BZ1" s="546"/>
      <c r="CA1" s="546"/>
      <c r="CB1" s="546"/>
      <c r="CC1" s="546"/>
      <c r="CD1" s="546"/>
      <c r="CE1" s="546"/>
      <c r="CF1" s="546"/>
    </row>
    <row r="2" spans="1:85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</row>
    <row r="3" spans="1:85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</row>
    <row r="4" spans="1:85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</row>
    <row r="5" spans="1:85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550"/>
      <c r="AK5" s="550"/>
      <c r="AL5" s="550"/>
      <c r="AM5" s="550"/>
      <c r="AN5" s="550"/>
      <c r="AO5" s="550"/>
      <c r="AP5" s="550"/>
      <c r="AQ5" s="550"/>
      <c r="AR5" s="550"/>
      <c r="AS5" s="550"/>
      <c r="AT5" s="550"/>
      <c r="AU5" s="550"/>
      <c r="AV5" s="550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</row>
    <row r="6" spans="1:85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</row>
    <row r="7" spans="1:85" ht="12" customHeight="1" thickBot="1" x14ac:dyDescent="0.3">
      <c r="A7" s="526" t="s">
        <v>161</v>
      </c>
      <c r="B7" s="526"/>
      <c r="C7" s="526"/>
      <c r="D7" s="526"/>
      <c r="E7" s="526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26" t="s">
        <v>162</v>
      </c>
      <c r="AH7" s="526"/>
      <c r="AI7" s="526"/>
      <c r="AJ7" s="526"/>
      <c r="AK7" s="526"/>
      <c r="AL7" s="527"/>
      <c r="AM7" s="527"/>
      <c r="AN7" s="527"/>
      <c r="AO7" s="527"/>
      <c r="AP7" s="527"/>
      <c r="AQ7" s="527"/>
      <c r="AR7" s="527"/>
      <c r="AS7" s="527"/>
      <c r="AT7" s="527"/>
      <c r="AU7" s="527"/>
      <c r="AV7" s="527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</row>
    <row r="8" spans="1:85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4"/>
      <c r="AX8" s="108"/>
      <c r="AY8" s="678" t="s">
        <v>297</v>
      </c>
      <c r="AZ8" s="679"/>
      <c r="BA8" s="679"/>
      <c r="BB8" s="679"/>
      <c r="BC8" s="679"/>
      <c r="BD8" s="679"/>
      <c r="BE8" s="679"/>
      <c r="BF8" s="680"/>
      <c r="BG8" s="109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</row>
    <row r="9" spans="1:85" ht="12" customHeight="1" thickTop="1" x14ac:dyDescent="0.25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526" t="s">
        <v>164</v>
      </c>
      <c r="AH9" s="526"/>
      <c r="AI9" s="526"/>
      <c r="AJ9" s="526"/>
      <c r="AK9" s="526"/>
      <c r="AL9" s="527"/>
      <c r="AM9" s="527"/>
      <c r="AN9" s="527"/>
      <c r="AO9" s="527"/>
      <c r="AP9" s="527"/>
      <c r="AQ9" s="527"/>
      <c r="AR9" s="527"/>
      <c r="AS9" s="527"/>
      <c r="AT9" s="527"/>
      <c r="AU9" s="527"/>
      <c r="AV9" s="527"/>
      <c r="AW9" s="44"/>
      <c r="AX9" s="110"/>
      <c r="AY9" s="684" t="s">
        <v>298</v>
      </c>
      <c r="AZ9" s="684"/>
      <c r="BA9" s="684"/>
      <c r="BB9" s="684"/>
      <c r="BC9" s="684"/>
      <c r="BD9" s="684"/>
      <c r="BE9" s="685"/>
      <c r="BF9" s="686"/>
      <c r="BG9" s="111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</row>
    <row r="10" spans="1:85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4"/>
      <c r="AX10" s="110"/>
      <c r="AY10" s="669" t="s">
        <v>300</v>
      </c>
      <c r="AZ10" s="669"/>
      <c r="BA10" s="669"/>
      <c r="BB10" s="669"/>
      <c r="BC10" s="669"/>
      <c r="BD10" s="669"/>
      <c r="BE10" s="670"/>
      <c r="BF10" s="671"/>
      <c r="BG10" s="112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</row>
    <row r="11" spans="1:85" ht="12" customHeight="1" thickBot="1" x14ac:dyDescent="0.3">
      <c r="A11" s="314" t="s">
        <v>311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5"/>
      <c r="AJ11" s="315"/>
      <c r="AK11" s="315"/>
      <c r="AL11" s="315"/>
      <c r="AM11" s="315"/>
      <c r="AN11" s="315"/>
      <c r="AO11" s="315"/>
      <c r="AP11" s="315"/>
      <c r="AQ11" s="315"/>
      <c r="AR11" s="315"/>
      <c r="AS11" s="315"/>
      <c r="AT11" s="315"/>
      <c r="AU11" s="315"/>
      <c r="AV11" s="316"/>
      <c r="AW11" s="44"/>
      <c r="AX11" s="113"/>
      <c r="AY11" s="114"/>
      <c r="AZ11" s="114"/>
      <c r="BA11" s="114"/>
      <c r="BB11" s="114"/>
      <c r="BC11" s="114"/>
      <c r="BD11" s="114"/>
      <c r="BE11" s="114"/>
      <c r="BF11" s="114"/>
      <c r="BG11" s="115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</row>
    <row r="12" spans="1:85" ht="12.75" customHeight="1" thickTop="1" thickBot="1" x14ac:dyDescent="0.3">
      <c r="A12" s="752" t="s">
        <v>312</v>
      </c>
      <c r="B12" s="753"/>
      <c r="C12" s="753"/>
      <c r="D12" s="753"/>
      <c r="E12" s="753"/>
      <c r="F12" s="753"/>
      <c r="G12" s="753"/>
      <c r="H12" s="753"/>
      <c r="I12" s="753"/>
      <c r="J12" s="753"/>
      <c r="K12" s="753"/>
      <c r="L12" s="753"/>
      <c r="M12" s="753"/>
      <c r="N12" s="753"/>
      <c r="O12" s="753"/>
      <c r="P12" s="753"/>
      <c r="Q12" s="753" t="s">
        <v>313</v>
      </c>
      <c r="R12" s="753"/>
      <c r="S12" s="753"/>
      <c r="T12" s="753"/>
      <c r="U12" s="753"/>
      <c r="V12" s="753"/>
      <c r="W12" s="753"/>
      <c r="X12" s="753"/>
      <c r="Y12" s="753"/>
      <c r="Z12" s="753"/>
      <c r="AA12" s="753"/>
      <c r="AB12" s="753"/>
      <c r="AC12" s="753"/>
      <c r="AD12" s="753"/>
      <c r="AE12" s="753"/>
      <c r="AF12" s="753"/>
      <c r="AG12" s="753" t="s">
        <v>314</v>
      </c>
      <c r="AH12" s="753"/>
      <c r="AI12" s="753"/>
      <c r="AJ12" s="753"/>
      <c r="AK12" s="753"/>
      <c r="AL12" s="753"/>
      <c r="AM12" s="753"/>
      <c r="AN12" s="753"/>
      <c r="AO12" s="753"/>
      <c r="AP12" s="753"/>
      <c r="AQ12" s="753"/>
      <c r="AR12" s="753"/>
      <c r="AS12" s="753"/>
      <c r="AT12" s="753"/>
      <c r="AU12" s="753"/>
      <c r="AV12" s="779"/>
      <c r="AW12" s="44"/>
      <c r="AX12" s="780" t="s">
        <v>309</v>
      </c>
      <c r="AY12" s="781"/>
      <c r="AZ12" s="781"/>
      <c r="BA12" s="781"/>
      <c r="BB12" s="781"/>
      <c r="BC12" s="781"/>
      <c r="BD12" s="781"/>
      <c r="BE12" s="781"/>
      <c r="BF12" s="781"/>
      <c r="BG12" s="782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</row>
    <row r="13" spans="1:85" ht="12" customHeight="1" thickTop="1" thickBot="1" x14ac:dyDescent="0.3">
      <c r="A13" s="426" t="s">
        <v>315</v>
      </c>
      <c r="B13" s="428"/>
      <c r="C13" s="118" t="s">
        <v>316</v>
      </c>
      <c r="D13" s="560"/>
      <c r="E13" s="560"/>
      <c r="F13" s="560"/>
      <c r="G13" s="118" t="s">
        <v>317</v>
      </c>
      <c r="H13" s="560"/>
      <c r="I13" s="560"/>
      <c r="J13" s="776"/>
      <c r="K13" s="773" t="s">
        <v>318</v>
      </c>
      <c r="L13" s="427"/>
      <c r="M13" s="427"/>
      <c r="N13" s="777" t="str">
        <f>IF(AND(D13&lt;&gt;0,H13&lt;&gt;0),D13*H13/144,"")</f>
        <v/>
      </c>
      <c r="O13" s="777"/>
      <c r="P13" s="778"/>
      <c r="Q13" s="773" t="s">
        <v>319</v>
      </c>
      <c r="R13" s="427"/>
      <c r="S13" s="427"/>
      <c r="T13" s="771" t="str">
        <f>IFERROR(ROUND((AB13/N13),2),"")</f>
        <v/>
      </c>
      <c r="U13" s="771"/>
      <c r="V13" s="771"/>
      <c r="W13" s="771"/>
      <c r="X13" s="772"/>
      <c r="Y13" s="773" t="s">
        <v>56</v>
      </c>
      <c r="Z13" s="427"/>
      <c r="AA13" s="427"/>
      <c r="AB13" s="774"/>
      <c r="AC13" s="774"/>
      <c r="AD13" s="774"/>
      <c r="AE13" s="774"/>
      <c r="AF13" s="775"/>
      <c r="AG13" s="773" t="s">
        <v>319</v>
      </c>
      <c r="AH13" s="427"/>
      <c r="AI13" s="427"/>
      <c r="AJ13" s="771" t="str">
        <f>AP37</f>
        <v/>
      </c>
      <c r="AK13" s="771"/>
      <c r="AL13" s="771"/>
      <c r="AM13" s="771"/>
      <c r="AN13" s="772"/>
      <c r="AO13" s="773" t="s">
        <v>56</v>
      </c>
      <c r="AP13" s="427"/>
      <c r="AQ13" s="427"/>
      <c r="AR13" s="771" t="str">
        <f>AP40</f>
        <v/>
      </c>
      <c r="AS13" s="771"/>
      <c r="AT13" s="771"/>
      <c r="AU13" s="771"/>
      <c r="AV13" s="783"/>
      <c r="AW13" s="44"/>
      <c r="AX13" s="626" t="str">
        <f>IF(AR13="CALC.","",IF(AR13="","",IF(AR13&lt;AB13-(AB13*$BE$10),"Below "&amp;$BE$10*100&amp;"% by "&amp;ROUND(AB13-(AB13*$BE$10)-AR13,0)&amp;" CFM",IF(AR13&gt;AB13+(AB13*$BE$9),"Above "&amp;$BE$9*100&amp;"% by "&amp;ROUND(AR13-AB13-(AB13*$BE$9),0)&amp;" CFM",""))))</f>
        <v/>
      </c>
      <c r="AY13" s="627"/>
      <c r="AZ13" s="627"/>
      <c r="BA13" s="627"/>
      <c r="BB13" s="627"/>
      <c r="BC13" s="627"/>
      <c r="BD13" s="627"/>
      <c r="BE13" s="627"/>
      <c r="BF13" s="627"/>
      <c r="BG13" s="628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</row>
    <row r="14" spans="1:85" ht="12" customHeight="1" thickBot="1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119"/>
    </row>
    <row r="15" spans="1:85" s="120" customFormat="1" ht="12" customHeight="1" thickBot="1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338" t="s">
        <v>320</v>
      </c>
      <c r="U15" s="339"/>
      <c r="V15" s="339"/>
      <c r="W15" s="339"/>
      <c r="X15" s="339"/>
      <c r="Y15" s="339"/>
      <c r="Z15" s="339"/>
      <c r="AA15" s="339"/>
      <c r="AB15" s="339"/>
      <c r="AC15" s="339"/>
      <c r="AD15" s="339"/>
      <c r="AE15" s="340"/>
      <c r="AF15" s="42"/>
      <c r="AG15" s="314" t="s">
        <v>321</v>
      </c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  <c r="AS15" s="315"/>
      <c r="AT15" s="315"/>
      <c r="AU15" s="315"/>
      <c r="AV15" s="316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</row>
    <row r="16" spans="1:85" ht="12.75" customHeight="1" thickTop="1" thickBot="1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765"/>
      <c r="U16" s="766"/>
      <c r="V16" s="766"/>
      <c r="W16" s="766"/>
      <c r="X16" s="766"/>
      <c r="Y16" s="766"/>
      <c r="Z16" s="766"/>
      <c r="AA16" s="766"/>
      <c r="AB16" s="356"/>
      <c r="AC16" s="357"/>
      <c r="AD16" s="322"/>
      <c r="AE16" s="323"/>
      <c r="AF16" s="42"/>
      <c r="AG16" s="767" t="s">
        <v>322</v>
      </c>
      <c r="AH16" s="768"/>
      <c r="AI16" s="768"/>
      <c r="AJ16" s="768"/>
      <c r="AK16" s="768"/>
      <c r="AL16" s="769" t="s">
        <v>323</v>
      </c>
      <c r="AM16" s="769"/>
      <c r="AN16" s="769"/>
      <c r="AO16" s="769"/>
      <c r="AP16" s="769"/>
      <c r="AQ16" s="769"/>
      <c r="AR16" s="769"/>
      <c r="AS16" s="769"/>
      <c r="AT16" s="769"/>
      <c r="AU16" s="769"/>
      <c r="AV16" s="770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</row>
    <row r="17" spans="1:84" ht="12" customHeight="1" thickBot="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</row>
    <row r="18" spans="1:84" ht="12" customHeight="1" x14ac:dyDescent="0.25">
      <c r="A18" s="758" t="s">
        <v>324</v>
      </c>
      <c r="B18" s="759"/>
      <c r="C18" s="759"/>
      <c r="D18" s="759"/>
      <c r="E18" s="759"/>
      <c r="F18" s="759"/>
      <c r="G18" s="759"/>
      <c r="H18" s="759"/>
      <c r="I18" s="759"/>
      <c r="J18" s="759"/>
      <c r="K18" s="759"/>
      <c r="L18" s="759"/>
      <c r="M18" s="759"/>
      <c r="N18" s="759"/>
      <c r="O18" s="759"/>
      <c r="P18" s="759"/>
      <c r="Q18" s="759"/>
      <c r="R18" s="759"/>
      <c r="S18" s="759"/>
      <c r="T18" s="759"/>
      <c r="U18" s="759"/>
      <c r="V18" s="759"/>
      <c r="W18" s="759"/>
      <c r="X18" s="759"/>
      <c r="Y18" s="759"/>
      <c r="Z18" s="759"/>
      <c r="AA18" s="759"/>
      <c r="AB18" s="759"/>
      <c r="AC18" s="759"/>
      <c r="AD18" s="759"/>
      <c r="AE18" s="759"/>
      <c r="AF18" s="759"/>
      <c r="AG18" s="759"/>
      <c r="AH18" s="759"/>
      <c r="AI18" s="759"/>
      <c r="AJ18" s="759"/>
      <c r="AK18" s="759"/>
      <c r="AL18" s="759"/>
      <c r="AM18" s="759"/>
      <c r="AN18" s="759"/>
      <c r="AO18" s="759"/>
      <c r="AP18" s="759"/>
      <c r="AQ18" s="759"/>
      <c r="AR18" s="759"/>
      <c r="AS18" s="759"/>
      <c r="AT18" s="759"/>
      <c r="AU18" s="759"/>
      <c r="AV18" s="760"/>
      <c r="AW18" s="44"/>
      <c r="AX18" s="341" t="s">
        <v>325</v>
      </c>
      <c r="AY18" s="741"/>
      <c r="AZ18" s="741"/>
      <c r="BA18" s="741"/>
      <c r="BB18" s="741"/>
      <c r="BC18" s="741"/>
      <c r="BD18" s="741"/>
      <c r="BE18" s="741"/>
      <c r="BF18" s="742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</row>
    <row r="19" spans="1:84" ht="12" customHeight="1" thickBot="1" x14ac:dyDescent="0.3">
      <c r="A19" s="730" t="s">
        <v>326</v>
      </c>
      <c r="B19" s="731"/>
      <c r="C19" s="731"/>
      <c r="D19" s="731"/>
      <c r="E19" s="731"/>
      <c r="F19" s="761"/>
      <c r="G19" s="762">
        <v>1</v>
      </c>
      <c r="H19" s="762"/>
      <c r="I19" s="762"/>
      <c r="J19" s="763">
        <v>2</v>
      </c>
      <c r="K19" s="762"/>
      <c r="L19" s="762"/>
      <c r="M19" s="763">
        <v>3</v>
      </c>
      <c r="N19" s="762"/>
      <c r="O19" s="762"/>
      <c r="P19" s="763">
        <v>4</v>
      </c>
      <c r="Q19" s="762"/>
      <c r="R19" s="762"/>
      <c r="S19" s="763">
        <v>5</v>
      </c>
      <c r="T19" s="762"/>
      <c r="U19" s="762"/>
      <c r="V19" s="763">
        <v>6</v>
      </c>
      <c r="W19" s="762"/>
      <c r="X19" s="762"/>
      <c r="Y19" s="763">
        <v>7</v>
      </c>
      <c r="Z19" s="762"/>
      <c r="AA19" s="762"/>
      <c r="AB19" s="763">
        <v>8</v>
      </c>
      <c r="AC19" s="762"/>
      <c r="AD19" s="762"/>
      <c r="AE19" s="763">
        <v>9</v>
      </c>
      <c r="AF19" s="762"/>
      <c r="AG19" s="762"/>
      <c r="AH19" s="763">
        <v>10</v>
      </c>
      <c r="AI19" s="762"/>
      <c r="AJ19" s="762"/>
      <c r="AK19" s="763">
        <v>11</v>
      </c>
      <c r="AL19" s="762"/>
      <c r="AM19" s="762"/>
      <c r="AN19" s="763">
        <v>12</v>
      </c>
      <c r="AO19" s="762"/>
      <c r="AP19" s="762"/>
      <c r="AQ19" s="763">
        <v>13</v>
      </c>
      <c r="AR19" s="762"/>
      <c r="AS19" s="762"/>
      <c r="AT19" s="763">
        <v>14</v>
      </c>
      <c r="AU19" s="762"/>
      <c r="AV19" s="764"/>
      <c r="AW19" s="44"/>
      <c r="AX19" s="743"/>
      <c r="AY19" s="744"/>
      <c r="AZ19" s="744"/>
      <c r="BA19" s="744"/>
      <c r="BB19" s="744"/>
      <c r="BC19" s="744"/>
      <c r="BD19" s="744"/>
      <c r="BE19" s="744"/>
      <c r="BF19" s="745"/>
      <c r="BG19" s="44"/>
      <c r="BH19" s="44"/>
      <c r="BI19" s="121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</row>
    <row r="20" spans="1:84" ht="12" customHeight="1" thickTop="1" thickBot="1" x14ac:dyDescent="0.3">
      <c r="A20" s="726" t="s">
        <v>306</v>
      </c>
      <c r="B20" s="392"/>
      <c r="C20" s="392"/>
      <c r="D20" s="392" t="s">
        <v>327</v>
      </c>
      <c r="E20" s="392"/>
      <c r="F20" s="757"/>
      <c r="G20" s="747">
        <f>IFERROR(IF(BD20&lt;12,BD20/2,6),"")</f>
        <v>6</v>
      </c>
      <c r="H20" s="747"/>
      <c r="I20" s="747"/>
      <c r="J20" s="746" t="str">
        <f>IFERROR(IF(J19&lt;=$BD$21,G20+$BD$22,""),"")</f>
        <v/>
      </c>
      <c r="K20" s="747"/>
      <c r="L20" s="747"/>
      <c r="M20" s="746" t="str">
        <f>IFERROR(IF(M19&lt;=$BD$21,J20+$BD$22,""),"")</f>
        <v/>
      </c>
      <c r="N20" s="747"/>
      <c r="O20" s="747"/>
      <c r="P20" s="746" t="str">
        <f>IFERROR(IF(P19&lt;=$BD$21,M20+$BD$22,""),"")</f>
        <v/>
      </c>
      <c r="Q20" s="747"/>
      <c r="R20" s="747"/>
      <c r="S20" s="746" t="str">
        <f>IFERROR(IF(S19&lt;=$BD$21,P20+$BD$22,""),"")</f>
        <v/>
      </c>
      <c r="T20" s="747"/>
      <c r="U20" s="747"/>
      <c r="V20" s="746" t="str">
        <f>IFERROR(IF(V19&lt;=$BD$21,S20+$BD$22,""),"")</f>
        <v/>
      </c>
      <c r="W20" s="747"/>
      <c r="X20" s="747"/>
      <c r="Y20" s="746" t="str">
        <f>IFERROR(IF(Y19&lt;=$BD$21,V20+$BD$22,""),"")</f>
        <v/>
      </c>
      <c r="Z20" s="747"/>
      <c r="AA20" s="747"/>
      <c r="AB20" s="746" t="str">
        <f>IFERROR(IF(AB19&lt;=$BD$21,Y20+$BD$22,""),"")</f>
        <v/>
      </c>
      <c r="AC20" s="747"/>
      <c r="AD20" s="747"/>
      <c r="AE20" s="746" t="str">
        <f>IFERROR(IF(AE19&lt;=$BD$21,AB20+$BD$22,""),"")</f>
        <v/>
      </c>
      <c r="AF20" s="747"/>
      <c r="AG20" s="747"/>
      <c r="AH20" s="746" t="str">
        <f>IFERROR(IF(AH19&lt;=$BD$21,AE20+$BD$22,""),"")</f>
        <v/>
      </c>
      <c r="AI20" s="747"/>
      <c r="AJ20" s="747"/>
      <c r="AK20" s="746" t="str">
        <f>IFERROR(IF(AK19&lt;=$BD$21,AH20+$BD$22,""),"")</f>
        <v/>
      </c>
      <c r="AL20" s="747"/>
      <c r="AM20" s="747"/>
      <c r="AN20" s="746" t="str">
        <f>IFERROR(IF(AN19&lt;=$BD$21,AK20+$BD$22,""),"")</f>
        <v/>
      </c>
      <c r="AO20" s="747"/>
      <c r="AP20" s="747"/>
      <c r="AQ20" s="746" t="str">
        <f>IFERROR(IF(AQ19&lt;=$BD$21,AN20+$BD$22,""),"")</f>
        <v/>
      </c>
      <c r="AR20" s="747"/>
      <c r="AS20" s="747"/>
      <c r="AT20" s="746" t="str">
        <f>IFERROR(IF(AT19&lt;=$BD$21,AQ20+$BD$22,""),"")</f>
        <v/>
      </c>
      <c r="AU20" s="747"/>
      <c r="AV20" s="748"/>
      <c r="AW20" s="44"/>
      <c r="AX20" s="749" t="s">
        <v>328</v>
      </c>
      <c r="AY20" s="750"/>
      <c r="AZ20" s="750"/>
      <c r="BA20" s="750"/>
      <c r="BB20" s="750"/>
      <c r="BC20" s="751"/>
      <c r="BD20" s="739" t="str">
        <f>IF(D13&lt;&gt;0,D13,"")</f>
        <v/>
      </c>
      <c r="BE20" s="739"/>
      <c r="BF20" s="740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</row>
    <row r="21" spans="1:84" ht="12.75" customHeight="1" thickTop="1" thickBot="1" x14ac:dyDescent="0.3">
      <c r="A21" s="752">
        <v>1</v>
      </c>
      <c r="B21" s="753"/>
      <c r="C21" s="753"/>
      <c r="D21" s="754">
        <f>IFERROR(IF(BD26&lt;12,BD26/2,6),"")</f>
        <v>6</v>
      </c>
      <c r="E21" s="754"/>
      <c r="F21" s="755"/>
      <c r="G21" s="634"/>
      <c r="H21" s="634"/>
      <c r="I21" s="634"/>
      <c r="J21" s="634"/>
      <c r="K21" s="634"/>
      <c r="L21" s="634"/>
      <c r="M21" s="634"/>
      <c r="N21" s="634"/>
      <c r="O21" s="634"/>
      <c r="P21" s="634"/>
      <c r="Q21" s="634"/>
      <c r="R21" s="634"/>
      <c r="S21" s="634"/>
      <c r="T21" s="634"/>
      <c r="U21" s="634"/>
      <c r="V21" s="634"/>
      <c r="W21" s="634"/>
      <c r="X21" s="634"/>
      <c r="Y21" s="634"/>
      <c r="Z21" s="634"/>
      <c r="AA21" s="634"/>
      <c r="AB21" s="634"/>
      <c r="AC21" s="634"/>
      <c r="AD21" s="634"/>
      <c r="AE21" s="634"/>
      <c r="AF21" s="634"/>
      <c r="AG21" s="634"/>
      <c r="AH21" s="634"/>
      <c r="AI21" s="634"/>
      <c r="AJ21" s="634"/>
      <c r="AK21" s="634"/>
      <c r="AL21" s="634"/>
      <c r="AM21" s="634"/>
      <c r="AN21" s="634"/>
      <c r="AO21" s="634"/>
      <c r="AP21" s="634"/>
      <c r="AQ21" s="634"/>
      <c r="AR21" s="634"/>
      <c r="AS21" s="634"/>
      <c r="AT21" s="634"/>
      <c r="AU21" s="634"/>
      <c r="AV21" s="756"/>
      <c r="AW21" s="44"/>
      <c r="AX21" s="542" t="s">
        <v>329</v>
      </c>
      <c r="AY21" s="543"/>
      <c r="AZ21" s="543"/>
      <c r="BA21" s="543"/>
      <c r="BB21" s="543"/>
      <c r="BC21" s="544"/>
      <c r="BD21" s="458" t="str">
        <f>IFERROR(ROUNDUP(BD20/12,0),"")</f>
        <v/>
      </c>
      <c r="BE21" s="458"/>
      <c r="BF21" s="459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</row>
    <row r="22" spans="1:84" ht="12" customHeight="1" thickBot="1" x14ac:dyDescent="0.3">
      <c r="A22" s="730">
        <v>2</v>
      </c>
      <c r="B22" s="731"/>
      <c r="C22" s="731"/>
      <c r="D22" s="575" t="str">
        <f>IFERROR(IF(A22&lt;=$BD$27,D21+$BD$28,""),"")</f>
        <v/>
      </c>
      <c r="E22" s="575"/>
      <c r="F22" s="732"/>
      <c r="G22" s="634"/>
      <c r="H22" s="634"/>
      <c r="I22" s="634"/>
      <c r="J22" s="634"/>
      <c r="K22" s="634"/>
      <c r="L22" s="634"/>
      <c r="M22" s="634"/>
      <c r="N22" s="634"/>
      <c r="O22" s="634"/>
      <c r="P22" s="634"/>
      <c r="Q22" s="634"/>
      <c r="R22" s="634"/>
      <c r="S22" s="634"/>
      <c r="T22" s="634"/>
      <c r="U22" s="634"/>
      <c r="V22" s="634"/>
      <c r="W22" s="634"/>
      <c r="X22" s="634"/>
      <c r="Y22" s="634"/>
      <c r="Z22" s="634"/>
      <c r="AA22" s="634"/>
      <c r="AB22" s="634"/>
      <c r="AC22" s="634"/>
      <c r="AD22" s="634"/>
      <c r="AE22" s="577"/>
      <c r="AF22" s="577"/>
      <c r="AG22" s="577"/>
      <c r="AH22" s="577"/>
      <c r="AI22" s="577"/>
      <c r="AJ22" s="577"/>
      <c r="AK22" s="577"/>
      <c r="AL22" s="577"/>
      <c r="AM22" s="577"/>
      <c r="AN22" s="577"/>
      <c r="AO22" s="577"/>
      <c r="AP22" s="577"/>
      <c r="AQ22" s="577"/>
      <c r="AR22" s="577"/>
      <c r="AS22" s="577"/>
      <c r="AT22" s="577"/>
      <c r="AU22" s="577"/>
      <c r="AV22" s="578"/>
      <c r="AW22" s="44"/>
      <c r="AX22" s="552" t="s">
        <v>330</v>
      </c>
      <c r="AY22" s="283"/>
      <c r="AZ22" s="283"/>
      <c r="BA22" s="283"/>
      <c r="BB22" s="283"/>
      <c r="BC22" s="735"/>
      <c r="BD22" s="733" t="str">
        <f>IFERROR((BD20-12)/(BD21-1),"")</f>
        <v/>
      </c>
      <c r="BE22" s="733"/>
      <c r="BF22" s="734"/>
      <c r="BG22" s="44"/>
      <c r="BH22" s="471" t="s">
        <v>160</v>
      </c>
      <c r="BI22" s="472"/>
      <c r="BJ22" s="472"/>
      <c r="BK22" s="472"/>
      <c r="BL22" s="472"/>
      <c r="BM22" s="472"/>
      <c r="BN22" s="472"/>
      <c r="BO22" s="472"/>
      <c r="BP22" s="472"/>
      <c r="BQ22" s="472"/>
      <c r="BR22" s="472"/>
      <c r="BS22" s="472"/>
      <c r="BT22" s="472"/>
      <c r="BU22" s="472"/>
      <c r="BV22" s="473"/>
      <c r="BW22" s="44"/>
      <c r="BX22" s="44"/>
      <c r="BY22" s="44"/>
      <c r="BZ22" s="44"/>
      <c r="CA22" s="44"/>
      <c r="CB22" s="44"/>
      <c r="CC22" s="44"/>
      <c r="CD22" s="44"/>
      <c r="CE22" s="44"/>
      <c r="CF22" s="44"/>
    </row>
    <row r="23" spans="1:84" ht="12" customHeight="1" thickTop="1" thickBot="1" x14ac:dyDescent="0.3">
      <c r="A23" s="730">
        <v>3</v>
      </c>
      <c r="B23" s="731"/>
      <c r="C23" s="731"/>
      <c r="D23" s="575" t="str">
        <f t="shared" ref="D23:D30" si="0">IFERROR(IF(A23&lt;=$BD$27,D22+$BD$28,""),"")</f>
        <v/>
      </c>
      <c r="E23" s="575"/>
      <c r="F23" s="732"/>
      <c r="G23" s="634"/>
      <c r="H23" s="634"/>
      <c r="I23" s="634"/>
      <c r="J23" s="634"/>
      <c r="K23" s="634"/>
      <c r="L23" s="634"/>
      <c r="M23" s="634"/>
      <c r="N23" s="634"/>
      <c r="O23" s="634"/>
      <c r="P23" s="634"/>
      <c r="Q23" s="634"/>
      <c r="R23" s="634"/>
      <c r="S23" s="634"/>
      <c r="T23" s="634"/>
      <c r="U23" s="634"/>
      <c r="V23" s="634"/>
      <c r="W23" s="634"/>
      <c r="X23" s="634"/>
      <c r="Y23" s="634"/>
      <c r="Z23" s="634"/>
      <c r="AA23" s="634"/>
      <c r="AB23" s="634"/>
      <c r="AC23" s="634"/>
      <c r="AD23" s="634"/>
      <c r="AE23" s="577"/>
      <c r="AF23" s="577"/>
      <c r="AG23" s="577"/>
      <c r="AH23" s="577"/>
      <c r="AI23" s="577"/>
      <c r="AJ23" s="577"/>
      <c r="AK23" s="577"/>
      <c r="AL23" s="577"/>
      <c r="AM23" s="577"/>
      <c r="AN23" s="577"/>
      <c r="AO23" s="577"/>
      <c r="AP23" s="577"/>
      <c r="AQ23" s="577"/>
      <c r="AR23" s="577"/>
      <c r="AS23" s="577"/>
      <c r="AT23" s="577"/>
      <c r="AU23" s="577"/>
      <c r="AV23" s="578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324"/>
      <c r="BI23" s="547"/>
      <c r="BJ23" s="547"/>
      <c r="BK23" s="547"/>
      <c r="BL23" s="325"/>
      <c r="BM23" s="548"/>
      <c r="BN23" s="547"/>
      <c r="BO23" s="547"/>
      <c r="BP23" s="547"/>
      <c r="BQ23" s="325"/>
      <c r="BR23" s="548"/>
      <c r="BS23" s="547"/>
      <c r="BT23" s="547"/>
      <c r="BU23" s="547"/>
      <c r="BV23" s="549"/>
      <c r="BW23" s="44"/>
      <c r="BX23" s="44"/>
      <c r="BY23" s="44"/>
      <c r="BZ23" s="44"/>
      <c r="CA23" s="44"/>
      <c r="CB23" s="44"/>
      <c r="CC23" s="44"/>
      <c r="CD23" s="44"/>
      <c r="CE23" s="44"/>
      <c r="CF23" s="44"/>
    </row>
    <row r="24" spans="1:84" ht="12" customHeight="1" x14ac:dyDescent="0.25">
      <c r="A24" s="730">
        <v>4</v>
      </c>
      <c r="B24" s="731"/>
      <c r="C24" s="731"/>
      <c r="D24" s="575" t="str">
        <f t="shared" si="0"/>
        <v/>
      </c>
      <c r="E24" s="575"/>
      <c r="F24" s="732"/>
      <c r="G24" s="634"/>
      <c r="H24" s="634"/>
      <c r="I24" s="634"/>
      <c r="J24" s="634"/>
      <c r="K24" s="634"/>
      <c r="L24" s="634"/>
      <c r="M24" s="634"/>
      <c r="N24" s="634"/>
      <c r="O24" s="634"/>
      <c r="P24" s="634"/>
      <c r="Q24" s="634"/>
      <c r="R24" s="634"/>
      <c r="S24" s="634"/>
      <c r="T24" s="634"/>
      <c r="U24" s="634"/>
      <c r="V24" s="634"/>
      <c r="W24" s="634"/>
      <c r="X24" s="634"/>
      <c r="Y24" s="634"/>
      <c r="Z24" s="634"/>
      <c r="AA24" s="634"/>
      <c r="AB24" s="634"/>
      <c r="AC24" s="634"/>
      <c r="AD24" s="634"/>
      <c r="AE24" s="577"/>
      <c r="AF24" s="577"/>
      <c r="AG24" s="577"/>
      <c r="AH24" s="577"/>
      <c r="AI24" s="577"/>
      <c r="AJ24" s="577"/>
      <c r="AK24" s="577"/>
      <c r="AL24" s="577"/>
      <c r="AM24" s="577"/>
      <c r="AN24" s="577"/>
      <c r="AO24" s="577"/>
      <c r="AP24" s="577"/>
      <c r="AQ24" s="577"/>
      <c r="AR24" s="577"/>
      <c r="AS24" s="577"/>
      <c r="AT24" s="577"/>
      <c r="AU24" s="577"/>
      <c r="AV24" s="578"/>
      <c r="AW24" s="44"/>
      <c r="AX24" s="341" t="s">
        <v>331</v>
      </c>
      <c r="AY24" s="741"/>
      <c r="AZ24" s="741"/>
      <c r="BA24" s="741"/>
      <c r="BB24" s="741"/>
      <c r="BC24" s="741"/>
      <c r="BD24" s="741"/>
      <c r="BE24" s="741"/>
      <c r="BF24" s="742"/>
      <c r="BG24" s="44"/>
      <c r="BH24" s="521"/>
      <c r="BI24" s="522"/>
      <c r="BJ24" s="522"/>
      <c r="BK24" s="522"/>
      <c r="BL24" s="523"/>
      <c r="BM24" s="524"/>
      <c r="BN24" s="522"/>
      <c r="BO24" s="522"/>
      <c r="BP24" s="522"/>
      <c r="BQ24" s="523"/>
      <c r="BR24" s="524"/>
      <c r="BS24" s="522"/>
      <c r="BT24" s="522"/>
      <c r="BU24" s="522"/>
      <c r="BV24" s="525"/>
      <c r="BW24" s="44"/>
      <c r="BX24" s="44"/>
      <c r="BY24" s="44"/>
      <c r="BZ24" s="44"/>
      <c r="CA24" s="44"/>
      <c r="CB24" s="44"/>
      <c r="CC24" s="44"/>
      <c r="CD24" s="44"/>
      <c r="CE24" s="44"/>
      <c r="CF24" s="44"/>
    </row>
    <row r="25" spans="1:84" ht="12" customHeight="1" thickBot="1" x14ac:dyDescent="0.3">
      <c r="A25" s="730">
        <v>5</v>
      </c>
      <c r="B25" s="731"/>
      <c r="C25" s="731"/>
      <c r="D25" s="575" t="str">
        <f t="shared" si="0"/>
        <v/>
      </c>
      <c r="E25" s="575"/>
      <c r="F25" s="732"/>
      <c r="G25" s="634"/>
      <c r="H25" s="634"/>
      <c r="I25" s="634"/>
      <c r="J25" s="634"/>
      <c r="K25" s="634"/>
      <c r="L25" s="634"/>
      <c r="M25" s="634"/>
      <c r="N25" s="634"/>
      <c r="O25" s="634"/>
      <c r="P25" s="634"/>
      <c r="Q25" s="634"/>
      <c r="R25" s="634"/>
      <c r="S25" s="634"/>
      <c r="T25" s="634"/>
      <c r="U25" s="634"/>
      <c r="V25" s="634"/>
      <c r="W25" s="634"/>
      <c r="X25" s="634"/>
      <c r="Y25" s="634"/>
      <c r="Z25" s="634"/>
      <c r="AA25" s="634"/>
      <c r="AB25" s="634"/>
      <c r="AC25" s="634"/>
      <c r="AD25" s="634"/>
      <c r="AE25" s="577"/>
      <c r="AF25" s="577"/>
      <c r="AG25" s="577"/>
      <c r="AH25" s="577"/>
      <c r="AI25" s="577"/>
      <c r="AJ25" s="577"/>
      <c r="AK25" s="577"/>
      <c r="AL25" s="577"/>
      <c r="AM25" s="577"/>
      <c r="AN25" s="577"/>
      <c r="AO25" s="577"/>
      <c r="AP25" s="577"/>
      <c r="AQ25" s="577"/>
      <c r="AR25" s="577"/>
      <c r="AS25" s="577"/>
      <c r="AT25" s="577"/>
      <c r="AU25" s="577"/>
      <c r="AV25" s="578"/>
      <c r="AW25" s="44"/>
      <c r="AX25" s="743"/>
      <c r="AY25" s="744"/>
      <c r="AZ25" s="744"/>
      <c r="BA25" s="744"/>
      <c r="BB25" s="744"/>
      <c r="BC25" s="744"/>
      <c r="BD25" s="744"/>
      <c r="BE25" s="744"/>
      <c r="BF25" s="745"/>
      <c r="BG25" s="44"/>
      <c r="BH25" s="521"/>
      <c r="BI25" s="522"/>
      <c r="BJ25" s="522"/>
      <c r="BK25" s="522"/>
      <c r="BL25" s="523"/>
      <c r="BM25" s="524"/>
      <c r="BN25" s="522"/>
      <c r="BO25" s="522"/>
      <c r="BP25" s="522"/>
      <c r="BQ25" s="523"/>
      <c r="BR25" s="524"/>
      <c r="BS25" s="522"/>
      <c r="BT25" s="522"/>
      <c r="BU25" s="522"/>
      <c r="BV25" s="525"/>
      <c r="BW25" s="44"/>
      <c r="BX25" s="44"/>
      <c r="BY25" s="44"/>
      <c r="BZ25" s="44"/>
      <c r="CA25" s="44"/>
      <c r="CB25" s="44"/>
      <c r="CC25" s="44"/>
      <c r="CD25" s="44"/>
      <c r="CE25" s="44"/>
      <c r="CF25" s="44"/>
    </row>
    <row r="26" spans="1:84" ht="12" customHeight="1" thickTop="1" x14ac:dyDescent="0.25">
      <c r="A26" s="730">
        <v>6</v>
      </c>
      <c r="B26" s="731"/>
      <c r="C26" s="731"/>
      <c r="D26" s="575" t="str">
        <f t="shared" si="0"/>
        <v/>
      </c>
      <c r="E26" s="575"/>
      <c r="F26" s="732"/>
      <c r="G26" s="634"/>
      <c r="H26" s="634"/>
      <c r="I26" s="634"/>
      <c r="J26" s="634"/>
      <c r="K26" s="634"/>
      <c r="L26" s="634"/>
      <c r="M26" s="634"/>
      <c r="N26" s="634"/>
      <c r="O26" s="634"/>
      <c r="P26" s="634"/>
      <c r="Q26" s="634"/>
      <c r="R26" s="634"/>
      <c r="S26" s="634"/>
      <c r="T26" s="634"/>
      <c r="U26" s="634"/>
      <c r="V26" s="634"/>
      <c r="W26" s="634"/>
      <c r="X26" s="634"/>
      <c r="Y26" s="634"/>
      <c r="Z26" s="634"/>
      <c r="AA26" s="634"/>
      <c r="AB26" s="634"/>
      <c r="AC26" s="634"/>
      <c r="AD26" s="634"/>
      <c r="AE26" s="577"/>
      <c r="AF26" s="577"/>
      <c r="AG26" s="577"/>
      <c r="AH26" s="577"/>
      <c r="AI26" s="577"/>
      <c r="AJ26" s="577"/>
      <c r="AK26" s="577"/>
      <c r="AL26" s="577"/>
      <c r="AM26" s="577"/>
      <c r="AN26" s="577"/>
      <c r="AO26" s="577"/>
      <c r="AP26" s="577"/>
      <c r="AQ26" s="577"/>
      <c r="AR26" s="577"/>
      <c r="AS26" s="577"/>
      <c r="AT26" s="577"/>
      <c r="AU26" s="577"/>
      <c r="AV26" s="578"/>
      <c r="AW26" s="44"/>
      <c r="AX26" s="736" t="s">
        <v>332</v>
      </c>
      <c r="AY26" s="737"/>
      <c r="AZ26" s="737"/>
      <c r="BA26" s="737"/>
      <c r="BB26" s="737"/>
      <c r="BC26" s="738"/>
      <c r="BD26" s="739" t="str">
        <f>IF(H13&lt;&gt;0,H13,"")</f>
        <v/>
      </c>
      <c r="BE26" s="739"/>
      <c r="BF26" s="740"/>
      <c r="BG26" s="44"/>
      <c r="BH26" s="521"/>
      <c r="BI26" s="522"/>
      <c r="BJ26" s="522"/>
      <c r="BK26" s="522"/>
      <c r="BL26" s="523"/>
      <c r="BM26" s="524"/>
      <c r="BN26" s="522"/>
      <c r="BO26" s="522"/>
      <c r="BP26" s="522"/>
      <c r="BQ26" s="523"/>
      <c r="BR26" s="524"/>
      <c r="BS26" s="522"/>
      <c r="BT26" s="522"/>
      <c r="BU26" s="522"/>
      <c r="BV26" s="525"/>
      <c r="BW26" s="44"/>
      <c r="BX26" s="44"/>
      <c r="BY26" s="44"/>
      <c r="BZ26" s="44"/>
      <c r="CA26" s="44"/>
      <c r="CB26" s="44"/>
      <c r="CC26" s="44"/>
      <c r="CD26" s="44"/>
      <c r="CE26" s="44"/>
      <c r="CF26" s="44"/>
    </row>
    <row r="27" spans="1:84" ht="12" customHeight="1" x14ac:dyDescent="0.25">
      <c r="A27" s="730">
        <v>7</v>
      </c>
      <c r="B27" s="731"/>
      <c r="C27" s="731"/>
      <c r="D27" s="575" t="str">
        <f t="shared" si="0"/>
        <v/>
      </c>
      <c r="E27" s="575"/>
      <c r="F27" s="732"/>
      <c r="G27" s="634"/>
      <c r="H27" s="634"/>
      <c r="I27" s="634"/>
      <c r="J27" s="634"/>
      <c r="K27" s="634"/>
      <c r="L27" s="634"/>
      <c r="M27" s="634"/>
      <c r="N27" s="634"/>
      <c r="O27" s="634"/>
      <c r="P27" s="634"/>
      <c r="Q27" s="634"/>
      <c r="R27" s="634"/>
      <c r="S27" s="634"/>
      <c r="T27" s="634"/>
      <c r="U27" s="634"/>
      <c r="V27" s="634"/>
      <c r="W27" s="634"/>
      <c r="X27" s="634"/>
      <c r="Y27" s="634"/>
      <c r="Z27" s="634"/>
      <c r="AA27" s="634"/>
      <c r="AB27" s="634"/>
      <c r="AC27" s="634"/>
      <c r="AD27" s="634"/>
      <c r="AE27" s="577"/>
      <c r="AF27" s="577"/>
      <c r="AG27" s="577"/>
      <c r="AH27" s="577"/>
      <c r="AI27" s="577"/>
      <c r="AJ27" s="577"/>
      <c r="AK27" s="577"/>
      <c r="AL27" s="577"/>
      <c r="AM27" s="577"/>
      <c r="AN27" s="577"/>
      <c r="AO27" s="577"/>
      <c r="AP27" s="577"/>
      <c r="AQ27" s="577"/>
      <c r="AR27" s="577"/>
      <c r="AS27" s="577"/>
      <c r="AT27" s="577"/>
      <c r="AU27" s="577"/>
      <c r="AV27" s="578"/>
      <c r="AW27" s="44"/>
      <c r="AX27" s="542" t="s">
        <v>329</v>
      </c>
      <c r="AY27" s="543"/>
      <c r="AZ27" s="543"/>
      <c r="BA27" s="543"/>
      <c r="BB27" s="543"/>
      <c r="BC27" s="544"/>
      <c r="BD27" s="458" t="str">
        <f>IFERROR(ROUNDUP(BD26/12,0),"")</f>
        <v/>
      </c>
      <c r="BE27" s="458"/>
      <c r="BF27" s="459"/>
      <c r="BG27" s="44"/>
      <c r="BH27" s="521"/>
      <c r="BI27" s="522"/>
      <c r="BJ27" s="522"/>
      <c r="BK27" s="522"/>
      <c r="BL27" s="523"/>
      <c r="BM27" s="524"/>
      <c r="BN27" s="522"/>
      <c r="BO27" s="522"/>
      <c r="BP27" s="522"/>
      <c r="BQ27" s="523"/>
      <c r="BR27" s="524"/>
      <c r="BS27" s="522"/>
      <c r="BT27" s="522"/>
      <c r="BU27" s="522"/>
      <c r="BV27" s="525"/>
      <c r="BW27" s="44"/>
      <c r="BX27" s="44"/>
      <c r="BY27" s="44"/>
      <c r="BZ27" s="44"/>
      <c r="CA27" s="44"/>
      <c r="CB27" s="44"/>
      <c r="CC27" s="44"/>
      <c r="CD27" s="44"/>
      <c r="CE27" s="44"/>
      <c r="CF27" s="44"/>
    </row>
    <row r="28" spans="1:84" ht="12" customHeight="1" thickBot="1" x14ac:dyDescent="0.3">
      <c r="A28" s="730">
        <v>8</v>
      </c>
      <c r="B28" s="731"/>
      <c r="C28" s="731"/>
      <c r="D28" s="575" t="str">
        <f t="shared" si="0"/>
        <v/>
      </c>
      <c r="E28" s="575"/>
      <c r="F28" s="732"/>
      <c r="G28" s="634"/>
      <c r="H28" s="634"/>
      <c r="I28" s="634"/>
      <c r="J28" s="634"/>
      <c r="K28" s="634"/>
      <c r="L28" s="634"/>
      <c r="M28" s="634"/>
      <c r="N28" s="634"/>
      <c r="O28" s="634"/>
      <c r="P28" s="634"/>
      <c r="Q28" s="634"/>
      <c r="R28" s="634"/>
      <c r="S28" s="634"/>
      <c r="T28" s="634"/>
      <c r="U28" s="634"/>
      <c r="V28" s="634"/>
      <c r="W28" s="634"/>
      <c r="X28" s="634"/>
      <c r="Y28" s="634"/>
      <c r="Z28" s="634"/>
      <c r="AA28" s="634"/>
      <c r="AB28" s="634"/>
      <c r="AC28" s="634"/>
      <c r="AD28" s="634"/>
      <c r="AE28" s="577"/>
      <c r="AF28" s="577"/>
      <c r="AG28" s="577"/>
      <c r="AH28" s="577"/>
      <c r="AI28" s="577"/>
      <c r="AJ28" s="577"/>
      <c r="AK28" s="577"/>
      <c r="AL28" s="577"/>
      <c r="AM28" s="577"/>
      <c r="AN28" s="577"/>
      <c r="AO28" s="577"/>
      <c r="AP28" s="577"/>
      <c r="AQ28" s="577"/>
      <c r="AR28" s="577"/>
      <c r="AS28" s="577"/>
      <c r="AT28" s="577"/>
      <c r="AU28" s="577"/>
      <c r="AV28" s="578"/>
      <c r="AW28" s="44"/>
      <c r="AX28" s="552" t="s">
        <v>330</v>
      </c>
      <c r="AY28" s="283"/>
      <c r="AZ28" s="283"/>
      <c r="BA28" s="283"/>
      <c r="BB28" s="283"/>
      <c r="BC28" s="735"/>
      <c r="BD28" s="733" t="str">
        <f>IFERROR((BD26-12)/(BD27-1),"")</f>
        <v/>
      </c>
      <c r="BE28" s="733"/>
      <c r="BF28" s="734"/>
      <c r="BG28" s="44"/>
      <c r="BH28" s="528"/>
      <c r="BI28" s="529"/>
      <c r="BJ28" s="529"/>
      <c r="BK28" s="529"/>
      <c r="BL28" s="530"/>
      <c r="BM28" s="531"/>
      <c r="BN28" s="529"/>
      <c r="BO28" s="529"/>
      <c r="BP28" s="529"/>
      <c r="BQ28" s="530"/>
      <c r="BR28" s="531"/>
      <c r="BS28" s="529"/>
      <c r="BT28" s="529"/>
      <c r="BU28" s="529"/>
      <c r="BV28" s="532"/>
      <c r="BW28" s="44"/>
      <c r="BX28" s="44"/>
      <c r="BY28" s="44"/>
      <c r="BZ28" s="44"/>
      <c r="CA28" s="44"/>
      <c r="CB28" s="44"/>
      <c r="CC28" s="44"/>
      <c r="CD28" s="44"/>
      <c r="CE28" s="44"/>
      <c r="CF28" s="44"/>
    </row>
    <row r="29" spans="1:84" ht="12" customHeight="1" thickBot="1" x14ac:dyDescent="0.3">
      <c r="A29" s="730">
        <v>9</v>
      </c>
      <c r="B29" s="731"/>
      <c r="C29" s="731"/>
      <c r="D29" s="575" t="str">
        <f t="shared" si="0"/>
        <v/>
      </c>
      <c r="E29" s="575"/>
      <c r="F29" s="732"/>
      <c r="G29" s="595"/>
      <c r="H29" s="577"/>
      <c r="I29" s="577"/>
      <c r="J29" s="577"/>
      <c r="K29" s="577"/>
      <c r="L29" s="577"/>
      <c r="M29" s="577"/>
      <c r="N29" s="577"/>
      <c r="O29" s="577"/>
      <c r="P29" s="577"/>
      <c r="Q29" s="577"/>
      <c r="R29" s="577"/>
      <c r="S29" s="577"/>
      <c r="T29" s="577"/>
      <c r="U29" s="577"/>
      <c r="V29" s="577"/>
      <c r="W29" s="577"/>
      <c r="X29" s="577"/>
      <c r="Y29" s="577"/>
      <c r="Z29" s="577"/>
      <c r="AA29" s="577"/>
      <c r="AB29" s="577"/>
      <c r="AC29" s="577"/>
      <c r="AD29" s="577"/>
      <c r="AE29" s="577"/>
      <c r="AF29" s="577"/>
      <c r="AG29" s="577"/>
      <c r="AH29" s="577"/>
      <c r="AI29" s="577"/>
      <c r="AJ29" s="577"/>
      <c r="AK29" s="577"/>
      <c r="AL29" s="577"/>
      <c r="AM29" s="577"/>
      <c r="AN29" s="577"/>
      <c r="AO29" s="577"/>
      <c r="AP29" s="577"/>
      <c r="AQ29" s="577"/>
      <c r="AR29" s="577"/>
      <c r="AS29" s="577"/>
      <c r="AT29" s="577"/>
      <c r="AU29" s="577"/>
      <c r="AV29" s="578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</row>
    <row r="30" spans="1:84" ht="12" customHeight="1" thickBot="1" x14ac:dyDescent="0.3">
      <c r="A30" s="726">
        <v>10</v>
      </c>
      <c r="B30" s="392"/>
      <c r="C30" s="392"/>
      <c r="D30" s="727" t="str">
        <f t="shared" si="0"/>
        <v/>
      </c>
      <c r="E30" s="727"/>
      <c r="F30" s="728"/>
      <c r="G30" s="729"/>
      <c r="H30" s="719"/>
      <c r="I30" s="719"/>
      <c r="J30" s="719"/>
      <c r="K30" s="719"/>
      <c r="L30" s="719"/>
      <c r="M30" s="719"/>
      <c r="N30" s="719"/>
      <c r="O30" s="719"/>
      <c r="P30" s="719"/>
      <c r="Q30" s="719"/>
      <c r="R30" s="719"/>
      <c r="S30" s="719"/>
      <c r="T30" s="719"/>
      <c r="U30" s="719"/>
      <c r="V30" s="719"/>
      <c r="W30" s="719"/>
      <c r="X30" s="719"/>
      <c r="Y30" s="719"/>
      <c r="Z30" s="719"/>
      <c r="AA30" s="719"/>
      <c r="AB30" s="719"/>
      <c r="AC30" s="719"/>
      <c r="AD30" s="719"/>
      <c r="AE30" s="719"/>
      <c r="AF30" s="719"/>
      <c r="AG30" s="719"/>
      <c r="AH30" s="719"/>
      <c r="AI30" s="719"/>
      <c r="AJ30" s="719"/>
      <c r="AK30" s="719"/>
      <c r="AL30" s="719"/>
      <c r="AM30" s="719"/>
      <c r="AN30" s="719"/>
      <c r="AO30" s="719"/>
      <c r="AP30" s="719"/>
      <c r="AQ30" s="719"/>
      <c r="AR30" s="719"/>
      <c r="AS30" s="719"/>
      <c r="AT30" s="719"/>
      <c r="AU30" s="719"/>
      <c r="AV30" s="720"/>
      <c r="AW30" s="44"/>
      <c r="AX30" s="533" t="s">
        <v>333</v>
      </c>
      <c r="AY30" s="534"/>
      <c r="AZ30" s="534"/>
      <c r="BA30" s="534"/>
      <c r="BB30" s="534"/>
      <c r="BC30" s="534"/>
      <c r="BD30" s="534"/>
      <c r="BE30" s="534"/>
      <c r="BF30" s="534"/>
      <c r="BG30" s="534"/>
      <c r="BH30" s="534"/>
      <c r="BI30" s="534"/>
      <c r="BJ30" s="534"/>
      <c r="BK30" s="534"/>
      <c r="BL30" s="534"/>
      <c r="BM30" s="534"/>
      <c r="BN30" s="534"/>
      <c r="BO30" s="534"/>
      <c r="BP30" s="534"/>
      <c r="BQ30" s="534"/>
      <c r="BR30" s="534"/>
      <c r="BS30" s="534"/>
      <c r="BT30" s="534"/>
      <c r="BU30" s="534"/>
      <c r="BV30" s="534"/>
      <c r="BW30" s="534"/>
      <c r="BX30" s="534"/>
      <c r="BY30" s="534"/>
      <c r="BZ30" s="534"/>
      <c r="CA30" s="534"/>
      <c r="CB30" s="534"/>
      <c r="CC30" s="535"/>
      <c r="CD30" s="44"/>
      <c r="CE30" s="44"/>
      <c r="CF30" s="44"/>
    </row>
    <row r="31" spans="1:84" ht="12.75" customHeight="1" thickTop="1" thickBot="1" x14ac:dyDescent="0.3">
      <c r="A31" s="721" t="s">
        <v>310</v>
      </c>
      <c r="B31" s="722"/>
      <c r="C31" s="722"/>
      <c r="D31" s="722"/>
      <c r="E31" s="722"/>
      <c r="F31" s="722"/>
      <c r="G31" s="723">
        <f>IF(G20="CALC.","CALC.",SUM(G21:I30))</f>
        <v>0</v>
      </c>
      <c r="H31" s="724"/>
      <c r="I31" s="724"/>
      <c r="J31" s="715" t="str">
        <f>IF(J20="","",SUM(J21:L30))</f>
        <v/>
      </c>
      <c r="K31" s="716"/>
      <c r="L31" s="717"/>
      <c r="M31" s="715" t="str">
        <f>IF(M20="","",SUM(M21:O30))</f>
        <v/>
      </c>
      <c r="N31" s="716"/>
      <c r="O31" s="717"/>
      <c r="P31" s="715" t="str">
        <f>IF(P20="","",SUM(P21:R30))</f>
        <v/>
      </c>
      <c r="Q31" s="716"/>
      <c r="R31" s="717"/>
      <c r="S31" s="715" t="str">
        <f>IF(S20="","",SUM(S21:U30))</f>
        <v/>
      </c>
      <c r="T31" s="716"/>
      <c r="U31" s="717"/>
      <c r="V31" s="715" t="str">
        <f>IF(V20="","",SUM(V21:X30))</f>
        <v/>
      </c>
      <c r="W31" s="716"/>
      <c r="X31" s="717"/>
      <c r="Y31" s="715" t="str">
        <f>IF(Y20="","",SUM(Y21:AA30))</f>
        <v/>
      </c>
      <c r="Z31" s="716"/>
      <c r="AA31" s="717"/>
      <c r="AB31" s="715" t="str">
        <f>IF(AB20="","",SUM(AB21:AD30))</f>
        <v/>
      </c>
      <c r="AC31" s="716"/>
      <c r="AD31" s="717"/>
      <c r="AE31" s="715" t="str">
        <f>IF(AE20="","",SUM(AE21:AG30))</f>
        <v/>
      </c>
      <c r="AF31" s="716"/>
      <c r="AG31" s="717"/>
      <c r="AH31" s="715" t="str">
        <f>IF(AH20="","",SUM(AH21:AJ30))</f>
        <v/>
      </c>
      <c r="AI31" s="716"/>
      <c r="AJ31" s="717"/>
      <c r="AK31" s="715" t="str">
        <f>IF(AK20="","",SUM(AK21:AM30))</f>
        <v/>
      </c>
      <c r="AL31" s="716"/>
      <c r="AM31" s="717"/>
      <c r="AN31" s="715" t="str">
        <f>IF(AN20="","",SUM(AN21:AP30))</f>
        <v/>
      </c>
      <c r="AO31" s="716"/>
      <c r="AP31" s="717"/>
      <c r="AQ31" s="715" t="str">
        <f>IF(AQ20="","",SUM(AQ21:AS30))</f>
        <v/>
      </c>
      <c r="AR31" s="716"/>
      <c r="AS31" s="717"/>
      <c r="AT31" s="715" t="str">
        <f>IF(AT20="","",SUM(AT21:AV30))</f>
        <v/>
      </c>
      <c r="AU31" s="716"/>
      <c r="AV31" s="725"/>
      <c r="AW31" s="44"/>
      <c r="AX31" s="295" t="s">
        <v>334</v>
      </c>
      <c r="AY31" s="296"/>
      <c r="AZ31" s="296"/>
      <c r="BA31" s="296"/>
      <c r="BB31" s="490">
        <v>1</v>
      </c>
      <c r="BC31" s="490"/>
      <c r="BD31" s="490">
        <v>2</v>
      </c>
      <c r="BE31" s="490"/>
      <c r="BF31" s="490">
        <v>3</v>
      </c>
      <c r="BG31" s="490"/>
      <c r="BH31" s="490">
        <v>4</v>
      </c>
      <c r="BI31" s="490"/>
      <c r="BJ31" s="490">
        <v>5</v>
      </c>
      <c r="BK31" s="490"/>
      <c r="BL31" s="490">
        <v>6</v>
      </c>
      <c r="BM31" s="490"/>
      <c r="BN31" s="490">
        <v>7</v>
      </c>
      <c r="BO31" s="490"/>
      <c r="BP31" s="490">
        <v>8</v>
      </c>
      <c r="BQ31" s="490"/>
      <c r="BR31" s="490">
        <v>9</v>
      </c>
      <c r="BS31" s="490"/>
      <c r="BT31" s="490">
        <v>10</v>
      </c>
      <c r="BU31" s="490"/>
      <c r="BV31" s="490">
        <v>11</v>
      </c>
      <c r="BW31" s="490"/>
      <c r="BX31" s="490">
        <v>12</v>
      </c>
      <c r="BY31" s="490"/>
      <c r="BZ31" s="490">
        <v>13</v>
      </c>
      <c r="CA31" s="490"/>
      <c r="CB31" s="490">
        <v>14</v>
      </c>
      <c r="CC31" s="718"/>
      <c r="CD31" s="44"/>
      <c r="CE31" s="44"/>
      <c r="CF31" s="44"/>
    </row>
    <row r="32" spans="1:84" ht="12" customHeight="1" thickBot="1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4"/>
      <c r="AX32" s="295" t="s">
        <v>306</v>
      </c>
      <c r="AY32" s="296"/>
      <c r="AZ32" s="296" t="s">
        <v>327</v>
      </c>
      <c r="BA32" s="296"/>
      <c r="BB32" s="693">
        <f>G20</f>
        <v>6</v>
      </c>
      <c r="BC32" s="693"/>
      <c r="BD32" s="693" t="str">
        <f>J20</f>
        <v/>
      </c>
      <c r="BE32" s="693"/>
      <c r="BF32" s="693" t="str">
        <f>M20</f>
        <v/>
      </c>
      <c r="BG32" s="693"/>
      <c r="BH32" s="693" t="str">
        <f>P20</f>
        <v/>
      </c>
      <c r="BI32" s="693"/>
      <c r="BJ32" s="693" t="str">
        <f>P20</f>
        <v/>
      </c>
      <c r="BK32" s="693"/>
      <c r="BL32" s="693" t="str">
        <f>S20</f>
        <v/>
      </c>
      <c r="BM32" s="693"/>
      <c r="BN32" s="693" t="str">
        <f>V20</f>
        <v/>
      </c>
      <c r="BO32" s="693"/>
      <c r="BP32" s="693" t="str">
        <f>Y20</f>
        <v/>
      </c>
      <c r="BQ32" s="693"/>
      <c r="BR32" s="693" t="str">
        <f>AE20</f>
        <v/>
      </c>
      <c r="BS32" s="693"/>
      <c r="BT32" s="693" t="str">
        <f>AH20</f>
        <v/>
      </c>
      <c r="BU32" s="693"/>
      <c r="BV32" s="693" t="str">
        <f>AK20</f>
        <v/>
      </c>
      <c r="BW32" s="693"/>
      <c r="BX32" s="693" t="str">
        <f>AN20</f>
        <v/>
      </c>
      <c r="BY32" s="693"/>
      <c r="BZ32" s="693" t="str">
        <f>AQ20</f>
        <v/>
      </c>
      <c r="CA32" s="693"/>
      <c r="CB32" s="693" t="str">
        <f>AT20</f>
        <v/>
      </c>
      <c r="CC32" s="694"/>
      <c r="CD32" s="44"/>
      <c r="CE32" s="44"/>
      <c r="CF32" s="44"/>
    </row>
    <row r="33" spans="1:84" ht="12" customHeight="1" x14ac:dyDescent="0.25">
      <c r="A33" s="42"/>
      <c r="B33" s="42" t="s">
        <v>262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709" t="s">
        <v>335</v>
      </c>
      <c r="AG33" s="710"/>
      <c r="AH33" s="710"/>
      <c r="AI33" s="710"/>
      <c r="AJ33" s="710"/>
      <c r="AK33" s="710"/>
      <c r="AL33" s="710"/>
      <c r="AM33" s="710"/>
      <c r="AN33" s="710"/>
      <c r="AO33" s="710"/>
      <c r="AP33" s="711"/>
      <c r="AQ33" s="712"/>
      <c r="AR33" s="712"/>
      <c r="AS33" s="712"/>
      <c r="AT33" s="713" t="s">
        <v>187</v>
      </c>
      <c r="AU33" s="713"/>
      <c r="AV33" s="714"/>
      <c r="AW33" s="44"/>
      <c r="AX33" s="687">
        <v>1</v>
      </c>
      <c r="AY33" s="490"/>
      <c r="AZ33" s="688">
        <f>D21</f>
        <v>6</v>
      </c>
      <c r="BA33" s="689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</row>
    <row r="34" spans="1:84" ht="12" customHeight="1" x14ac:dyDescent="0.25">
      <c r="A34" s="84"/>
      <c r="B34" s="281"/>
      <c r="C34" s="281"/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42"/>
      <c r="AF34" s="333" t="s">
        <v>336</v>
      </c>
      <c r="AG34" s="334"/>
      <c r="AH34" s="334"/>
      <c r="AI34" s="334"/>
      <c r="AJ34" s="334"/>
      <c r="AK34" s="334"/>
      <c r="AL34" s="334"/>
      <c r="AM34" s="334"/>
      <c r="AN34" s="334"/>
      <c r="AO34" s="334"/>
      <c r="AP34" s="707"/>
      <c r="AQ34" s="708"/>
      <c r="AR34" s="708"/>
      <c r="AS34" s="708"/>
      <c r="AT34" s="407" t="s">
        <v>337</v>
      </c>
      <c r="AU34" s="407"/>
      <c r="AV34" s="701"/>
      <c r="AW34" s="44"/>
      <c r="AX34" s="687">
        <v>2</v>
      </c>
      <c r="AY34" s="490"/>
      <c r="AZ34" s="688" t="str">
        <f t="shared" ref="AZ34:AZ41" si="1">D22</f>
        <v/>
      </c>
      <c r="BA34" s="689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</row>
    <row r="35" spans="1:84" ht="12" customHeight="1" x14ac:dyDescent="0.25">
      <c r="A35" s="84"/>
      <c r="B35" s="281"/>
      <c r="C35" s="281"/>
      <c r="D35" s="281"/>
      <c r="E35" s="281"/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42"/>
      <c r="AF35" s="333" t="s">
        <v>338</v>
      </c>
      <c r="AG35" s="334"/>
      <c r="AH35" s="334"/>
      <c r="AI35" s="334"/>
      <c r="AJ35" s="334"/>
      <c r="AK35" s="334"/>
      <c r="AL35" s="334"/>
      <c r="AM35" s="334"/>
      <c r="AN35" s="334"/>
      <c r="AO35" s="334"/>
      <c r="AP35" s="705" t="str">
        <f>IF(SUM(G31:AV31)&lt;&gt;0,SUM(G31:AV31),"")</f>
        <v/>
      </c>
      <c r="AQ35" s="706"/>
      <c r="AR35" s="706"/>
      <c r="AS35" s="706"/>
      <c r="AT35" s="407" t="s">
        <v>319</v>
      </c>
      <c r="AU35" s="407"/>
      <c r="AV35" s="701"/>
      <c r="AW35" s="44"/>
      <c r="AX35" s="687">
        <v>3</v>
      </c>
      <c r="AY35" s="490"/>
      <c r="AZ35" s="688" t="str">
        <f t="shared" si="1"/>
        <v/>
      </c>
      <c r="BA35" s="689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</row>
    <row r="36" spans="1:84" ht="12" customHeight="1" x14ac:dyDescent="0.25">
      <c r="A36" s="84"/>
      <c r="B36" s="281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42"/>
      <c r="AF36" s="333" t="s">
        <v>339</v>
      </c>
      <c r="AG36" s="334"/>
      <c r="AH36" s="334"/>
      <c r="AI36" s="334"/>
      <c r="AJ36" s="334"/>
      <c r="AK36" s="334"/>
      <c r="AL36" s="334"/>
      <c r="AM36" s="334"/>
      <c r="AN36" s="334"/>
      <c r="AO36" s="334"/>
      <c r="AP36" s="702" t="str">
        <f>IF(COUNT(G21:G30,J21:J30,M21:M30,P21:P30,S21:S30,V21:V30,Y21:Y30,AB21:AB30,AE21:AE30,AH21:AH30,AK21:AK30,AN21:AN30,AQ21:AQ30,AT21:AT30)&lt;&gt;0,COUNT(G21:G30,J21:J30,M21:M30,P21:P30,S21:S30,V21:V30,Y21:Y30,AB21:AB30,AE21:AE30,AH21:AH30,AK21:AK30,AN21:AN30,AQ21:AQ30,AT21:AT30),"")</f>
        <v/>
      </c>
      <c r="AQ36" s="703"/>
      <c r="AR36" s="703"/>
      <c r="AS36" s="703"/>
      <c r="AT36" s="703"/>
      <c r="AU36" s="703"/>
      <c r="AV36" s="704"/>
      <c r="AW36" s="44"/>
      <c r="AX36" s="687">
        <v>4</v>
      </c>
      <c r="AY36" s="490"/>
      <c r="AZ36" s="688" t="str">
        <f t="shared" si="1"/>
        <v/>
      </c>
      <c r="BA36" s="689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</row>
    <row r="37" spans="1:84" ht="12" customHeight="1" x14ac:dyDescent="0.25">
      <c r="A37" s="84"/>
      <c r="B37" s="281"/>
      <c r="C37" s="281"/>
      <c r="D37" s="281"/>
      <c r="E37" s="281"/>
      <c r="F37" s="281"/>
      <c r="G37" s="281"/>
      <c r="H37" s="281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42"/>
      <c r="AF37" s="333" t="s">
        <v>340</v>
      </c>
      <c r="AG37" s="334"/>
      <c r="AH37" s="334"/>
      <c r="AI37" s="334"/>
      <c r="AJ37" s="334"/>
      <c r="AK37" s="334"/>
      <c r="AL37" s="334"/>
      <c r="AM37" s="334"/>
      <c r="AN37" s="334"/>
      <c r="AO37" s="334"/>
      <c r="AP37" s="705" t="str">
        <f>IFERROR(ROUND(AP35/AP36,2),"")</f>
        <v/>
      </c>
      <c r="AQ37" s="706"/>
      <c r="AR37" s="706"/>
      <c r="AS37" s="706"/>
      <c r="AT37" s="407" t="s">
        <v>319</v>
      </c>
      <c r="AU37" s="407"/>
      <c r="AV37" s="701"/>
      <c r="AW37" s="44"/>
      <c r="AX37" s="687">
        <v>5</v>
      </c>
      <c r="AY37" s="490"/>
      <c r="AZ37" s="688" t="str">
        <f t="shared" si="1"/>
        <v/>
      </c>
      <c r="BA37" s="689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</row>
    <row r="38" spans="1:84" ht="12" customHeight="1" x14ac:dyDescent="0.25">
      <c r="A38" s="84"/>
      <c r="B38" s="281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42"/>
      <c r="AF38" s="122" t="s">
        <v>341</v>
      </c>
      <c r="AG38" s="123"/>
      <c r="AH38" s="123"/>
      <c r="AI38" s="123"/>
      <c r="AJ38" s="123"/>
      <c r="AK38" s="123"/>
      <c r="AL38" s="123"/>
      <c r="AM38" s="123"/>
      <c r="AN38" s="123"/>
      <c r="AO38" s="124"/>
      <c r="AP38" s="474"/>
      <c r="AQ38" s="558"/>
      <c r="AR38" s="558"/>
      <c r="AS38" s="558"/>
      <c r="AT38" s="558"/>
      <c r="AU38" s="558"/>
      <c r="AV38" s="698"/>
      <c r="AW38" s="44"/>
      <c r="AX38" s="687">
        <v>6</v>
      </c>
      <c r="AY38" s="490"/>
      <c r="AZ38" s="688" t="str">
        <f t="shared" si="1"/>
        <v/>
      </c>
      <c r="BA38" s="689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</row>
    <row r="39" spans="1:84" ht="12" customHeight="1" x14ac:dyDescent="0.25">
      <c r="A39" s="84"/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42"/>
      <c r="AF39" s="333" t="s">
        <v>342</v>
      </c>
      <c r="AG39" s="334"/>
      <c r="AH39" s="334"/>
      <c r="AI39" s="334"/>
      <c r="AJ39" s="334"/>
      <c r="AK39" s="334"/>
      <c r="AL39" s="334"/>
      <c r="AM39" s="334"/>
      <c r="AN39" s="334"/>
      <c r="AO39" s="334"/>
      <c r="AP39" s="699" t="str">
        <f>IF(OR(AP38&lt;&gt;0,AP38&lt;&gt;""),N13*IF(AP38&lt;&gt;"N/A",AP38,1),N13)</f>
        <v/>
      </c>
      <c r="AQ39" s="700"/>
      <c r="AR39" s="700"/>
      <c r="AS39" s="700"/>
      <c r="AT39" s="407" t="s">
        <v>318</v>
      </c>
      <c r="AU39" s="407"/>
      <c r="AV39" s="701"/>
      <c r="AW39" s="44"/>
      <c r="AX39" s="687">
        <v>7</v>
      </c>
      <c r="AY39" s="490"/>
      <c r="AZ39" s="688" t="str">
        <f t="shared" si="1"/>
        <v/>
      </c>
      <c r="BA39" s="689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</row>
    <row r="40" spans="1:84" ht="12" customHeight="1" thickBot="1" x14ac:dyDescent="0.3">
      <c r="A40" s="84"/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42"/>
      <c r="AF40" s="347" t="s">
        <v>343</v>
      </c>
      <c r="AG40" s="348"/>
      <c r="AH40" s="348"/>
      <c r="AI40" s="348"/>
      <c r="AJ40" s="348"/>
      <c r="AK40" s="348"/>
      <c r="AL40" s="348"/>
      <c r="AM40" s="348"/>
      <c r="AN40" s="348"/>
      <c r="AO40" s="348"/>
      <c r="AP40" s="695" t="str">
        <f>IFERROR(AP39*AP37,"")</f>
        <v/>
      </c>
      <c r="AQ40" s="696"/>
      <c r="AR40" s="696"/>
      <c r="AS40" s="696"/>
      <c r="AT40" s="427" t="s">
        <v>56</v>
      </c>
      <c r="AU40" s="427"/>
      <c r="AV40" s="697"/>
      <c r="AW40" s="44"/>
      <c r="AX40" s="687">
        <v>8</v>
      </c>
      <c r="AY40" s="490"/>
      <c r="AZ40" s="688" t="str">
        <f t="shared" si="1"/>
        <v/>
      </c>
      <c r="BA40" s="689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</row>
    <row r="41" spans="1:84" ht="12" customHeight="1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4"/>
      <c r="AX41" s="687">
        <v>9</v>
      </c>
      <c r="AY41" s="490"/>
      <c r="AZ41" s="688" t="str">
        <f t="shared" si="1"/>
        <v/>
      </c>
      <c r="BA41" s="689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</row>
    <row r="42" spans="1:84" ht="12" customHeight="1" thickBot="1" x14ac:dyDescent="0.3">
      <c r="A42" s="690" t="s">
        <v>276</v>
      </c>
      <c r="B42" s="690"/>
      <c r="C42" s="690"/>
      <c r="D42" s="690"/>
      <c r="E42" s="285"/>
      <c r="F42" s="285"/>
      <c r="G42" s="285"/>
      <c r="H42" s="285"/>
      <c r="I42" s="285"/>
      <c r="J42" s="285"/>
      <c r="K42" s="285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690" t="s">
        <v>277</v>
      </c>
      <c r="AE42" s="690"/>
      <c r="AF42" s="690"/>
      <c r="AG42" s="690"/>
      <c r="AH42" s="690"/>
      <c r="AI42" s="286"/>
      <c r="AJ42" s="286"/>
      <c r="AK42" s="286"/>
      <c r="AL42" s="286"/>
      <c r="AM42" s="286"/>
      <c r="AN42" s="286"/>
      <c r="AO42" s="286"/>
      <c r="AP42" s="286"/>
      <c r="AQ42" s="286"/>
      <c r="AR42" s="286"/>
      <c r="AS42" s="286"/>
      <c r="AT42" s="286"/>
      <c r="AU42" s="286"/>
      <c r="AV42" s="286"/>
      <c r="AW42" s="44"/>
      <c r="AX42" s="691">
        <v>10</v>
      </c>
      <c r="AY42" s="692"/>
      <c r="AZ42" s="693" t="str">
        <f>D30</f>
        <v/>
      </c>
      <c r="BA42" s="69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</row>
    <row r="43" spans="1:84" ht="12.75" hidden="1" customHeight="1" x14ac:dyDescent="0.25"/>
    <row r="44" spans="1:84" ht="12.75" hidden="1" customHeight="1" x14ac:dyDescent="0.25"/>
    <row r="45" spans="1:84" ht="12.75" hidden="1" customHeight="1" x14ac:dyDescent="0.25"/>
    <row r="46" spans="1:84" ht="12.75" hidden="1" customHeight="1" x14ac:dyDescent="0.25"/>
    <row r="47" spans="1:84" ht="12.75" hidden="1" customHeight="1" x14ac:dyDescent="0.25"/>
    <row r="48" spans="1:84" ht="12.75" hidden="1" customHeight="1" x14ac:dyDescent="0.25"/>
    <row r="49" ht="12.75" hidden="1" customHeight="1" x14ac:dyDescent="0.25"/>
    <row r="50" ht="12.75" hidden="1" customHeight="1" x14ac:dyDescent="0.25"/>
    <row r="51" ht="12.75" hidden="1" customHeight="1" x14ac:dyDescent="0.25"/>
    <row r="52" ht="12.75" hidden="1" customHeight="1" x14ac:dyDescent="0.25"/>
    <row r="53" ht="12.75" hidden="1" customHeight="1" x14ac:dyDescent="0.25"/>
    <row r="54" ht="12.75" hidden="1" customHeight="1" x14ac:dyDescent="0.25"/>
    <row r="55" ht="12.75" hidden="1" customHeight="1" x14ac:dyDescent="0.25"/>
  </sheetData>
  <mergeCells count="365">
    <mergeCell ref="AY8:BF8"/>
    <mergeCell ref="A9:E9"/>
    <mergeCell ref="F9:P9"/>
    <mergeCell ref="AG9:AK9"/>
    <mergeCell ref="AL9:AV9"/>
    <mergeCell ref="AY9:BD9"/>
    <mergeCell ref="BE9:BF9"/>
    <mergeCell ref="AW1:CF1"/>
    <mergeCell ref="Z5:AV5"/>
    <mergeCell ref="A7:E7"/>
    <mergeCell ref="F7:P7"/>
    <mergeCell ref="AG7:AK7"/>
    <mergeCell ref="AL7:AV7"/>
    <mergeCell ref="A13:B13"/>
    <mergeCell ref="D13:F13"/>
    <mergeCell ref="H13:J13"/>
    <mergeCell ref="K13:M13"/>
    <mergeCell ref="N13:P13"/>
    <mergeCell ref="Q13:S13"/>
    <mergeCell ref="AY10:BD10"/>
    <mergeCell ref="BE10:BF10"/>
    <mergeCell ref="A11:AV11"/>
    <mergeCell ref="A12:P12"/>
    <mergeCell ref="Q12:AF12"/>
    <mergeCell ref="AG12:AV12"/>
    <mergeCell ref="AX12:BG12"/>
    <mergeCell ref="AR13:AV13"/>
    <mergeCell ref="AX13:BG13"/>
    <mergeCell ref="T15:AE15"/>
    <mergeCell ref="AG15:AV15"/>
    <mergeCell ref="T16:AA16"/>
    <mergeCell ref="AB16:AC16"/>
    <mergeCell ref="AD16:AE16"/>
    <mergeCell ref="AG16:AK16"/>
    <mergeCell ref="AL16:AV16"/>
    <mergeCell ref="T13:X13"/>
    <mergeCell ref="Y13:AA13"/>
    <mergeCell ref="AB13:AF13"/>
    <mergeCell ref="AG13:AI13"/>
    <mergeCell ref="AJ13:AN13"/>
    <mergeCell ref="AO13:AQ13"/>
    <mergeCell ref="A18:AV18"/>
    <mergeCell ref="AX18:BF19"/>
    <mergeCell ref="A19:F19"/>
    <mergeCell ref="G19:I19"/>
    <mergeCell ref="J19:L19"/>
    <mergeCell ref="M19:O19"/>
    <mergeCell ref="P19:R19"/>
    <mergeCell ref="S19:U19"/>
    <mergeCell ref="V19:X19"/>
    <mergeCell ref="Y19:AA19"/>
    <mergeCell ref="AT19:AV19"/>
    <mergeCell ref="AB19:AD19"/>
    <mergeCell ref="AE19:AG19"/>
    <mergeCell ref="AH19:AJ19"/>
    <mergeCell ref="AK19:AM19"/>
    <mergeCell ref="AN19:AP19"/>
    <mergeCell ref="AQ19:AS19"/>
    <mergeCell ref="BD20:BF20"/>
    <mergeCell ref="A21:C21"/>
    <mergeCell ref="D21:F21"/>
    <mergeCell ref="G21:I21"/>
    <mergeCell ref="J21:L21"/>
    <mergeCell ref="M21:O21"/>
    <mergeCell ref="P21:R21"/>
    <mergeCell ref="S21:U21"/>
    <mergeCell ref="AB20:AD20"/>
    <mergeCell ref="AE20:AG20"/>
    <mergeCell ref="AH20:AJ20"/>
    <mergeCell ref="AK20:AM20"/>
    <mergeCell ref="AN20:AP20"/>
    <mergeCell ref="AQ20:AS20"/>
    <mergeCell ref="AN21:AP21"/>
    <mergeCell ref="AQ21:AS21"/>
    <mergeCell ref="AT21:AV21"/>
    <mergeCell ref="AX21:BC21"/>
    <mergeCell ref="BD21:BF21"/>
    <mergeCell ref="AH21:AJ21"/>
    <mergeCell ref="AK21:AM21"/>
    <mergeCell ref="A20:C20"/>
    <mergeCell ref="D20:F20"/>
    <mergeCell ref="G20:I20"/>
    <mergeCell ref="G22:I22"/>
    <mergeCell ref="J22:L22"/>
    <mergeCell ref="M22:O22"/>
    <mergeCell ref="V21:X21"/>
    <mergeCell ref="Y21:AA21"/>
    <mergeCell ref="AB21:AD21"/>
    <mergeCell ref="AE21:AG21"/>
    <mergeCell ref="AT20:AV20"/>
    <mergeCell ref="AX20:BC20"/>
    <mergeCell ref="J20:L20"/>
    <mergeCell ref="M20:O20"/>
    <mergeCell ref="P20:R20"/>
    <mergeCell ref="S20:U20"/>
    <mergeCell ref="V20:X20"/>
    <mergeCell ref="Y20:AA20"/>
    <mergeCell ref="BD22:BF22"/>
    <mergeCell ref="BH22:BV22"/>
    <mergeCell ref="A23:C23"/>
    <mergeCell ref="D23:F23"/>
    <mergeCell ref="G23:I23"/>
    <mergeCell ref="J23:L23"/>
    <mergeCell ref="M23:O23"/>
    <mergeCell ref="P23:R23"/>
    <mergeCell ref="S23:U23"/>
    <mergeCell ref="V23:X23"/>
    <mergeCell ref="AH22:AJ22"/>
    <mergeCell ref="AK22:AM22"/>
    <mergeCell ref="AN22:AP22"/>
    <mergeCell ref="AQ22:AS22"/>
    <mergeCell ref="AT22:AV22"/>
    <mergeCell ref="AX22:BC22"/>
    <mergeCell ref="P22:R22"/>
    <mergeCell ref="S22:U22"/>
    <mergeCell ref="V22:X22"/>
    <mergeCell ref="Y22:AA22"/>
    <mergeCell ref="AB22:AD22"/>
    <mergeCell ref="AE22:AG22"/>
    <mergeCell ref="A22:C22"/>
    <mergeCell ref="D22:F22"/>
    <mergeCell ref="AQ23:AS23"/>
    <mergeCell ref="AT23:AV23"/>
    <mergeCell ref="BH23:BL23"/>
    <mergeCell ref="BM23:BQ23"/>
    <mergeCell ref="BR23:BV23"/>
    <mergeCell ref="A24:C24"/>
    <mergeCell ref="D24:F24"/>
    <mergeCell ref="G24:I24"/>
    <mergeCell ref="J24:L24"/>
    <mergeCell ref="M24:O24"/>
    <mergeCell ref="Y23:AA23"/>
    <mergeCell ref="AB23:AD23"/>
    <mergeCell ref="AE23:AG23"/>
    <mergeCell ref="AH23:AJ23"/>
    <mergeCell ref="AK23:AM23"/>
    <mergeCell ref="AN23:AP23"/>
    <mergeCell ref="BH24:BL24"/>
    <mergeCell ref="BM24:BQ24"/>
    <mergeCell ref="BR24:BV24"/>
    <mergeCell ref="AN24:AP24"/>
    <mergeCell ref="AQ24:AS24"/>
    <mergeCell ref="AT24:AV24"/>
    <mergeCell ref="AX24:BF25"/>
    <mergeCell ref="AT25:AV25"/>
    <mergeCell ref="P24:R24"/>
    <mergeCell ref="S24:U24"/>
    <mergeCell ref="V24:X24"/>
    <mergeCell ref="Y24:AA24"/>
    <mergeCell ref="AB24:AD24"/>
    <mergeCell ref="BH25:BL25"/>
    <mergeCell ref="A25:C25"/>
    <mergeCell ref="D25:F25"/>
    <mergeCell ref="G25:I25"/>
    <mergeCell ref="J25:L25"/>
    <mergeCell ref="M25:O25"/>
    <mergeCell ref="P25:R25"/>
    <mergeCell ref="S25:U25"/>
    <mergeCell ref="AH24:AJ24"/>
    <mergeCell ref="AK24:AM24"/>
    <mergeCell ref="AE24:AG24"/>
    <mergeCell ref="BM25:BQ25"/>
    <mergeCell ref="BR25:BV25"/>
    <mergeCell ref="A26:C26"/>
    <mergeCell ref="D26:F26"/>
    <mergeCell ref="G26:I26"/>
    <mergeCell ref="J26:L26"/>
    <mergeCell ref="M26:O26"/>
    <mergeCell ref="P26:R26"/>
    <mergeCell ref="S26:U26"/>
    <mergeCell ref="V25:X25"/>
    <mergeCell ref="Y25:AA25"/>
    <mergeCell ref="AB25:AD25"/>
    <mergeCell ref="AE25:AG25"/>
    <mergeCell ref="AH25:AJ25"/>
    <mergeCell ref="AK25:AM25"/>
    <mergeCell ref="BM26:BQ26"/>
    <mergeCell ref="BR26:BV26"/>
    <mergeCell ref="AQ26:AS26"/>
    <mergeCell ref="AT26:AV26"/>
    <mergeCell ref="AX26:BC26"/>
    <mergeCell ref="BD26:BF26"/>
    <mergeCell ref="BH26:BL26"/>
    <mergeCell ref="AN25:AP25"/>
    <mergeCell ref="AQ25:AS25"/>
    <mergeCell ref="A27:C27"/>
    <mergeCell ref="D27:F27"/>
    <mergeCell ref="G27:I27"/>
    <mergeCell ref="J27:L27"/>
    <mergeCell ref="M27:O27"/>
    <mergeCell ref="P27:R27"/>
    <mergeCell ref="S27:U27"/>
    <mergeCell ref="V27:X27"/>
    <mergeCell ref="AN26:AP26"/>
    <mergeCell ref="V26:X26"/>
    <mergeCell ref="Y26:AA26"/>
    <mergeCell ref="AB26:AD26"/>
    <mergeCell ref="AE26:AG26"/>
    <mergeCell ref="AH26:AJ26"/>
    <mergeCell ref="AK26:AM26"/>
    <mergeCell ref="BR27:BV27"/>
    <mergeCell ref="A28:C28"/>
    <mergeCell ref="D28:F28"/>
    <mergeCell ref="G28:I28"/>
    <mergeCell ref="J28:L28"/>
    <mergeCell ref="M28:O28"/>
    <mergeCell ref="P28:R28"/>
    <mergeCell ref="S28:U28"/>
    <mergeCell ref="V28:X28"/>
    <mergeCell ref="Y28:AA28"/>
    <mergeCell ref="AQ27:AS27"/>
    <mergeCell ref="AT27:AV27"/>
    <mergeCell ref="AX27:BC27"/>
    <mergeCell ref="BD27:BF27"/>
    <mergeCell ref="BH27:BL27"/>
    <mergeCell ref="BM27:BQ27"/>
    <mergeCell ref="Y27:AA27"/>
    <mergeCell ref="AB27:AD27"/>
    <mergeCell ref="AE27:AG27"/>
    <mergeCell ref="AH27:AJ27"/>
    <mergeCell ref="AK27:AM27"/>
    <mergeCell ref="AN27:AP27"/>
    <mergeCell ref="AT28:AV28"/>
    <mergeCell ref="AX28:BC28"/>
    <mergeCell ref="BD28:BF28"/>
    <mergeCell ref="BH28:BL28"/>
    <mergeCell ref="BM28:BQ28"/>
    <mergeCell ref="BR28:BV28"/>
    <mergeCell ref="AB28:AD28"/>
    <mergeCell ref="AE28:AG28"/>
    <mergeCell ref="AH28:AJ28"/>
    <mergeCell ref="AK28:AM28"/>
    <mergeCell ref="AN28:AP28"/>
    <mergeCell ref="AQ28:AS28"/>
    <mergeCell ref="AK29:AM29"/>
    <mergeCell ref="AN29:AP29"/>
    <mergeCell ref="AQ29:AS29"/>
    <mergeCell ref="AT29:AV29"/>
    <mergeCell ref="A30:C30"/>
    <mergeCell ref="D30:F30"/>
    <mergeCell ref="G30:I30"/>
    <mergeCell ref="J30:L30"/>
    <mergeCell ref="M30:O30"/>
    <mergeCell ref="P30:R30"/>
    <mergeCell ref="S29:U29"/>
    <mergeCell ref="V29:X29"/>
    <mergeCell ref="Y29:AA29"/>
    <mergeCell ref="AB29:AD29"/>
    <mergeCell ref="AE29:AG29"/>
    <mergeCell ref="AH29:AJ29"/>
    <mergeCell ref="A29:C29"/>
    <mergeCell ref="D29:F29"/>
    <mergeCell ref="G29:I29"/>
    <mergeCell ref="J29:L29"/>
    <mergeCell ref="M29:O29"/>
    <mergeCell ref="P29:R29"/>
    <mergeCell ref="AK30:AM30"/>
    <mergeCell ref="AN30:AP30"/>
    <mergeCell ref="AQ30:AS30"/>
    <mergeCell ref="AT30:AV30"/>
    <mergeCell ref="AX30:CC30"/>
    <mergeCell ref="A31:F31"/>
    <mergeCell ref="G31:I31"/>
    <mergeCell ref="J31:L31"/>
    <mergeCell ref="M31:O31"/>
    <mergeCell ref="P31:R31"/>
    <mergeCell ref="S30:U30"/>
    <mergeCell ref="V30:X30"/>
    <mergeCell ref="Y30:AA30"/>
    <mergeCell ref="AB30:AD30"/>
    <mergeCell ref="AE30:AG30"/>
    <mergeCell ref="AH30:AJ30"/>
    <mergeCell ref="AK31:AM31"/>
    <mergeCell ref="AN31:AP31"/>
    <mergeCell ref="AQ31:AS31"/>
    <mergeCell ref="AT31:AV31"/>
    <mergeCell ref="AX31:BA31"/>
    <mergeCell ref="BB31:BC31"/>
    <mergeCell ref="S31:U31"/>
    <mergeCell ref="V31:X31"/>
    <mergeCell ref="Y31:AA31"/>
    <mergeCell ref="AB31:AD31"/>
    <mergeCell ref="AE31:AG31"/>
    <mergeCell ref="AH31:AJ31"/>
    <mergeCell ref="CB31:CC31"/>
    <mergeCell ref="AX32:AY32"/>
    <mergeCell ref="AZ32:BA32"/>
    <mergeCell ref="BB32:BC32"/>
    <mergeCell ref="BD32:BE32"/>
    <mergeCell ref="BF32:BG32"/>
    <mergeCell ref="BH32:BI32"/>
    <mergeCell ref="BJ32:BK32"/>
    <mergeCell ref="BL32:BM32"/>
    <mergeCell ref="BN32:BO32"/>
    <mergeCell ref="BP31:BQ31"/>
    <mergeCell ref="BR31:BS31"/>
    <mergeCell ref="BT31:BU31"/>
    <mergeCell ref="BV31:BW31"/>
    <mergeCell ref="BX31:BY31"/>
    <mergeCell ref="BZ31:CA31"/>
    <mergeCell ref="BD31:BE31"/>
    <mergeCell ref="BF31:BG31"/>
    <mergeCell ref="BH31:BI31"/>
    <mergeCell ref="BJ31:BK31"/>
    <mergeCell ref="BL31:BM31"/>
    <mergeCell ref="BN31:BO31"/>
    <mergeCell ref="CB32:CC32"/>
    <mergeCell ref="AF33:AO33"/>
    <mergeCell ref="AP33:AS33"/>
    <mergeCell ref="AT33:AV33"/>
    <mergeCell ref="AX33:AY33"/>
    <mergeCell ref="AZ33:BA33"/>
    <mergeCell ref="BP32:BQ32"/>
    <mergeCell ref="BR32:BS32"/>
    <mergeCell ref="BT32:BU32"/>
    <mergeCell ref="BV32:BW32"/>
    <mergeCell ref="BX32:BY32"/>
    <mergeCell ref="BZ32:CA32"/>
    <mergeCell ref="B35:AD35"/>
    <mergeCell ref="AF35:AO35"/>
    <mergeCell ref="AP35:AS35"/>
    <mergeCell ref="AT35:AV35"/>
    <mergeCell ref="AX35:AY35"/>
    <mergeCell ref="AZ35:BA35"/>
    <mergeCell ref="B34:AD34"/>
    <mergeCell ref="AF34:AO34"/>
    <mergeCell ref="AP34:AS34"/>
    <mergeCell ref="AT34:AV34"/>
    <mergeCell ref="AX34:AY34"/>
    <mergeCell ref="AZ34:BA34"/>
    <mergeCell ref="B36:AD36"/>
    <mergeCell ref="AF36:AO36"/>
    <mergeCell ref="AP36:AV36"/>
    <mergeCell ref="AX36:AY36"/>
    <mergeCell ref="AZ36:BA36"/>
    <mergeCell ref="B37:AD37"/>
    <mergeCell ref="AF37:AO37"/>
    <mergeCell ref="AP37:AS37"/>
    <mergeCell ref="AT37:AV37"/>
    <mergeCell ref="AX37:AY37"/>
    <mergeCell ref="AZ37:BA37"/>
    <mergeCell ref="B38:AD38"/>
    <mergeCell ref="AP38:AV38"/>
    <mergeCell ref="AX38:AY38"/>
    <mergeCell ref="AZ38:BA38"/>
    <mergeCell ref="B39:AD39"/>
    <mergeCell ref="AF39:AO39"/>
    <mergeCell ref="AP39:AS39"/>
    <mergeCell ref="AT39:AV39"/>
    <mergeCell ref="AX39:AY39"/>
    <mergeCell ref="AX41:AY41"/>
    <mergeCell ref="AZ41:BA41"/>
    <mergeCell ref="A42:D42"/>
    <mergeCell ref="E42:K42"/>
    <mergeCell ref="AD42:AH42"/>
    <mergeCell ref="AI42:AV42"/>
    <mergeCell ref="AX42:AY42"/>
    <mergeCell ref="AZ42:BA42"/>
    <mergeCell ref="AZ39:BA39"/>
    <mergeCell ref="B40:AD40"/>
    <mergeCell ref="AF40:AO40"/>
    <mergeCell ref="AP40:AS40"/>
    <mergeCell ref="AT40:AV40"/>
    <mergeCell ref="AX40:AY40"/>
    <mergeCell ref="AZ40:BA40"/>
  </mergeCells>
  <conditionalFormatting sqref="G21:AV30">
    <cfRule type="notContainsBlanks" dxfId="263" priority="9">
      <formula>LEN(TRIM(G21))&gt;0</formula>
    </cfRule>
    <cfRule type="expression" dxfId="262" priority="10">
      <formula>AND((G$20&lt;&gt;""),($D21&lt;&gt;""))</formula>
    </cfRule>
  </conditionalFormatting>
  <conditionalFormatting sqref="F7:P7 AL7:AV7 AL9:AV9 F9:P9 D13:F13 H13:J13 T13:X13 AB13:AF13 AL16:AV16 AP33:AS34 AP38:AV38 E42:K42 AI42:AV42">
    <cfRule type="containsBlanks" dxfId="261" priority="8">
      <formula>LEN(TRIM(D7))=0</formula>
    </cfRule>
  </conditionalFormatting>
  <conditionalFormatting sqref="AP39:AS40 AP35:AS35 BD26:BF28 BD20:BF22 AR13:AV13 AJ13:AN13 N13:P13 AP37:AS37 AP36 T13">
    <cfRule type="containsText" dxfId="260" priority="7" operator="containsText" text="CALC.">
      <formula>NOT(ISERROR(SEARCH("CALC.",N13)))</formula>
    </cfRule>
  </conditionalFormatting>
  <conditionalFormatting sqref="AX13:BG13">
    <cfRule type="notContainsBlanks" dxfId="259" priority="6">
      <formula>LEN(TRIM(AX13))&gt;0</formula>
    </cfRule>
  </conditionalFormatting>
  <conditionalFormatting sqref="BE9:BE10">
    <cfRule type="containsBlanks" dxfId="258" priority="5">
      <formula>LEN(TRIM(BE9))=0</formula>
    </cfRule>
  </conditionalFormatting>
  <conditionalFormatting sqref="AB16:AD16">
    <cfRule type="containsBlanks" dxfId="257" priority="3">
      <formula>LEN(TRIM(AB16))=0</formula>
    </cfRule>
  </conditionalFormatting>
  <conditionalFormatting sqref="T16">
    <cfRule type="containsBlanks" dxfId="256" priority="4">
      <formula>LEN(TRIM(T16))=0</formula>
    </cfRule>
  </conditionalFormatting>
  <conditionalFormatting sqref="AB16:AE16">
    <cfRule type="expression" dxfId="255" priority="1">
      <formula>$T$16="FIXED SPEED"</formula>
    </cfRule>
    <cfRule type="expression" dxfId="254" priority="2">
      <formula>$X$40="FIXED SPEED"</formula>
    </cfRule>
  </conditionalFormatting>
  <dataValidations count="7">
    <dataValidation type="list" allowBlank="1" showInputMessage="1" showErrorMessage="1" sqref="T16" xr:uid="{79491AE3-E809-41D3-B3C0-4B3C43A2EB27}">
      <formula1>"VFD SETTING, ECM SETTING, FIXED SPEED"</formula1>
    </dataValidation>
    <dataValidation type="list" allowBlank="1" showInputMessage="1" showErrorMessage="1" sqref="AD16:AE16" xr:uid="{4920D7D8-E78D-47E1-8308-4C9B3FE08FBF}">
      <formula1>"Hz, %"</formula1>
    </dataValidation>
    <dataValidation type="list" allowBlank="1" showInputMessage="1" sqref="AL16:AV16" xr:uid="{8983F8AB-A078-422E-9552-559D8D08E8F6}">
      <formula1>"Air Data Multimeter - Velocity Grid"</formula1>
    </dataValidation>
    <dataValidation type="list" allowBlank="1" showInputMessage="1" sqref="AP38:AV38" xr:uid="{D0B11D8B-4624-47C0-86A3-A7F4C49B5F31}">
      <formula1>"N/A"</formula1>
    </dataValidation>
    <dataValidation type="decimal" operator="lessThanOrEqual" allowBlank="1" showInputMessage="1" showErrorMessage="1" error="Duct height exceeds the number of height position points (10) available on this sheet." sqref="H13:J13" xr:uid="{61856ACA-2E7D-48E7-A194-CB6DD13EADC5}">
      <formula1>120</formula1>
    </dataValidation>
    <dataValidation type="decimal" operator="lessThanOrEqual" allowBlank="1" showInputMessage="1" showErrorMessage="1" errorTitle="Exceeds No. of Points" error="Duct width exceeds the number of width position points (14) available on this sheet." sqref="D13" xr:uid="{00AEB5C9-EA86-414E-88D4-0F85DD22F0B9}">
      <formula1>168</formula1>
    </dataValidation>
    <dataValidation type="whole" allowBlank="1" showInputMessage="1" showErrorMessage="1" error="This Remarks section is limited to 7." sqref="A34:A40" xr:uid="{E0CF737C-F3A1-4ECA-B277-7BDCFB39BF41}">
      <formula1>1</formula1>
      <formula2>7</formula2>
    </dataValidation>
  </dataValidations>
  <printOptions horizontalCentered="1"/>
  <pageMargins left="0.5" right="0.5" top="0.75" bottom="0.25" header="0" footer="0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CAF87-9321-4BE2-8DBD-EC2FBB70F181}">
  <sheetPr codeName="Sheet34">
    <pageSetUpPr fitToPage="1"/>
  </sheetPr>
  <dimension ref="A1:DG55"/>
  <sheetViews>
    <sheetView zoomScaleNormal="100" workbookViewId="0">
      <selection sqref="A1:C1"/>
    </sheetView>
  </sheetViews>
  <sheetFormatPr defaultColWidth="0" defaultRowHeight="14.45" customHeight="1" zeroHeight="1" x14ac:dyDescent="0.25"/>
  <cols>
    <col min="1" max="48" width="2.7109375" style="12" customWidth="1"/>
    <col min="49" max="90" width="2.7109375" customWidth="1"/>
    <col min="91" max="111" width="2.7109375" hidden="1" customWidth="1"/>
    <col min="112" max="16384" width="9.140625" hidden="1"/>
  </cols>
  <sheetData>
    <row r="1" spans="1:90" ht="12" customHeight="1" x14ac:dyDescent="0.25">
      <c r="A1" s="106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837" t="s">
        <v>159</v>
      </c>
      <c r="AX1" s="837"/>
      <c r="AY1" s="837"/>
      <c r="AZ1" s="837"/>
      <c r="BA1" s="837"/>
      <c r="BB1" s="837"/>
      <c r="BC1" s="837"/>
      <c r="BD1" s="837"/>
      <c r="BE1" s="837"/>
      <c r="BF1" s="837"/>
      <c r="BG1" s="837"/>
      <c r="BH1" s="837"/>
      <c r="BI1" s="837"/>
      <c r="BJ1" s="837"/>
      <c r="BK1" s="837"/>
      <c r="BL1" s="837"/>
      <c r="BM1" s="837"/>
      <c r="BN1" s="837"/>
      <c r="BO1" s="837"/>
      <c r="BP1" s="837"/>
      <c r="BQ1" s="837"/>
      <c r="BR1" s="837"/>
      <c r="BS1" s="837"/>
      <c r="BT1" s="837"/>
      <c r="BU1" s="837"/>
      <c r="BV1" s="837"/>
      <c r="BW1" s="837"/>
      <c r="BX1" s="837"/>
      <c r="BY1" s="837"/>
      <c r="BZ1" s="837"/>
      <c r="CA1" s="837"/>
      <c r="CB1" s="837"/>
      <c r="CC1" s="837"/>
      <c r="CD1" s="837"/>
      <c r="CE1" s="837"/>
      <c r="CF1" s="837"/>
      <c r="CG1" s="837"/>
      <c r="CH1" s="837"/>
      <c r="CI1" s="837"/>
      <c r="CJ1" s="837"/>
      <c r="CK1" s="837"/>
      <c r="CL1" s="837"/>
    </row>
    <row r="2" spans="1:90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</row>
    <row r="3" spans="1:90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</row>
    <row r="4" spans="1:90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</row>
    <row r="5" spans="1:90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550"/>
      <c r="AK5" s="550"/>
      <c r="AL5" s="550"/>
      <c r="AM5" s="550"/>
      <c r="AN5" s="550"/>
      <c r="AO5" s="550"/>
      <c r="AP5" s="550"/>
      <c r="AQ5" s="550"/>
      <c r="AR5" s="550"/>
      <c r="AS5" s="550"/>
      <c r="AT5" s="550"/>
      <c r="AU5" s="550"/>
      <c r="AV5" s="550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</row>
    <row r="6" spans="1:90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</row>
    <row r="7" spans="1:90" ht="12" customHeight="1" thickBot="1" x14ac:dyDescent="0.3">
      <c r="A7" s="526" t="s">
        <v>161</v>
      </c>
      <c r="B7" s="526"/>
      <c r="C7" s="526"/>
      <c r="D7" s="526"/>
      <c r="E7" s="526"/>
      <c r="F7" s="527"/>
      <c r="G7" s="527"/>
      <c r="H7" s="527"/>
      <c r="I7" s="527"/>
      <c r="J7" s="527"/>
      <c r="K7" s="527"/>
      <c r="L7" s="527"/>
      <c r="M7" s="527"/>
      <c r="N7" s="527"/>
      <c r="O7" s="527"/>
      <c r="P7" s="527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26" t="s">
        <v>162</v>
      </c>
      <c r="AH7" s="526"/>
      <c r="AI7" s="526"/>
      <c r="AJ7" s="526"/>
      <c r="AK7" s="526"/>
      <c r="AL7" s="527"/>
      <c r="AM7" s="527"/>
      <c r="AN7" s="527"/>
      <c r="AO7" s="527"/>
      <c r="AP7" s="527"/>
      <c r="AQ7" s="527"/>
      <c r="AR7" s="527"/>
      <c r="AS7" s="527"/>
      <c r="AT7" s="527"/>
      <c r="AU7" s="527"/>
      <c r="AV7" s="527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</row>
    <row r="8" spans="1:90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4"/>
      <c r="AX8" s="108"/>
      <c r="AY8" s="678" t="s">
        <v>297</v>
      </c>
      <c r="AZ8" s="679"/>
      <c r="BA8" s="679"/>
      <c r="BB8" s="679"/>
      <c r="BC8" s="679"/>
      <c r="BD8" s="679"/>
      <c r="BE8" s="679"/>
      <c r="BF8" s="680"/>
      <c r="BG8" s="109"/>
      <c r="BH8" s="44"/>
      <c r="BI8" s="125" t="s">
        <v>333</v>
      </c>
      <c r="BJ8" s="126"/>
      <c r="BK8" s="126"/>
      <c r="BL8" s="126"/>
      <c r="BM8" s="126"/>
      <c r="BN8" s="126"/>
      <c r="BO8" s="126"/>
      <c r="BP8" s="126"/>
      <c r="BQ8" s="126"/>
      <c r="BR8" s="126"/>
      <c r="BS8" s="126"/>
      <c r="BT8" s="126"/>
      <c r="BU8" s="126"/>
      <c r="BV8" s="126"/>
      <c r="BW8" s="126"/>
      <c r="BX8" s="126"/>
      <c r="BY8" s="126"/>
      <c r="BZ8" s="126"/>
      <c r="CA8" s="126"/>
      <c r="CB8" s="126"/>
      <c r="CC8" s="126"/>
      <c r="CD8" s="126"/>
      <c r="CE8" s="126"/>
      <c r="CF8" s="126"/>
      <c r="CG8" s="126"/>
      <c r="CH8" s="119"/>
      <c r="CI8" s="44"/>
      <c r="CJ8" s="44"/>
      <c r="CK8" s="44"/>
      <c r="CL8" s="44"/>
    </row>
    <row r="9" spans="1:90" ht="12" customHeight="1" thickTop="1" x14ac:dyDescent="0.25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526" t="s">
        <v>164</v>
      </c>
      <c r="AH9" s="526"/>
      <c r="AI9" s="526"/>
      <c r="AJ9" s="526"/>
      <c r="AK9" s="526"/>
      <c r="AL9" s="527"/>
      <c r="AM9" s="527"/>
      <c r="AN9" s="527"/>
      <c r="AO9" s="527"/>
      <c r="AP9" s="527"/>
      <c r="AQ9" s="527"/>
      <c r="AR9" s="527"/>
      <c r="AS9" s="527"/>
      <c r="AT9" s="527"/>
      <c r="AU9" s="527"/>
      <c r="AV9" s="527"/>
      <c r="AW9" s="44"/>
      <c r="AX9" s="110"/>
      <c r="AY9" s="684" t="s">
        <v>298</v>
      </c>
      <c r="AZ9" s="684"/>
      <c r="BA9" s="684"/>
      <c r="BB9" s="684"/>
      <c r="BC9" s="684"/>
      <c r="BD9" s="684"/>
      <c r="BE9" s="685"/>
      <c r="BF9" s="686"/>
      <c r="BG9" s="111"/>
      <c r="BH9" s="44"/>
      <c r="BI9" s="833" t="s">
        <v>326</v>
      </c>
      <c r="BJ9" s="834"/>
      <c r="BK9" s="834"/>
      <c r="BL9" s="834"/>
      <c r="BM9" s="490">
        <v>1</v>
      </c>
      <c r="BN9" s="490"/>
      <c r="BO9" s="490">
        <v>2</v>
      </c>
      <c r="BP9" s="490"/>
      <c r="BQ9" s="490">
        <v>3</v>
      </c>
      <c r="BR9" s="490"/>
      <c r="BS9" s="490">
        <v>4</v>
      </c>
      <c r="BT9" s="490"/>
      <c r="BU9" s="490">
        <v>5</v>
      </c>
      <c r="BV9" s="490"/>
      <c r="BW9" s="490">
        <v>6</v>
      </c>
      <c r="BX9" s="490"/>
      <c r="BY9" s="490">
        <v>7</v>
      </c>
      <c r="BZ9" s="490"/>
      <c r="CA9" s="490">
        <v>8</v>
      </c>
      <c r="CB9" s="490"/>
      <c r="CC9" s="490">
        <v>9</v>
      </c>
      <c r="CD9" s="490"/>
      <c r="CE9" s="490">
        <v>10</v>
      </c>
      <c r="CF9" s="838"/>
      <c r="CG9" s="839">
        <v>11</v>
      </c>
      <c r="CH9" s="838"/>
      <c r="CI9" s="44"/>
      <c r="CJ9" s="44"/>
      <c r="CK9" s="44"/>
      <c r="CL9" s="44"/>
    </row>
    <row r="10" spans="1:90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4"/>
      <c r="AX10" s="110"/>
      <c r="AY10" s="669" t="s">
        <v>300</v>
      </c>
      <c r="AZ10" s="669"/>
      <c r="BA10" s="669"/>
      <c r="BB10" s="669"/>
      <c r="BC10" s="669"/>
      <c r="BD10" s="669"/>
      <c r="BE10" s="670"/>
      <c r="BF10" s="671"/>
      <c r="BG10" s="112"/>
      <c r="BH10" s="44"/>
      <c r="BI10" s="833" t="s">
        <v>306</v>
      </c>
      <c r="BJ10" s="834"/>
      <c r="BK10" s="834" t="s">
        <v>327</v>
      </c>
      <c r="BL10" s="834"/>
      <c r="BM10" s="693" t="str">
        <f>E18</f>
        <v/>
      </c>
      <c r="BN10" s="693"/>
      <c r="BO10" s="693" t="str">
        <f>I18</f>
        <v/>
      </c>
      <c r="BP10" s="693"/>
      <c r="BQ10" s="693" t="str">
        <f>M18</f>
        <v/>
      </c>
      <c r="BR10" s="693"/>
      <c r="BS10" s="693" t="str">
        <f>Q18</f>
        <v/>
      </c>
      <c r="BT10" s="693"/>
      <c r="BU10" s="693" t="str">
        <f>U18</f>
        <v/>
      </c>
      <c r="BV10" s="693"/>
      <c r="BW10" s="693" t="str">
        <f>Y18</f>
        <v/>
      </c>
      <c r="BX10" s="693"/>
      <c r="BY10" s="693" t="str">
        <f>AC18</f>
        <v/>
      </c>
      <c r="BZ10" s="693"/>
      <c r="CA10" s="693" t="str">
        <f>AG18</f>
        <v/>
      </c>
      <c r="CB10" s="693"/>
      <c r="CC10" s="693" t="str">
        <f>AK18</f>
        <v/>
      </c>
      <c r="CD10" s="693"/>
      <c r="CE10" s="693" t="str">
        <f>AO18</f>
        <v/>
      </c>
      <c r="CF10" s="693"/>
      <c r="CG10" s="693" t="str">
        <f>AS18</f>
        <v/>
      </c>
      <c r="CH10" s="694"/>
      <c r="CI10" s="44"/>
      <c r="CJ10" s="44"/>
      <c r="CK10" s="44"/>
      <c r="CL10" s="44"/>
    </row>
    <row r="11" spans="1:90" ht="12" customHeight="1" thickBot="1" x14ac:dyDescent="0.3">
      <c r="A11" s="314" t="s">
        <v>311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5"/>
      <c r="AJ11" s="315"/>
      <c r="AK11" s="315"/>
      <c r="AL11" s="315"/>
      <c r="AM11" s="315"/>
      <c r="AN11" s="315"/>
      <c r="AO11" s="315"/>
      <c r="AP11" s="315"/>
      <c r="AQ11" s="315"/>
      <c r="AR11" s="315"/>
      <c r="AS11" s="315"/>
      <c r="AT11" s="315"/>
      <c r="AU11" s="315"/>
      <c r="AV11" s="316"/>
      <c r="AW11" s="44"/>
      <c r="AX11" s="113"/>
      <c r="AY11" s="114"/>
      <c r="AZ11" s="114"/>
      <c r="BA11" s="114"/>
      <c r="BB11" s="114"/>
      <c r="BC11" s="114"/>
      <c r="BD11" s="114"/>
      <c r="BE11" s="114"/>
      <c r="BF11" s="114"/>
      <c r="BG11" s="115"/>
      <c r="BH11" s="44"/>
      <c r="BI11" s="687">
        <v>1</v>
      </c>
      <c r="BJ11" s="490"/>
      <c r="BK11" s="688" t="str">
        <f t="shared" ref="BK11:BK20" si="0">C20</f>
        <v/>
      </c>
      <c r="BL11" s="689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</row>
    <row r="12" spans="1:90" ht="12.75" customHeight="1" thickTop="1" thickBot="1" x14ac:dyDescent="0.3">
      <c r="A12" s="835" t="s">
        <v>344</v>
      </c>
      <c r="B12" s="836"/>
      <c r="C12" s="836"/>
      <c r="D12" s="836"/>
      <c r="E12" s="836"/>
      <c r="F12" s="836"/>
      <c r="G12" s="836"/>
      <c r="H12" s="836"/>
      <c r="I12" s="836"/>
      <c r="J12" s="836"/>
      <c r="K12" s="836"/>
      <c r="L12" s="836"/>
      <c r="M12" s="836"/>
      <c r="N12" s="836"/>
      <c r="O12" s="836"/>
      <c r="P12" s="836"/>
      <c r="Q12" s="753" t="s">
        <v>313</v>
      </c>
      <c r="R12" s="753"/>
      <c r="S12" s="753"/>
      <c r="T12" s="753"/>
      <c r="U12" s="753"/>
      <c r="V12" s="753"/>
      <c r="W12" s="753"/>
      <c r="X12" s="753"/>
      <c r="Y12" s="753"/>
      <c r="Z12" s="753"/>
      <c r="AA12" s="753"/>
      <c r="AB12" s="753"/>
      <c r="AC12" s="753"/>
      <c r="AD12" s="753"/>
      <c r="AE12" s="753"/>
      <c r="AF12" s="753"/>
      <c r="AG12" s="753" t="s">
        <v>314</v>
      </c>
      <c r="AH12" s="753"/>
      <c r="AI12" s="753"/>
      <c r="AJ12" s="753"/>
      <c r="AK12" s="753"/>
      <c r="AL12" s="753"/>
      <c r="AM12" s="753"/>
      <c r="AN12" s="753"/>
      <c r="AO12" s="753"/>
      <c r="AP12" s="753"/>
      <c r="AQ12" s="753"/>
      <c r="AR12" s="753"/>
      <c r="AS12" s="753"/>
      <c r="AT12" s="753"/>
      <c r="AU12" s="753"/>
      <c r="AV12" s="779"/>
      <c r="AW12" s="44"/>
      <c r="AX12" s="780" t="s">
        <v>309</v>
      </c>
      <c r="AY12" s="781"/>
      <c r="AZ12" s="781"/>
      <c r="BA12" s="781"/>
      <c r="BB12" s="781"/>
      <c r="BC12" s="781"/>
      <c r="BD12" s="781"/>
      <c r="BE12" s="781"/>
      <c r="BF12" s="781"/>
      <c r="BG12" s="782"/>
      <c r="BH12" s="44"/>
      <c r="BI12" s="687">
        <v>2</v>
      </c>
      <c r="BJ12" s="490"/>
      <c r="BK12" s="688" t="str">
        <f t="shared" si="0"/>
        <v/>
      </c>
      <c r="BL12" s="689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</row>
    <row r="13" spans="1:90" ht="12" customHeight="1" thickTop="1" thickBot="1" x14ac:dyDescent="0.3">
      <c r="A13" s="127" t="s">
        <v>316</v>
      </c>
      <c r="B13" s="558"/>
      <c r="C13" s="558"/>
      <c r="D13" s="558"/>
      <c r="E13" s="832" t="s">
        <v>345</v>
      </c>
      <c r="F13" s="832"/>
      <c r="G13" s="832"/>
      <c r="H13" s="703" t="str">
        <f>BD18</f>
        <v/>
      </c>
      <c r="I13" s="703"/>
      <c r="J13" s="703"/>
      <c r="K13" s="427" t="s">
        <v>318</v>
      </c>
      <c r="L13" s="427"/>
      <c r="M13" s="427"/>
      <c r="N13" s="777" t="str">
        <f>IF(AND(B13&lt;&gt;0,B14&lt;&gt;0),ROUND(B13*B14/144,2),"")</f>
        <v/>
      </c>
      <c r="O13" s="777"/>
      <c r="P13" s="778"/>
      <c r="Q13" s="427" t="s">
        <v>319</v>
      </c>
      <c r="R13" s="427"/>
      <c r="S13" s="427"/>
      <c r="T13" s="771" t="str">
        <f>IFERROR((AB13/N13),"")</f>
        <v/>
      </c>
      <c r="U13" s="771"/>
      <c r="V13" s="771"/>
      <c r="W13" s="771"/>
      <c r="X13" s="772"/>
      <c r="Y13" s="773" t="s">
        <v>56</v>
      </c>
      <c r="Z13" s="427"/>
      <c r="AA13" s="427"/>
      <c r="AB13" s="774"/>
      <c r="AC13" s="774"/>
      <c r="AD13" s="774"/>
      <c r="AE13" s="774"/>
      <c r="AF13" s="775"/>
      <c r="AG13" s="773" t="s">
        <v>319</v>
      </c>
      <c r="AH13" s="427"/>
      <c r="AI13" s="427"/>
      <c r="AJ13" s="771" t="str">
        <f>AP37</f>
        <v/>
      </c>
      <c r="AK13" s="771"/>
      <c r="AL13" s="771"/>
      <c r="AM13" s="771"/>
      <c r="AN13" s="772"/>
      <c r="AO13" s="773" t="s">
        <v>56</v>
      </c>
      <c r="AP13" s="427"/>
      <c r="AQ13" s="427"/>
      <c r="AR13" s="771" t="str">
        <f>AP40</f>
        <v/>
      </c>
      <c r="AS13" s="771"/>
      <c r="AT13" s="771"/>
      <c r="AU13" s="771"/>
      <c r="AV13" s="783"/>
      <c r="AW13" s="44"/>
      <c r="AX13" s="828" t="str">
        <f>IF(AR13="CALC.","",IF(AR13="","",IF(AR13&lt;AB13-(AB13*$BE$10),"Below "&amp;$BE$10*100&amp;"% by "&amp;ROUND(AB13-(AB13*$BE$10)-AR13,0)&amp;" CFM",IF(AR13&gt;AB13+(AB13*$BE$9),"Above "&amp;$BE$9*100&amp;"% by "&amp;ROUND(AR13-AB13-(AB13*$BE$9),0)&amp;" CFM",""))))</f>
        <v/>
      </c>
      <c r="AY13" s="829"/>
      <c r="AZ13" s="829"/>
      <c r="BA13" s="829"/>
      <c r="BB13" s="829"/>
      <c r="BC13" s="829"/>
      <c r="BD13" s="829"/>
      <c r="BE13" s="829"/>
      <c r="BF13" s="829"/>
      <c r="BG13" s="830"/>
      <c r="BH13" s="44"/>
      <c r="BI13" s="687">
        <v>3</v>
      </c>
      <c r="BJ13" s="490"/>
      <c r="BK13" s="688" t="str">
        <f t="shared" si="0"/>
        <v/>
      </c>
      <c r="BL13" s="689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</row>
    <row r="14" spans="1:90" ht="12" customHeight="1" thickBot="1" x14ac:dyDescent="0.3">
      <c r="A14" s="128" t="s">
        <v>317</v>
      </c>
      <c r="B14" s="560"/>
      <c r="C14" s="560"/>
      <c r="D14" s="560"/>
      <c r="E14" s="831" t="s">
        <v>345</v>
      </c>
      <c r="F14" s="831"/>
      <c r="G14" s="831"/>
      <c r="H14" s="771" t="str">
        <f>BD24</f>
        <v/>
      </c>
      <c r="I14" s="771"/>
      <c r="J14" s="783"/>
      <c r="K14" s="129"/>
      <c r="L14" s="130"/>
      <c r="M14" s="130"/>
      <c r="N14" s="130"/>
      <c r="O14" s="130"/>
      <c r="P14" s="130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687">
        <v>4</v>
      </c>
      <c r="BJ14" s="490"/>
      <c r="BK14" s="688" t="str">
        <f t="shared" si="0"/>
        <v/>
      </c>
      <c r="BL14" s="689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</row>
    <row r="15" spans="1:90" s="120" customFormat="1" ht="12" customHeight="1" thickBot="1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338" t="s">
        <v>320</v>
      </c>
      <c r="N15" s="339"/>
      <c r="O15" s="339"/>
      <c r="P15" s="339"/>
      <c r="Q15" s="339"/>
      <c r="R15" s="339"/>
      <c r="S15" s="339"/>
      <c r="T15" s="339"/>
      <c r="U15" s="339"/>
      <c r="V15" s="339"/>
      <c r="W15" s="339"/>
      <c r="X15" s="340"/>
      <c r="Y15" s="42"/>
      <c r="Z15" s="378" t="s">
        <v>346</v>
      </c>
      <c r="AA15" s="379"/>
      <c r="AB15" s="379"/>
      <c r="AC15" s="379"/>
      <c r="AD15" s="379"/>
      <c r="AE15" s="379"/>
      <c r="AF15" s="379"/>
      <c r="AG15" s="379"/>
      <c r="AH15" s="379"/>
      <c r="AI15" s="379"/>
      <c r="AJ15" s="379"/>
      <c r="AK15" s="379"/>
      <c r="AL15" s="826" t="s">
        <v>347</v>
      </c>
      <c r="AM15" s="826"/>
      <c r="AN15" s="826"/>
      <c r="AO15" s="826"/>
      <c r="AP15" s="826"/>
      <c r="AQ15" s="826"/>
      <c r="AR15" s="826"/>
      <c r="AS15" s="826"/>
      <c r="AT15" s="826"/>
      <c r="AU15" s="826"/>
      <c r="AV15" s="827"/>
      <c r="AW15" s="44"/>
      <c r="AX15" s="341" t="s">
        <v>325</v>
      </c>
      <c r="AY15" s="741"/>
      <c r="AZ15" s="741"/>
      <c r="BA15" s="741"/>
      <c r="BB15" s="741"/>
      <c r="BC15" s="741"/>
      <c r="BD15" s="741"/>
      <c r="BE15" s="741"/>
      <c r="BF15" s="742"/>
      <c r="BG15" s="44"/>
      <c r="BH15" s="44"/>
      <c r="BI15" s="687">
        <v>5</v>
      </c>
      <c r="BJ15" s="490"/>
      <c r="BK15" s="688" t="str">
        <f t="shared" si="0"/>
        <v/>
      </c>
      <c r="BL15" s="689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</row>
    <row r="16" spans="1:90" ht="12.75" customHeight="1" thickTop="1" thickBot="1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765"/>
      <c r="N16" s="766"/>
      <c r="O16" s="766"/>
      <c r="P16" s="766"/>
      <c r="Q16" s="766"/>
      <c r="R16" s="766"/>
      <c r="S16" s="766"/>
      <c r="T16" s="766"/>
      <c r="U16" s="356"/>
      <c r="V16" s="357"/>
      <c r="W16" s="322"/>
      <c r="X16" s="323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4"/>
      <c r="AX16" s="743"/>
      <c r="AY16" s="744"/>
      <c r="AZ16" s="744"/>
      <c r="BA16" s="744"/>
      <c r="BB16" s="744"/>
      <c r="BC16" s="744"/>
      <c r="BD16" s="744"/>
      <c r="BE16" s="744"/>
      <c r="BF16" s="745"/>
      <c r="BG16" s="44"/>
      <c r="BH16" s="44"/>
      <c r="BI16" s="687">
        <v>6</v>
      </c>
      <c r="BJ16" s="490"/>
      <c r="BK16" s="688" t="str">
        <f t="shared" si="0"/>
        <v/>
      </c>
      <c r="BL16" s="689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</row>
    <row r="17" spans="1:90" ht="12" customHeight="1" thickTop="1" thickBot="1" x14ac:dyDescent="0.3">
      <c r="A17" s="131" t="s">
        <v>324</v>
      </c>
      <c r="B17" s="132"/>
      <c r="C17" s="132"/>
      <c r="D17" s="132"/>
      <c r="E17" s="132"/>
      <c r="F17" s="132"/>
      <c r="G17" s="132"/>
      <c r="H17" s="132"/>
      <c r="I17" s="132"/>
      <c r="J17" s="133"/>
      <c r="K17" s="134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44"/>
      <c r="AX17" s="749" t="s">
        <v>328</v>
      </c>
      <c r="AY17" s="750"/>
      <c r="AZ17" s="750"/>
      <c r="BA17" s="750"/>
      <c r="BB17" s="750"/>
      <c r="BC17" s="751"/>
      <c r="BD17" s="739" t="str">
        <f>IF(B13&lt;&gt;0,B13,"")</f>
        <v/>
      </c>
      <c r="BE17" s="739"/>
      <c r="BF17" s="740"/>
      <c r="BG17" s="44"/>
      <c r="BH17" s="44"/>
      <c r="BI17" s="687">
        <v>7</v>
      </c>
      <c r="BJ17" s="490"/>
      <c r="BK17" s="688" t="str">
        <f t="shared" si="0"/>
        <v/>
      </c>
      <c r="BL17" s="689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</row>
    <row r="18" spans="1:90" ht="12" customHeight="1" x14ac:dyDescent="0.25">
      <c r="A18" s="819" t="s">
        <v>326</v>
      </c>
      <c r="B18" s="820"/>
      <c r="C18" s="820"/>
      <c r="D18" s="821"/>
      <c r="E18" s="800" t="str">
        <f>IFERROR(B13/H13/2,"")</f>
        <v/>
      </c>
      <c r="F18" s="822"/>
      <c r="G18" s="822"/>
      <c r="H18" s="801"/>
      <c r="I18" s="816" t="str">
        <f>IFERROR(IF(BO9&lt;=$BD$18,E18+$BD$19,""),"")</f>
        <v/>
      </c>
      <c r="J18" s="817"/>
      <c r="K18" s="817"/>
      <c r="L18" s="818"/>
      <c r="M18" s="816" t="str">
        <f>IFERROR(IF(BQ9&lt;=$BD$18,I18+$BD$19,""),"")</f>
        <v/>
      </c>
      <c r="N18" s="817"/>
      <c r="O18" s="817"/>
      <c r="P18" s="818"/>
      <c r="Q18" s="816" t="str">
        <f>IFERROR(IF(BS9&lt;=$BD$18,M18+$BD$19,""),"")</f>
        <v/>
      </c>
      <c r="R18" s="817"/>
      <c r="S18" s="817"/>
      <c r="T18" s="818"/>
      <c r="U18" s="816" t="str">
        <f>IFERROR(IF(BU9&lt;=$BD$18,Q18+$BD$19,""),"")</f>
        <v/>
      </c>
      <c r="V18" s="817"/>
      <c r="W18" s="817"/>
      <c r="X18" s="818"/>
      <c r="Y18" s="816" t="str">
        <f>IFERROR(IF(BW9&lt;=$BD$18,U18+$BD$19,""),"")</f>
        <v/>
      </c>
      <c r="Z18" s="817"/>
      <c r="AA18" s="817"/>
      <c r="AB18" s="818"/>
      <c r="AC18" s="816" t="str">
        <f>IFERROR(IF(BY9&lt;=$BD$18,Y18+$BD$19,""),"")</f>
        <v/>
      </c>
      <c r="AD18" s="817"/>
      <c r="AE18" s="817"/>
      <c r="AF18" s="818"/>
      <c r="AG18" s="816" t="str">
        <f>IFERROR(IF(CA9&lt;=$BD$18,AC18+$BD$19,""),"")</f>
        <v/>
      </c>
      <c r="AH18" s="817"/>
      <c r="AI18" s="817"/>
      <c r="AJ18" s="818"/>
      <c r="AK18" s="816" t="str">
        <f>IFERROR(IF(CC9&lt;=$BD$18,AG18+$BD$19,""),"")</f>
        <v/>
      </c>
      <c r="AL18" s="817"/>
      <c r="AM18" s="817"/>
      <c r="AN18" s="818"/>
      <c r="AO18" s="816" t="str">
        <f>IFERROR(IF(CE9&lt;=$BD$18,AK18+$BD$19,""),"")</f>
        <v/>
      </c>
      <c r="AP18" s="817"/>
      <c r="AQ18" s="817"/>
      <c r="AR18" s="818"/>
      <c r="AS18" s="823" t="str">
        <f>IFERROR(IF(CG9&lt;=$BD$18,AO18+$BD$19,""),"")</f>
        <v/>
      </c>
      <c r="AT18" s="824"/>
      <c r="AU18" s="824"/>
      <c r="AV18" s="825"/>
      <c r="AW18" s="44"/>
      <c r="AX18" s="542" t="s">
        <v>329</v>
      </c>
      <c r="AY18" s="543"/>
      <c r="AZ18" s="543"/>
      <c r="BA18" s="543"/>
      <c r="BB18" s="543"/>
      <c r="BC18" s="544"/>
      <c r="BD18" s="458" t="str">
        <f>IFERROR(IF(BD17&lt;=20,4,ROUNDUP(BD17/6,0)),"")</f>
        <v/>
      </c>
      <c r="BE18" s="458"/>
      <c r="BF18" s="459"/>
      <c r="BG18" s="44"/>
      <c r="BH18" s="44"/>
      <c r="BI18" s="687">
        <v>8</v>
      </c>
      <c r="BJ18" s="490"/>
      <c r="BK18" s="688" t="str">
        <f t="shared" si="0"/>
        <v/>
      </c>
      <c r="BL18" s="689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</row>
    <row r="19" spans="1:90" ht="12" customHeight="1" thickBot="1" x14ac:dyDescent="0.3">
      <c r="A19" s="813" t="s">
        <v>306</v>
      </c>
      <c r="B19" s="814"/>
      <c r="C19" s="815" t="s">
        <v>327</v>
      </c>
      <c r="D19" s="814"/>
      <c r="E19" s="804" t="s">
        <v>348</v>
      </c>
      <c r="F19" s="804"/>
      <c r="G19" s="804" t="s">
        <v>349</v>
      </c>
      <c r="H19" s="804"/>
      <c r="I19" s="804" t="s">
        <v>348</v>
      </c>
      <c r="J19" s="804"/>
      <c r="K19" s="804" t="s">
        <v>349</v>
      </c>
      <c r="L19" s="804"/>
      <c r="M19" s="804" t="s">
        <v>348</v>
      </c>
      <c r="N19" s="804"/>
      <c r="O19" s="804" t="s">
        <v>349</v>
      </c>
      <c r="P19" s="804"/>
      <c r="Q19" s="804" t="s">
        <v>348</v>
      </c>
      <c r="R19" s="804"/>
      <c r="S19" s="804" t="s">
        <v>349</v>
      </c>
      <c r="T19" s="804"/>
      <c r="U19" s="804" t="s">
        <v>348</v>
      </c>
      <c r="V19" s="804"/>
      <c r="W19" s="804" t="s">
        <v>349</v>
      </c>
      <c r="X19" s="804"/>
      <c r="Y19" s="804" t="s">
        <v>348</v>
      </c>
      <c r="Z19" s="804"/>
      <c r="AA19" s="804" t="s">
        <v>349</v>
      </c>
      <c r="AB19" s="804"/>
      <c r="AC19" s="804" t="s">
        <v>348</v>
      </c>
      <c r="AD19" s="804"/>
      <c r="AE19" s="804" t="s">
        <v>349</v>
      </c>
      <c r="AF19" s="804"/>
      <c r="AG19" s="804" t="s">
        <v>348</v>
      </c>
      <c r="AH19" s="804"/>
      <c r="AI19" s="804" t="s">
        <v>349</v>
      </c>
      <c r="AJ19" s="804"/>
      <c r="AK19" s="804" t="s">
        <v>348</v>
      </c>
      <c r="AL19" s="804"/>
      <c r="AM19" s="804" t="s">
        <v>349</v>
      </c>
      <c r="AN19" s="804"/>
      <c r="AO19" s="804" t="s">
        <v>348</v>
      </c>
      <c r="AP19" s="804"/>
      <c r="AQ19" s="804" t="s">
        <v>349</v>
      </c>
      <c r="AR19" s="804"/>
      <c r="AS19" s="812" t="s">
        <v>348</v>
      </c>
      <c r="AT19" s="804"/>
      <c r="AU19" s="804" t="s">
        <v>349</v>
      </c>
      <c r="AV19" s="805"/>
      <c r="AW19" s="44"/>
      <c r="AX19" s="552" t="s">
        <v>330</v>
      </c>
      <c r="AY19" s="283"/>
      <c r="AZ19" s="283"/>
      <c r="BA19" s="283"/>
      <c r="BB19" s="283"/>
      <c r="BC19" s="735"/>
      <c r="BD19" s="733" t="str">
        <f>IFERROR(IF(BD18&lt;=20,((BD17-(BD17/BD18))/(BD18-1)),(BD17-6)/(BD18-1)),"")</f>
        <v/>
      </c>
      <c r="BE19" s="733"/>
      <c r="BF19" s="734"/>
      <c r="BG19" s="44"/>
      <c r="BH19" s="44"/>
      <c r="BI19" s="687">
        <v>9</v>
      </c>
      <c r="BJ19" s="490"/>
      <c r="BK19" s="688" t="str">
        <f t="shared" si="0"/>
        <v/>
      </c>
      <c r="BL19" s="689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</row>
    <row r="20" spans="1:90" ht="12" customHeight="1" thickTop="1" thickBot="1" x14ac:dyDescent="0.3">
      <c r="A20" s="806">
        <v>1</v>
      </c>
      <c r="B20" s="807"/>
      <c r="C20" s="808" t="str">
        <f>IFERROR(B14/H14/2,"")</f>
        <v/>
      </c>
      <c r="D20" s="809"/>
      <c r="E20" s="810"/>
      <c r="F20" s="811"/>
      <c r="G20" s="795" t="str">
        <f>IF(E20="","",ROUND(SQRT(E20)*4005,0))</f>
        <v/>
      </c>
      <c r="H20" s="795"/>
      <c r="I20" s="794"/>
      <c r="J20" s="794"/>
      <c r="K20" s="795" t="str">
        <f>IF(I20="","",ROUND(SQRT(I20)*4005,0))</f>
        <v/>
      </c>
      <c r="L20" s="795"/>
      <c r="M20" s="794"/>
      <c r="N20" s="794"/>
      <c r="O20" s="795" t="str">
        <f>IF(M20="","",ROUND(SQRT(M20)*4005,0))</f>
        <v/>
      </c>
      <c r="P20" s="795"/>
      <c r="Q20" s="794"/>
      <c r="R20" s="794"/>
      <c r="S20" s="795" t="str">
        <f>IF(Q20="","",ROUND(SQRT(Q20)*4005,0))</f>
        <v/>
      </c>
      <c r="T20" s="795"/>
      <c r="U20" s="794"/>
      <c r="V20" s="794"/>
      <c r="W20" s="795" t="str">
        <f>IF(U20="","",ROUND(SQRT(U20)*4005,0))</f>
        <v/>
      </c>
      <c r="X20" s="795"/>
      <c r="Y20" s="794"/>
      <c r="Z20" s="794"/>
      <c r="AA20" s="795" t="str">
        <f>IF(Y20="","",ROUND(SQRT(Y20)*4005,0))</f>
        <v/>
      </c>
      <c r="AB20" s="795"/>
      <c r="AC20" s="794"/>
      <c r="AD20" s="794"/>
      <c r="AE20" s="795" t="str">
        <f>IF(AC20="","",ROUND(SQRT(AC20)*4005,0))</f>
        <v/>
      </c>
      <c r="AF20" s="795"/>
      <c r="AG20" s="794"/>
      <c r="AH20" s="794"/>
      <c r="AI20" s="795" t="str">
        <f>IF(AG20="","",ROUND(SQRT(AG20)*4005,0))</f>
        <v/>
      </c>
      <c r="AJ20" s="795"/>
      <c r="AK20" s="794"/>
      <c r="AL20" s="794"/>
      <c r="AM20" s="795" t="str">
        <f>IF(AK20="","",ROUND(SQRT(AK20)*4005,0))</f>
        <v/>
      </c>
      <c r="AN20" s="795"/>
      <c r="AO20" s="794"/>
      <c r="AP20" s="794"/>
      <c r="AQ20" s="795" t="str">
        <f>IF(AO20="","",ROUND(SQRT(AO20)*4005,0))</f>
        <v/>
      </c>
      <c r="AR20" s="795"/>
      <c r="AS20" s="796"/>
      <c r="AT20" s="794"/>
      <c r="AU20" s="795" t="str">
        <f>IF(AS20="","",ROUND(SQRT(AS20)*4005,0))</f>
        <v/>
      </c>
      <c r="AV20" s="797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691">
        <v>10</v>
      </c>
      <c r="BJ20" s="692"/>
      <c r="BK20" s="693" t="str">
        <f t="shared" si="0"/>
        <v/>
      </c>
      <c r="BL20" s="69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</row>
    <row r="21" spans="1:90" ht="12.75" customHeight="1" x14ac:dyDescent="0.25">
      <c r="A21" s="798">
        <v>2</v>
      </c>
      <c r="B21" s="799"/>
      <c r="C21" s="800" t="str">
        <f t="shared" ref="C21:C29" si="1">IFERROR(IF($A21&lt;=$BD$24,C20+$BD$25,""),"")</f>
        <v/>
      </c>
      <c r="D21" s="801"/>
      <c r="E21" s="794"/>
      <c r="F21" s="794"/>
      <c r="G21" s="795" t="str">
        <f t="shared" ref="G21:G29" si="2">IF(E21="","",ROUND(SQRT(E21)*4005,0))</f>
        <v/>
      </c>
      <c r="H21" s="795"/>
      <c r="I21" s="794"/>
      <c r="J21" s="794"/>
      <c r="K21" s="795" t="str">
        <f t="shared" ref="K21:K29" si="3">IF(I21="","",ROUND(SQRT(I21)*4005,0))</f>
        <v/>
      </c>
      <c r="L21" s="795"/>
      <c r="M21" s="794"/>
      <c r="N21" s="794"/>
      <c r="O21" s="795" t="str">
        <f t="shared" ref="O21:O29" si="4">IF(M21="","",ROUND(SQRT(M21)*4005,0))</f>
        <v/>
      </c>
      <c r="P21" s="795"/>
      <c r="Q21" s="794"/>
      <c r="R21" s="794"/>
      <c r="S21" s="795" t="str">
        <f t="shared" ref="S21:S29" si="5">IF(Q21="","",ROUND(SQRT(Q21)*4005,0))</f>
        <v/>
      </c>
      <c r="T21" s="795"/>
      <c r="U21" s="794"/>
      <c r="V21" s="794"/>
      <c r="W21" s="795" t="str">
        <f t="shared" ref="W21:W29" si="6">IF(U21="","",ROUND(SQRT(U21)*4005,0))</f>
        <v/>
      </c>
      <c r="X21" s="795"/>
      <c r="Y21" s="794"/>
      <c r="Z21" s="794"/>
      <c r="AA21" s="795" t="str">
        <f t="shared" ref="AA21:AA29" si="7">IF(Y21="","",ROUND(SQRT(Y21)*4005,0))</f>
        <v/>
      </c>
      <c r="AB21" s="795"/>
      <c r="AC21" s="794"/>
      <c r="AD21" s="794"/>
      <c r="AE21" s="795" t="str">
        <f t="shared" ref="AE21:AE29" si="8">IF(AC21="","",ROUND(SQRT(AC21)*4005,0))</f>
        <v/>
      </c>
      <c r="AF21" s="795"/>
      <c r="AG21" s="794"/>
      <c r="AH21" s="794"/>
      <c r="AI21" s="795" t="str">
        <f t="shared" ref="AI21:AI29" si="9">IF(AG21="","",ROUND(SQRT(AG21)*4005,0))</f>
        <v/>
      </c>
      <c r="AJ21" s="795"/>
      <c r="AK21" s="794"/>
      <c r="AL21" s="794"/>
      <c r="AM21" s="795" t="str">
        <f t="shared" ref="AM21:AM29" si="10">IF(AK21="","",ROUND(SQRT(AK21)*4005,0))</f>
        <v/>
      </c>
      <c r="AN21" s="795"/>
      <c r="AO21" s="794"/>
      <c r="AP21" s="794"/>
      <c r="AQ21" s="795" t="str">
        <f t="shared" ref="AQ21:AQ29" si="11">IF(AO21="","",ROUND(SQRT(AO21)*4005,0))</f>
        <v/>
      </c>
      <c r="AR21" s="795"/>
      <c r="AS21" s="796"/>
      <c r="AT21" s="794"/>
      <c r="AU21" s="795" t="str">
        <f t="shared" ref="AU21:AU29" si="12">IF(AS21="","",ROUND(SQRT(AS21)*4005,0))</f>
        <v/>
      </c>
      <c r="AV21" s="797"/>
      <c r="AW21" s="44"/>
      <c r="AX21" s="341" t="s">
        <v>331</v>
      </c>
      <c r="AY21" s="741"/>
      <c r="AZ21" s="741"/>
      <c r="BA21" s="741"/>
      <c r="BB21" s="741"/>
      <c r="BC21" s="741"/>
      <c r="BD21" s="741"/>
      <c r="BE21" s="741"/>
      <c r="BF21" s="742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</row>
    <row r="22" spans="1:90" ht="12" customHeight="1" thickBot="1" x14ac:dyDescent="0.3">
      <c r="A22" s="798">
        <v>3</v>
      </c>
      <c r="B22" s="799"/>
      <c r="C22" s="800" t="str">
        <f t="shared" si="1"/>
        <v/>
      </c>
      <c r="D22" s="801"/>
      <c r="E22" s="794"/>
      <c r="F22" s="794"/>
      <c r="G22" s="795" t="str">
        <f t="shared" si="2"/>
        <v/>
      </c>
      <c r="H22" s="795"/>
      <c r="I22" s="794"/>
      <c r="J22" s="794"/>
      <c r="K22" s="795" t="str">
        <f t="shared" si="3"/>
        <v/>
      </c>
      <c r="L22" s="795"/>
      <c r="M22" s="794"/>
      <c r="N22" s="794"/>
      <c r="O22" s="795" t="str">
        <f t="shared" si="4"/>
        <v/>
      </c>
      <c r="P22" s="795"/>
      <c r="Q22" s="794"/>
      <c r="R22" s="794"/>
      <c r="S22" s="795" t="str">
        <f t="shared" si="5"/>
        <v/>
      </c>
      <c r="T22" s="795"/>
      <c r="U22" s="794"/>
      <c r="V22" s="794"/>
      <c r="W22" s="795" t="str">
        <f t="shared" si="6"/>
        <v/>
      </c>
      <c r="X22" s="795"/>
      <c r="Y22" s="794"/>
      <c r="Z22" s="794"/>
      <c r="AA22" s="795" t="str">
        <f t="shared" si="7"/>
        <v/>
      </c>
      <c r="AB22" s="795"/>
      <c r="AC22" s="794"/>
      <c r="AD22" s="794"/>
      <c r="AE22" s="795" t="str">
        <f t="shared" si="8"/>
        <v/>
      </c>
      <c r="AF22" s="795"/>
      <c r="AG22" s="794"/>
      <c r="AH22" s="794"/>
      <c r="AI22" s="795" t="str">
        <f t="shared" si="9"/>
        <v/>
      </c>
      <c r="AJ22" s="795"/>
      <c r="AK22" s="794"/>
      <c r="AL22" s="794"/>
      <c r="AM22" s="795" t="str">
        <f t="shared" si="10"/>
        <v/>
      </c>
      <c r="AN22" s="795"/>
      <c r="AO22" s="794"/>
      <c r="AP22" s="794"/>
      <c r="AQ22" s="795" t="str">
        <f t="shared" si="11"/>
        <v/>
      </c>
      <c r="AR22" s="795"/>
      <c r="AS22" s="796"/>
      <c r="AT22" s="794"/>
      <c r="AU22" s="795" t="str">
        <f t="shared" si="12"/>
        <v/>
      </c>
      <c r="AV22" s="797"/>
      <c r="AW22" s="44"/>
      <c r="AX22" s="743"/>
      <c r="AY22" s="744"/>
      <c r="AZ22" s="744"/>
      <c r="BA22" s="744"/>
      <c r="BB22" s="744"/>
      <c r="BC22" s="744"/>
      <c r="BD22" s="744"/>
      <c r="BE22" s="744"/>
      <c r="BF22" s="745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</row>
    <row r="23" spans="1:90" ht="12" customHeight="1" thickTop="1" x14ac:dyDescent="0.25">
      <c r="A23" s="798">
        <v>4</v>
      </c>
      <c r="B23" s="799"/>
      <c r="C23" s="800" t="str">
        <f t="shared" si="1"/>
        <v/>
      </c>
      <c r="D23" s="801"/>
      <c r="E23" s="794"/>
      <c r="F23" s="794"/>
      <c r="G23" s="795" t="str">
        <f t="shared" si="2"/>
        <v/>
      </c>
      <c r="H23" s="795"/>
      <c r="I23" s="794"/>
      <c r="J23" s="794"/>
      <c r="K23" s="795" t="str">
        <f t="shared" si="3"/>
        <v/>
      </c>
      <c r="L23" s="795"/>
      <c r="M23" s="794"/>
      <c r="N23" s="794"/>
      <c r="O23" s="795" t="str">
        <f t="shared" si="4"/>
        <v/>
      </c>
      <c r="P23" s="795"/>
      <c r="Q23" s="794"/>
      <c r="R23" s="794"/>
      <c r="S23" s="795" t="str">
        <f t="shared" si="5"/>
        <v/>
      </c>
      <c r="T23" s="795"/>
      <c r="U23" s="794"/>
      <c r="V23" s="794"/>
      <c r="W23" s="795" t="str">
        <f t="shared" si="6"/>
        <v/>
      </c>
      <c r="X23" s="795"/>
      <c r="Y23" s="794"/>
      <c r="Z23" s="794"/>
      <c r="AA23" s="795" t="str">
        <f t="shared" si="7"/>
        <v/>
      </c>
      <c r="AB23" s="795"/>
      <c r="AC23" s="794"/>
      <c r="AD23" s="794"/>
      <c r="AE23" s="795" t="str">
        <f t="shared" si="8"/>
        <v/>
      </c>
      <c r="AF23" s="795"/>
      <c r="AG23" s="794"/>
      <c r="AH23" s="794"/>
      <c r="AI23" s="795" t="str">
        <f t="shared" si="9"/>
        <v/>
      </c>
      <c r="AJ23" s="795"/>
      <c r="AK23" s="794"/>
      <c r="AL23" s="794"/>
      <c r="AM23" s="795" t="str">
        <f t="shared" si="10"/>
        <v/>
      </c>
      <c r="AN23" s="795"/>
      <c r="AO23" s="794"/>
      <c r="AP23" s="794"/>
      <c r="AQ23" s="795" t="str">
        <f t="shared" si="11"/>
        <v/>
      </c>
      <c r="AR23" s="795"/>
      <c r="AS23" s="796"/>
      <c r="AT23" s="794"/>
      <c r="AU23" s="795" t="str">
        <f t="shared" si="12"/>
        <v/>
      </c>
      <c r="AV23" s="797"/>
      <c r="AW23" s="44"/>
      <c r="AX23" s="736" t="s">
        <v>332</v>
      </c>
      <c r="AY23" s="737"/>
      <c r="AZ23" s="737"/>
      <c r="BA23" s="737"/>
      <c r="BB23" s="737"/>
      <c r="BC23" s="738"/>
      <c r="BD23" s="739" t="str">
        <f>IF(B14&lt;&gt;0,B14,"")</f>
        <v/>
      </c>
      <c r="BE23" s="739"/>
      <c r="BF23" s="740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</row>
    <row r="24" spans="1:90" ht="12" customHeight="1" x14ac:dyDescent="0.25">
      <c r="A24" s="798">
        <v>5</v>
      </c>
      <c r="B24" s="799"/>
      <c r="C24" s="800" t="str">
        <f t="shared" si="1"/>
        <v/>
      </c>
      <c r="D24" s="801"/>
      <c r="E24" s="794"/>
      <c r="F24" s="794"/>
      <c r="G24" s="795" t="str">
        <f t="shared" si="2"/>
        <v/>
      </c>
      <c r="H24" s="795"/>
      <c r="I24" s="794"/>
      <c r="J24" s="794"/>
      <c r="K24" s="795" t="str">
        <f t="shared" si="3"/>
        <v/>
      </c>
      <c r="L24" s="795"/>
      <c r="M24" s="794"/>
      <c r="N24" s="794"/>
      <c r="O24" s="795" t="str">
        <f t="shared" si="4"/>
        <v/>
      </c>
      <c r="P24" s="795"/>
      <c r="Q24" s="794"/>
      <c r="R24" s="794"/>
      <c r="S24" s="795" t="str">
        <f t="shared" si="5"/>
        <v/>
      </c>
      <c r="T24" s="795"/>
      <c r="U24" s="794"/>
      <c r="V24" s="794"/>
      <c r="W24" s="795" t="str">
        <f t="shared" si="6"/>
        <v/>
      </c>
      <c r="X24" s="795"/>
      <c r="Y24" s="794"/>
      <c r="Z24" s="794"/>
      <c r="AA24" s="795" t="str">
        <f t="shared" si="7"/>
        <v/>
      </c>
      <c r="AB24" s="795"/>
      <c r="AC24" s="794"/>
      <c r="AD24" s="794"/>
      <c r="AE24" s="795" t="str">
        <f t="shared" si="8"/>
        <v/>
      </c>
      <c r="AF24" s="795"/>
      <c r="AG24" s="794"/>
      <c r="AH24" s="794"/>
      <c r="AI24" s="795" t="str">
        <f t="shared" si="9"/>
        <v/>
      </c>
      <c r="AJ24" s="795"/>
      <c r="AK24" s="794"/>
      <c r="AL24" s="794"/>
      <c r="AM24" s="795" t="str">
        <f t="shared" si="10"/>
        <v/>
      </c>
      <c r="AN24" s="795"/>
      <c r="AO24" s="794"/>
      <c r="AP24" s="794"/>
      <c r="AQ24" s="795" t="str">
        <f t="shared" si="11"/>
        <v/>
      </c>
      <c r="AR24" s="795"/>
      <c r="AS24" s="796"/>
      <c r="AT24" s="794"/>
      <c r="AU24" s="795" t="str">
        <f t="shared" si="12"/>
        <v/>
      </c>
      <c r="AV24" s="797"/>
      <c r="AW24" s="44"/>
      <c r="AX24" s="542" t="s">
        <v>329</v>
      </c>
      <c r="AY24" s="543"/>
      <c r="AZ24" s="543"/>
      <c r="BA24" s="543"/>
      <c r="BB24" s="543"/>
      <c r="BC24" s="544"/>
      <c r="BD24" s="458" t="str">
        <f>IFERROR(IF(BD23&lt;=20,4,ROUNDUP(BD23/6,0)),"")</f>
        <v/>
      </c>
      <c r="BE24" s="458"/>
      <c r="BF24" s="459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</row>
    <row r="25" spans="1:90" ht="12" customHeight="1" thickBot="1" x14ac:dyDescent="0.3">
      <c r="A25" s="798">
        <v>6</v>
      </c>
      <c r="B25" s="799"/>
      <c r="C25" s="800" t="str">
        <f t="shared" si="1"/>
        <v/>
      </c>
      <c r="D25" s="801"/>
      <c r="E25" s="794"/>
      <c r="F25" s="794"/>
      <c r="G25" s="795" t="str">
        <f t="shared" si="2"/>
        <v/>
      </c>
      <c r="H25" s="795"/>
      <c r="I25" s="794"/>
      <c r="J25" s="794"/>
      <c r="K25" s="795" t="str">
        <f t="shared" si="3"/>
        <v/>
      </c>
      <c r="L25" s="795"/>
      <c r="M25" s="794"/>
      <c r="N25" s="794"/>
      <c r="O25" s="795" t="str">
        <f t="shared" si="4"/>
        <v/>
      </c>
      <c r="P25" s="795"/>
      <c r="Q25" s="794"/>
      <c r="R25" s="794"/>
      <c r="S25" s="795" t="str">
        <f t="shared" si="5"/>
        <v/>
      </c>
      <c r="T25" s="795"/>
      <c r="U25" s="794"/>
      <c r="V25" s="794"/>
      <c r="W25" s="795" t="str">
        <f t="shared" si="6"/>
        <v/>
      </c>
      <c r="X25" s="795"/>
      <c r="Y25" s="794"/>
      <c r="Z25" s="794"/>
      <c r="AA25" s="795" t="str">
        <f t="shared" si="7"/>
        <v/>
      </c>
      <c r="AB25" s="795"/>
      <c r="AC25" s="794"/>
      <c r="AD25" s="794"/>
      <c r="AE25" s="795" t="str">
        <f t="shared" si="8"/>
        <v/>
      </c>
      <c r="AF25" s="795"/>
      <c r="AG25" s="794"/>
      <c r="AH25" s="794"/>
      <c r="AI25" s="795" t="str">
        <f t="shared" si="9"/>
        <v/>
      </c>
      <c r="AJ25" s="795"/>
      <c r="AK25" s="794"/>
      <c r="AL25" s="794"/>
      <c r="AM25" s="795" t="str">
        <f t="shared" si="10"/>
        <v/>
      </c>
      <c r="AN25" s="795"/>
      <c r="AO25" s="794"/>
      <c r="AP25" s="794"/>
      <c r="AQ25" s="795" t="str">
        <f t="shared" si="11"/>
        <v/>
      </c>
      <c r="AR25" s="795"/>
      <c r="AS25" s="796"/>
      <c r="AT25" s="794"/>
      <c r="AU25" s="795" t="str">
        <f t="shared" si="12"/>
        <v/>
      </c>
      <c r="AV25" s="797"/>
      <c r="AW25" s="44"/>
      <c r="AX25" s="552" t="s">
        <v>330</v>
      </c>
      <c r="AY25" s="283"/>
      <c r="AZ25" s="283"/>
      <c r="BA25" s="283"/>
      <c r="BB25" s="283"/>
      <c r="BC25" s="735"/>
      <c r="BD25" s="733" t="str">
        <f>IFERROR(IF(BD24&lt;=20,((BD23-(BD23/BD24))/(BD24-1)),(BD23-6)/(BD24-1)),"")</f>
        <v/>
      </c>
      <c r="BE25" s="733"/>
      <c r="BF25" s="73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</row>
    <row r="26" spans="1:90" ht="12" customHeight="1" thickBot="1" x14ac:dyDescent="0.3">
      <c r="A26" s="798">
        <v>7</v>
      </c>
      <c r="B26" s="799"/>
      <c r="C26" s="800" t="str">
        <f t="shared" si="1"/>
        <v/>
      </c>
      <c r="D26" s="801"/>
      <c r="E26" s="794"/>
      <c r="F26" s="794"/>
      <c r="G26" s="795" t="str">
        <f t="shared" si="2"/>
        <v/>
      </c>
      <c r="H26" s="795"/>
      <c r="I26" s="794"/>
      <c r="J26" s="794"/>
      <c r="K26" s="795" t="str">
        <f t="shared" si="3"/>
        <v/>
      </c>
      <c r="L26" s="795"/>
      <c r="M26" s="794"/>
      <c r="N26" s="794"/>
      <c r="O26" s="795" t="str">
        <f t="shared" si="4"/>
        <v/>
      </c>
      <c r="P26" s="795"/>
      <c r="Q26" s="794"/>
      <c r="R26" s="794"/>
      <c r="S26" s="795" t="str">
        <f t="shared" si="5"/>
        <v/>
      </c>
      <c r="T26" s="795"/>
      <c r="U26" s="794"/>
      <c r="V26" s="794"/>
      <c r="W26" s="795" t="str">
        <f t="shared" si="6"/>
        <v/>
      </c>
      <c r="X26" s="795"/>
      <c r="Y26" s="794"/>
      <c r="Z26" s="794"/>
      <c r="AA26" s="795" t="str">
        <f t="shared" si="7"/>
        <v/>
      </c>
      <c r="AB26" s="795"/>
      <c r="AC26" s="794"/>
      <c r="AD26" s="794"/>
      <c r="AE26" s="795" t="str">
        <f t="shared" si="8"/>
        <v/>
      </c>
      <c r="AF26" s="795"/>
      <c r="AG26" s="794"/>
      <c r="AH26" s="794"/>
      <c r="AI26" s="795" t="str">
        <f t="shared" si="9"/>
        <v/>
      </c>
      <c r="AJ26" s="795"/>
      <c r="AK26" s="794"/>
      <c r="AL26" s="794"/>
      <c r="AM26" s="795" t="str">
        <f t="shared" si="10"/>
        <v/>
      </c>
      <c r="AN26" s="795"/>
      <c r="AO26" s="794"/>
      <c r="AP26" s="794"/>
      <c r="AQ26" s="795" t="str">
        <f t="shared" si="11"/>
        <v/>
      </c>
      <c r="AR26" s="795"/>
      <c r="AS26" s="796"/>
      <c r="AT26" s="794"/>
      <c r="AU26" s="795" t="str">
        <f t="shared" si="12"/>
        <v/>
      </c>
      <c r="AV26" s="797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</row>
    <row r="27" spans="1:90" ht="12" customHeight="1" thickBot="1" x14ac:dyDescent="0.3">
      <c r="A27" s="798">
        <v>8</v>
      </c>
      <c r="B27" s="799"/>
      <c r="C27" s="800" t="str">
        <f t="shared" si="1"/>
        <v/>
      </c>
      <c r="D27" s="801"/>
      <c r="E27" s="794"/>
      <c r="F27" s="794"/>
      <c r="G27" s="795" t="str">
        <f t="shared" si="2"/>
        <v/>
      </c>
      <c r="H27" s="795"/>
      <c r="I27" s="794"/>
      <c r="J27" s="794"/>
      <c r="K27" s="795" t="str">
        <f t="shared" si="3"/>
        <v/>
      </c>
      <c r="L27" s="795"/>
      <c r="M27" s="794"/>
      <c r="N27" s="794"/>
      <c r="O27" s="795" t="str">
        <f t="shared" si="4"/>
        <v/>
      </c>
      <c r="P27" s="795"/>
      <c r="Q27" s="794"/>
      <c r="R27" s="794"/>
      <c r="S27" s="795" t="str">
        <f t="shared" si="5"/>
        <v/>
      </c>
      <c r="T27" s="795"/>
      <c r="U27" s="794"/>
      <c r="V27" s="794"/>
      <c r="W27" s="795" t="str">
        <f t="shared" si="6"/>
        <v/>
      </c>
      <c r="X27" s="795"/>
      <c r="Y27" s="794"/>
      <c r="Z27" s="794"/>
      <c r="AA27" s="795" t="str">
        <f t="shared" si="7"/>
        <v/>
      </c>
      <c r="AB27" s="795"/>
      <c r="AC27" s="794"/>
      <c r="AD27" s="794"/>
      <c r="AE27" s="795" t="str">
        <f t="shared" si="8"/>
        <v/>
      </c>
      <c r="AF27" s="795"/>
      <c r="AG27" s="794"/>
      <c r="AH27" s="794"/>
      <c r="AI27" s="795" t="str">
        <f t="shared" si="9"/>
        <v/>
      </c>
      <c r="AJ27" s="795"/>
      <c r="AK27" s="794"/>
      <c r="AL27" s="794"/>
      <c r="AM27" s="795" t="str">
        <f t="shared" si="10"/>
        <v/>
      </c>
      <c r="AN27" s="795"/>
      <c r="AO27" s="794"/>
      <c r="AP27" s="794"/>
      <c r="AQ27" s="795" t="str">
        <f t="shared" si="11"/>
        <v/>
      </c>
      <c r="AR27" s="795"/>
      <c r="AS27" s="796"/>
      <c r="AT27" s="794"/>
      <c r="AU27" s="795" t="str">
        <f t="shared" si="12"/>
        <v/>
      </c>
      <c r="AV27" s="797"/>
      <c r="AW27" s="44"/>
      <c r="AX27" s="471" t="s">
        <v>160</v>
      </c>
      <c r="AY27" s="472"/>
      <c r="AZ27" s="472"/>
      <c r="BA27" s="472"/>
      <c r="BB27" s="472"/>
      <c r="BC27" s="472"/>
      <c r="BD27" s="472"/>
      <c r="BE27" s="472"/>
      <c r="BF27" s="472"/>
      <c r="BG27" s="472"/>
      <c r="BH27" s="472"/>
      <c r="BI27" s="472"/>
      <c r="BJ27" s="472"/>
      <c r="BK27" s="472"/>
      <c r="BL27" s="473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</row>
    <row r="28" spans="1:90" ht="12" customHeight="1" thickTop="1" x14ac:dyDescent="0.25">
      <c r="A28" s="798">
        <v>9</v>
      </c>
      <c r="B28" s="799"/>
      <c r="C28" s="800" t="str">
        <f t="shared" si="1"/>
        <v/>
      </c>
      <c r="D28" s="801"/>
      <c r="E28" s="794"/>
      <c r="F28" s="794"/>
      <c r="G28" s="795" t="str">
        <f t="shared" si="2"/>
        <v/>
      </c>
      <c r="H28" s="795"/>
      <c r="I28" s="794"/>
      <c r="J28" s="794"/>
      <c r="K28" s="795" t="str">
        <f t="shared" si="3"/>
        <v/>
      </c>
      <c r="L28" s="795"/>
      <c r="M28" s="794"/>
      <c r="N28" s="794"/>
      <c r="O28" s="795" t="str">
        <f t="shared" si="4"/>
        <v/>
      </c>
      <c r="P28" s="795"/>
      <c r="Q28" s="794"/>
      <c r="R28" s="794"/>
      <c r="S28" s="795" t="str">
        <f t="shared" si="5"/>
        <v/>
      </c>
      <c r="T28" s="795"/>
      <c r="U28" s="794"/>
      <c r="V28" s="794"/>
      <c r="W28" s="795" t="str">
        <f t="shared" si="6"/>
        <v/>
      </c>
      <c r="X28" s="795"/>
      <c r="Y28" s="794"/>
      <c r="Z28" s="794"/>
      <c r="AA28" s="795" t="str">
        <f t="shared" si="7"/>
        <v/>
      </c>
      <c r="AB28" s="795"/>
      <c r="AC28" s="794"/>
      <c r="AD28" s="794"/>
      <c r="AE28" s="795" t="str">
        <f t="shared" si="8"/>
        <v/>
      </c>
      <c r="AF28" s="795"/>
      <c r="AG28" s="794"/>
      <c r="AH28" s="794"/>
      <c r="AI28" s="795" t="str">
        <f t="shared" si="9"/>
        <v/>
      </c>
      <c r="AJ28" s="795"/>
      <c r="AK28" s="794"/>
      <c r="AL28" s="794"/>
      <c r="AM28" s="795" t="str">
        <f t="shared" si="10"/>
        <v/>
      </c>
      <c r="AN28" s="795"/>
      <c r="AO28" s="794"/>
      <c r="AP28" s="794"/>
      <c r="AQ28" s="795" t="str">
        <f t="shared" si="11"/>
        <v/>
      </c>
      <c r="AR28" s="795"/>
      <c r="AS28" s="796"/>
      <c r="AT28" s="794"/>
      <c r="AU28" s="795" t="str">
        <f t="shared" si="12"/>
        <v/>
      </c>
      <c r="AV28" s="797"/>
      <c r="AW28" s="44"/>
      <c r="AX28" s="324"/>
      <c r="AY28" s="547"/>
      <c r="AZ28" s="547"/>
      <c r="BA28" s="547"/>
      <c r="BB28" s="325"/>
      <c r="BC28" s="548"/>
      <c r="BD28" s="547"/>
      <c r="BE28" s="547"/>
      <c r="BF28" s="547"/>
      <c r="BG28" s="325"/>
      <c r="BH28" s="548"/>
      <c r="BI28" s="547"/>
      <c r="BJ28" s="547"/>
      <c r="BK28" s="547"/>
      <c r="BL28" s="549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</row>
    <row r="29" spans="1:90" ht="12" customHeight="1" thickBot="1" x14ac:dyDescent="0.3">
      <c r="A29" s="798">
        <v>10</v>
      </c>
      <c r="B29" s="799"/>
      <c r="C29" s="800" t="str">
        <f t="shared" si="1"/>
        <v/>
      </c>
      <c r="D29" s="801"/>
      <c r="E29" s="802"/>
      <c r="F29" s="802"/>
      <c r="G29" s="803" t="str">
        <f t="shared" si="2"/>
        <v/>
      </c>
      <c r="H29" s="803"/>
      <c r="I29" s="802"/>
      <c r="J29" s="802"/>
      <c r="K29" s="803" t="str">
        <f t="shared" si="3"/>
        <v/>
      </c>
      <c r="L29" s="803"/>
      <c r="M29" s="794"/>
      <c r="N29" s="794"/>
      <c r="O29" s="795" t="str">
        <f t="shared" si="4"/>
        <v/>
      </c>
      <c r="P29" s="795"/>
      <c r="Q29" s="794"/>
      <c r="R29" s="794"/>
      <c r="S29" s="795" t="str">
        <f t="shared" si="5"/>
        <v/>
      </c>
      <c r="T29" s="795"/>
      <c r="U29" s="794"/>
      <c r="V29" s="794"/>
      <c r="W29" s="795" t="str">
        <f t="shared" si="6"/>
        <v/>
      </c>
      <c r="X29" s="795"/>
      <c r="Y29" s="794"/>
      <c r="Z29" s="794"/>
      <c r="AA29" s="795" t="str">
        <f t="shared" si="7"/>
        <v/>
      </c>
      <c r="AB29" s="795"/>
      <c r="AC29" s="794"/>
      <c r="AD29" s="794"/>
      <c r="AE29" s="795" t="str">
        <f t="shared" si="8"/>
        <v/>
      </c>
      <c r="AF29" s="795"/>
      <c r="AG29" s="794"/>
      <c r="AH29" s="794"/>
      <c r="AI29" s="795" t="str">
        <f t="shared" si="9"/>
        <v/>
      </c>
      <c r="AJ29" s="795"/>
      <c r="AK29" s="794"/>
      <c r="AL29" s="794"/>
      <c r="AM29" s="795" t="str">
        <f t="shared" si="10"/>
        <v/>
      </c>
      <c r="AN29" s="795"/>
      <c r="AO29" s="794"/>
      <c r="AP29" s="794"/>
      <c r="AQ29" s="795" t="str">
        <f t="shared" si="11"/>
        <v/>
      </c>
      <c r="AR29" s="795"/>
      <c r="AS29" s="796"/>
      <c r="AT29" s="794"/>
      <c r="AU29" s="795" t="str">
        <f t="shared" si="12"/>
        <v/>
      </c>
      <c r="AV29" s="797"/>
      <c r="AW29" s="44"/>
      <c r="AX29" s="521"/>
      <c r="AY29" s="522"/>
      <c r="AZ29" s="522"/>
      <c r="BA29" s="522"/>
      <c r="BB29" s="523"/>
      <c r="BC29" s="524"/>
      <c r="BD29" s="522"/>
      <c r="BE29" s="522"/>
      <c r="BF29" s="522"/>
      <c r="BG29" s="523"/>
      <c r="BH29" s="524"/>
      <c r="BI29" s="522"/>
      <c r="BJ29" s="522"/>
      <c r="BK29" s="522"/>
      <c r="BL29" s="525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</row>
    <row r="30" spans="1:90" ht="12" customHeight="1" thickTop="1" thickBot="1" x14ac:dyDescent="0.3">
      <c r="A30" s="791" t="s">
        <v>310</v>
      </c>
      <c r="B30" s="792"/>
      <c r="C30" s="792"/>
      <c r="D30" s="792"/>
      <c r="E30" s="793"/>
      <c r="F30" s="790"/>
      <c r="G30" s="715" t="str">
        <f>IF(E18="","",ROUND(SUM(G20:H29),0))</f>
        <v/>
      </c>
      <c r="H30" s="716"/>
      <c r="I30" s="788"/>
      <c r="J30" s="790"/>
      <c r="K30" s="715" t="str">
        <f>IF(I18="","",ROUND(SUM(K20:L29),0))</f>
        <v/>
      </c>
      <c r="L30" s="717"/>
      <c r="M30" s="788"/>
      <c r="N30" s="789"/>
      <c r="O30" s="715" t="str">
        <f>IF(M18="","",ROUND(SUM(O20:P29),0))</f>
        <v/>
      </c>
      <c r="P30" s="716"/>
      <c r="Q30" s="788"/>
      <c r="R30" s="790"/>
      <c r="S30" s="715" t="str">
        <f>IF(Q18="","",ROUND(SUM(S20:T29),0))</f>
        <v/>
      </c>
      <c r="T30" s="717"/>
      <c r="U30" s="790"/>
      <c r="V30" s="790"/>
      <c r="W30" s="715" t="str">
        <f>IF(U18="","",ROUND(SUM(W20:X29),0))</f>
        <v/>
      </c>
      <c r="X30" s="716"/>
      <c r="Y30" s="788"/>
      <c r="Z30" s="790"/>
      <c r="AA30" s="715" t="str">
        <f>IF(Y18="","",ROUND(SUM(AA20:AB29),0))</f>
        <v/>
      </c>
      <c r="AB30" s="717"/>
      <c r="AC30" s="790"/>
      <c r="AD30" s="790"/>
      <c r="AE30" s="715" t="str">
        <f>IF(AC18="","",ROUND(SUM(AE20:AF29),0))</f>
        <v/>
      </c>
      <c r="AF30" s="716"/>
      <c r="AG30" s="788"/>
      <c r="AH30" s="790"/>
      <c r="AI30" s="715" t="str">
        <f>IF(AG18="","",ROUND(SUM(AI20:AJ29),0))</f>
        <v/>
      </c>
      <c r="AJ30" s="716"/>
      <c r="AK30" s="788"/>
      <c r="AL30" s="789"/>
      <c r="AM30" s="715" t="str">
        <f>IF(AK18="","",ROUND(SUM(AM20:AN29),0))</f>
        <v/>
      </c>
      <c r="AN30" s="716"/>
      <c r="AO30" s="788"/>
      <c r="AP30" s="789"/>
      <c r="AQ30" s="715" t="str">
        <f>IF(AO18="","",ROUND(SUM(AQ20:AR29),0))</f>
        <v/>
      </c>
      <c r="AR30" s="717"/>
      <c r="AS30" s="790"/>
      <c r="AT30" s="789"/>
      <c r="AU30" s="715" t="str">
        <f>IF(AS18="","",ROUND(SUM(AU20:AV29),0))</f>
        <v/>
      </c>
      <c r="AV30" s="725"/>
      <c r="AW30" s="44"/>
      <c r="AX30" s="521"/>
      <c r="AY30" s="522"/>
      <c r="AZ30" s="522"/>
      <c r="BA30" s="522"/>
      <c r="BB30" s="523"/>
      <c r="BC30" s="524"/>
      <c r="BD30" s="522"/>
      <c r="BE30" s="522"/>
      <c r="BF30" s="522"/>
      <c r="BG30" s="523"/>
      <c r="BH30" s="524"/>
      <c r="BI30" s="522"/>
      <c r="BJ30" s="522"/>
      <c r="BK30" s="522"/>
      <c r="BL30" s="525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</row>
    <row r="31" spans="1:90" ht="12.75" customHeight="1" x14ac:dyDescent="0.25">
      <c r="A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4"/>
      <c r="AX31" s="521"/>
      <c r="AY31" s="522"/>
      <c r="AZ31" s="522"/>
      <c r="BA31" s="522"/>
      <c r="BB31" s="523"/>
      <c r="BC31" s="524"/>
      <c r="BD31" s="522"/>
      <c r="BE31" s="522"/>
      <c r="BF31" s="522"/>
      <c r="BG31" s="523"/>
      <c r="BH31" s="524"/>
      <c r="BI31" s="522"/>
      <c r="BJ31" s="522"/>
      <c r="BK31" s="522"/>
      <c r="BL31" s="525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</row>
    <row r="32" spans="1:90" ht="12" customHeight="1" thickBot="1" x14ac:dyDescent="0.3">
      <c r="A32" s="42"/>
      <c r="B32" s="42" t="s">
        <v>262</v>
      </c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4"/>
      <c r="AX32" s="521"/>
      <c r="AY32" s="522"/>
      <c r="AZ32" s="522"/>
      <c r="BA32" s="522"/>
      <c r="BB32" s="523"/>
      <c r="BC32" s="524"/>
      <c r="BD32" s="522"/>
      <c r="BE32" s="522"/>
      <c r="BF32" s="522"/>
      <c r="BG32" s="523"/>
      <c r="BH32" s="524"/>
      <c r="BI32" s="522"/>
      <c r="BJ32" s="522"/>
      <c r="BK32" s="522"/>
      <c r="BL32" s="525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</row>
    <row r="33" spans="1:90" ht="12" customHeight="1" thickBot="1" x14ac:dyDescent="0.3">
      <c r="A33" s="84"/>
      <c r="B33" s="281"/>
      <c r="C33" s="281"/>
      <c r="D33" s="281"/>
      <c r="E33" s="281"/>
      <c r="F33" s="281"/>
      <c r="G33" s="281"/>
      <c r="H33" s="281"/>
      <c r="I33" s="281"/>
      <c r="J33" s="281"/>
      <c r="K33" s="281"/>
      <c r="L33" s="281"/>
      <c r="M33" s="281"/>
      <c r="N33" s="281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42"/>
      <c r="AF33" s="709" t="s">
        <v>350</v>
      </c>
      <c r="AG33" s="710"/>
      <c r="AH33" s="710"/>
      <c r="AI33" s="710"/>
      <c r="AJ33" s="710"/>
      <c r="AK33" s="710"/>
      <c r="AL33" s="710"/>
      <c r="AM33" s="710"/>
      <c r="AN33" s="710"/>
      <c r="AO33" s="710"/>
      <c r="AP33" s="136"/>
      <c r="AQ33" s="137" t="s">
        <v>351</v>
      </c>
      <c r="AR33" s="786"/>
      <c r="AS33" s="786"/>
      <c r="AT33" s="138" t="s">
        <v>352</v>
      </c>
      <c r="AU33" s="786"/>
      <c r="AV33" s="787"/>
      <c r="AW33" s="44"/>
      <c r="AX33" s="528"/>
      <c r="AY33" s="529"/>
      <c r="AZ33" s="529"/>
      <c r="BA33" s="529"/>
      <c r="BB33" s="530"/>
      <c r="BC33" s="531"/>
      <c r="BD33" s="529"/>
      <c r="BE33" s="529"/>
      <c r="BF33" s="529"/>
      <c r="BG33" s="530"/>
      <c r="BH33" s="531"/>
      <c r="BI33" s="529"/>
      <c r="BJ33" s="529"/>
      <c r="BK33" s="529"/>
      <c r="BL33" s="532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</row>
    <row r="34" spans="1:90" ht="12" customHeight="1" x14ac:dyDescent="0.25">
      <c r="A34" s="84"/>
      <c r="B34" s="281"/>
      <c r="C34" s="281"/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42"/>
      <c r="AF34" s="333" t="s">
        <v>336</v>
      </c>
      <c r="AG34" s="334"/>
      <c r="AH34" s="334"/>
      <c r="AI34" s="334"/>
      <c r="AJ34" s="334"/>
      <c r="AK34" s="334"/>
      <c r="AL34" s="334"/>
      <c r="AM34" s="334"/>
      <c r="AN34" s="334"/>
      <c r="AO34" s="334"/>
      <c r="AP34" s="707"/>
      <c r="AQ34" s="708"/>
      <c r="AR34" s="708"/>
      <c r="AS34" s="708"/>
      <c r="AT34" s="407" t="s">
        <v>337</v>
      </c>
      <c r="AU34" s="407"/>
      <c r="AV34" s="701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</row>
    <row r="35" spans="1:90" ht="12" customHeight="1" x14ac:dyDescent="0.25">
      <c r="A35" s="84"/>
      <c r="B35" s="281"/>
      <c r="C35" s="281"/>
      <c r="D35" s="281"/>
      <c r="E35" s="281"/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42"/>
      <c r="AF35" s="333" t="s">
        <v>338</v>
      </c>
      <c r="AG35" s="334"/>
      <c r="AH35" s="334"/>
      <c r="AI35" s="334"/>
      <c r="AJ35" s="334"/>
      <c r="AK35" s="334"/>
      <c r="AL35" s="334"/>
      <c r="AM35" s="334"/>
      <c r="AN35" s="334"/>
      <c r="AO35" s="334"/>
      <c r="AP35" s="705" t="str">
        <f>IF((SUM(E30:AV30)+ SUM(E40:L40))&lt;&gt;0,(SUM(E30:AV30)+ SUM(E40:L40)),"")</f>
        <v/>
      </c>
      <c r="AQ35" s="706"/>
      <c r="AR35" s="706"/>
      <c r="AS35" s="706"/>
      <c r="AT35" s="407" t="s">
        <v>319</v>
      </c>
      <c r="AU35" s="407"/>
      <c r="AV35" s="701"/>
      <c r="AW35" s="44"/>
      <c r="AX35" s="784" t="s">
        <v>353</v>
      </c>
      <c r="AY35" s="784"/>
      <c r="AZ35" s="784"/>
      <c r="BA35" s="784"/>
      <c r="BB35" s="784"/>
      <c r="BC35" s="784"/>
      <c r="BD35" s="784"/>
      <c r="BE35" s="784"/>
      <c r="BF35" s="784"/>
      <c r="BG35" s="784"/>
      <c r="BH35" s="784"/>
      <c r="BI35" s="784"/>
      <c r="BJ35" s="784"/>
      <c r="BK35" s="784"/>
      <c r="BL35" s="784"/>
      <c r="BM35" s="784"/>
      <c r="BN35" s="784"/>
      <c r="BO35" s="784"/>
      <c r="BP35" s="784"/>
      <c r="BQ35" s="784"/>
      <c r="BR35" s="784"/>
      <c r="BS35" s="784"/>
      <c r="BT35" s="784"/>
      <c r="BU35" s="784"/>
      <c r="BV35" s="784"/>
      <c r="BW35" s="784"/>
      <c r="BX35" s="784"/>
      <c r="BY35" s="784"/>
      <c r="BZ35" s="139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</row>
    <row r="36" spans="1:90" ht="12" customHeight="1" x14ac:dyDescent="0.25">
      <c r="A36" s="84"/>
      <c r="B36" s="281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42"/>
      <c r="AF36" s="333" t="s">
        <v>339</v>
      </c>
      <c r="AG36" s="334"/>
      <c r="AH36" s="334"/>
      <c r="AI36" s="334"/>
      <c r="AJ36" s="334"/>
      <c r="AK36" s="334"/>
      <c r="AL36" s="334"/>
      <c r="AM36" s="334"/>
      <c r="AN36" s="334"/>
      <c r="AO36" s="334"/>
      <c r="AP36" s="702" t="str">
        <f>IF(((COUNT(E20:AV29)/2) + (COUNT(E31:L39)/2))&lt;&gt;0,((COUNT(E20:AV29)/2) + (COUNT(E31:L39)/2)),"")</f>
        <v/>
      </c>
      <c r="AQ36" s="703"/>
      <c r="AR36" s="703"/>
      <c r="AS36" s="703"/>
      <c r="AT36" s="703"/>
      <c r="AU36" s="703"/>
      <c r="AV36" s="704"/>
      <c r="AW36" s="44"/>
      <c r="AX36" s="784"/>
      <c r="AY36" s="784"/>
      <c r="AZ36" s="784"/>
      <c r="BA36" s="784"/>
      <c r="BB36" s="784"/>
      <c r="BC36" s="784"/>
      <c r="BD36" s="784"/>
      <c r="BE36" s="784"/>
      <c r="BF36" s="784"/>
      <c r="BG36" s="784"/>
      <c r="BH36" s="784"/>
      <c r="BI36" s="784"/>
      <c r="BJ36" s="784"/>
      <c r="BK36" s="784"/>
      <c r="BL36" s="784"/>
      <c r="BM36" s="784"/>
      <c r="BN36" s="784"/>
      <c r="BO36" s="784"/>
      <c r="BP36" s="784"/>
      <c r="BQ36" s="784"/>
      <c r="BR36" s="784"/>
      <c r="BS36" s="784"/>
      <c r="BT36" s="784"/>
      <c r="BU36" s="784"/>
      <c r="BV36" s="784"/>
      <c r="BW36" s="784"/>
      <c r="BX36" s="784"/>
      <c r="BY36" s="784"/>
      <c r="BZ36" s="139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</row>
    <row r="37" spans="1:90" ht="12" customHeight="1" x14ac:dyDescent="0.25">
      <c r="A37" s="84"/>
      <c r="B37" s="281"/>
      <c r="C37" s="281"/>
      <c r="D37" s="281"/>
      <c r="E37" s="281"/>
      <c r="F37" s="281"/>
      <c r="G37" s="281"/>
      <c r="H37" s="281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42"/>
      <c r="AF37" s="333" t="s">
        <v>340</v>
      </c>
      <c r="AG37" s="334"/>
      <c r="AH37" s="334"/>
      <c r="AI37" s="334"/>
      <c r="AJ37" s="334"/>
      <c r="AK37" s="334"/>
      <c r="AL37" s="334"/>
      <c r="AM37" s="334"/>
      <c r="AN37" s="334"/>
      <c r="AO37" s="334"/>
      <c r="AP37" s="705" t="str">
        <f>IFERROR(ROUND(AP35/AP36,2),"")</f>
        <v/>
      </c>
      <c r="AQ37" s="706"/>
      <c r="AR37" s="706"/>
      <c r="AS37" s="706"/>
      <c r="AT37" s="407" t="s">
        <v>319</v>
      </c>
      <c r="AU37" s="407"/>
      <c r="AV37" s="701"/>
      <c r="AW37" s="44"/>
      <c r="AX37" s="784" t="s">
        <v>354</v>
      </c>
      <c r="AY37" s="784"/>
      <c r="AZ37" s="784"/>
      <c r="BA37" s="784"/>
      <c r="BB37" s="784"/>
      <c r="BC37" s="784"/>
      <c r="BD37" s="784"/>
      <c r="BE37" s="784"/>
      <c r="BF37" s="784"/>
      <c r="BG37" s="784"/>
      <c r="BH37" s="784"/>
      <c r="BI37" s="784"/>
      <c r="BJ37" s="784"/>
      <c r="BK37" s="784"/>
      <c r="BL37" s="784"/>
      <c r="BM37" s="784"/>
      <c r="BN37" s="784"/>
      <c r="BO37" s="784"/>
      <c r="BP37" s="784"/>
      <c r="BQ37" s="784"/>
      <c r="BR37" s="784"/>
      <c r="BS37" s="784"/>
      <c r="BT37" s="784"/>
      <c r="BU37" s="784"/>
      <c r="BV37" s="784"/>
      <c r="BW37" s="784"/>
      <c r="BX37" s="784"/>
      <c r="BY37" s="784"/>
      <c r="BZ37" s="139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</row>
    <row r="38" spans="1:90" ht="12" customHeight="1" x14ac:dyDescent="0.25">
      <c r="A38" s="84"/>
      <c r="B38" s="281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42"/>
      <c r="AF38" s="122" t="s">
        <v>341</v>
      </c>
      <c r="AG38" s="123"/>
      <c r="AH38" s="123"/>
      <c r="AI38" s="123"/>
      <c r="AJ38" s="123"/>
      <c r="AK38" s="123"/>
      <c r="AL38" s="123"/>
      <c r="AM38" s="123"/>
      <c r="AN38" s="123"/>
      <c r="AO38" s="124"/>
      <c r="AP38" s="474"/>
      <c r="AQ38" s="558"/>
      <c r="AR38" s="558"/>
      <c r="AS38" s="558"/>
      <c r="AT38" s="558"/>
      <c r="AU38" s="558"/>
      <c r="AV38" s="698"/>
      <c r="AW38" s="44"/>
      <c r="AX38" s="784"/>
      <c r="AY38" s="784"/>
      <c r="AZ38" s="784"/>
      <c r="BA38" s="784"/>
      <c r="BB38" s="784"/>
      <c r="BC38" s="784"/>
      <c r="BD38" s="784"/>
      <c r="BE38" s="784"/>
      <c r="BF38" s="784"/>
      <c r="BG38" s="784"/>
      <c r="BH38" s="784"/>
      <c r="BI38" s="784"/>
      <c r="BJ38" s="784"/>
      <c r="BK38" s="784"/>
      <c r="BL38" s="784"/>
      <c r="BM38" s="784"/>
      <c r="BN38" s="784"/>
      <c r="BO38" s="784"/>
      <c r="BP38" s="784"/>
      <c r="BQ38" s="784"/>
      <c r="BR38" s="784"/>
      <c r="BS38" s="784"/>
      <c r="BT38" s="784"/>
      <c r="BU38" s="784"/>
      <c r="BV38" s="784"/>
      <c r="BW38" s="784"/>
      <c r="BX38" s="784"/>
      <c r="BY38" s="784"/>
      <c r="BZ38" s="139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</row>
    <row r="39" spans="1:90" ht="12" customHeight="1" x14ac:dyDescent="0.25">
      <c r="A39" s="84"/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42"/>
      <c r="AF39" s="333" t="s">
        <v>342</v>
      </c>
      <c r="AG39" s="334"/>
      <c r="AH39" s="334"/>
      <c r="AI39" s="334"/>
      <c r="AJ39" s="334"/>
      <c r="AK39" s="334"/>
      <c r="AL39" s="334"/>
      <c r="AM39" s="334"/>
      <c r="AN39" s="334"/>
      <c r="AO39" s="334"/>
      <c r="AP39" s="699" t="str">
        <f>IF(OR(AP38&lt;&gt;0,AP38&lt;&gt;""),N13*IF(AP38&lt;&gt;"N/A",AP38,1),N13)</f>
        <v/>
      </c>
      <c r="AQ39" s="700"/>
      <c r="AR39" s="700"/>
      <c r="AS39" s="700"/>
      <c r="AT39" s="407" t="s">
        <v>318</v>
      </c>
      <c r="AU39" s="407"/>
      <c r="AV39" s="701"/>
      <c r="AW39" s="44"/>
      <c r="AX39" s="785" t="s">
        <v>355</v>
      </c>
      <c r="AY39" s="785"/>
      <c r="AZ39" s="785"/>
      <c r="BA39" s="785"/>
      <c r="BB39" s="785"/>
      <c r="BC39" s="785"/>
      <c r="BD39" s="785"/>
      <c r="BE39" s="785"/>
      <c r="BF39" s="785"/>
      <c r="BG39" s="785"/>
      <c r="BH39" s="785"/>
      <c r="BI39" s="785"/>
      <c r="BJ39" s="785"/>
      <c r="BK39" s="785"/>
      <c r="BL39" s="785"/>
      <c r="BM39" s="785"/>
      <c r="BN39" s="785"/>
      <c r="BO39" s="785"/>
      <c r="BP39" s="785"/>
      <c r="BQ39" s="785"/>
      <c r="BR39" s="785"/>
      <c r="BS39" s="785"/>
      <c r="BT39" s="785"/>
      <c r="BU39" s="785"/>
      <c r="BV39" s="785"/>
      <c r="BW39" s="785"/>
      <c r="BX39" s="785"/>
      <c r="BY39" s="785"/>
      <c r="BZ39" s="785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</row>
    <row r="40" spans="1:90" ht="12" customHeight="1" thickBot="1" x14ac:dyDescent="0.3">
      <c r="A40" s="84"/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42"/>
      <c r="AF40" s="347" t="s">
        <v>343</v>
      </c>
      <c r="AG40" s="348"/>
      <c r="AH40" s="348"/>
      <c r="AI40" s="348"/>
      <c r="AJ40" s="348"/>
      <c r="AK40" s="348"/>
      <c r="AL40" s="348"/>
      <c r="AM40" s="348"/>
      <c r="AN40" s="348"/>
      <c r="AO40" s="348"/>
      <c r="AP40" s="695" t="str">
        <f>IFERROR(AP39*AP37,"")</f>
        <v/>
      </c>
      <c r="AQ40" s="696"/>
      <c r="AR40" s="696"/>
      <c r="AS40" s="696"/>
      <c r="AT40" s="427" t="s">
        <v>56</v>
      </c>
      <c r="AU40" s="427"/>
      <c r="AV40" s="697"/>
      <c r="AW40" s="44"/>
      <c r="AX40" s="139" t="s">
        <v>356</v>
      </c>
      <c r="AY40" s="139"/>
      <c r="AZ40" s="139"/>
      <c r="BA40" s="139"/>
      <c r="BB40" s="139"/>
      <c r="BC40" s="139"/>
      <c r="BD40" s="139"/>
      <c r="BE40" s="139"/>
      <c r="BF40" s="139"/>
      <c r="BG40" s="139"/>
      <c r="BH40" s="139"/>
      <c r="BI40" s="139"/>
      <c r="BJ40" s="139"/>
      <c r="BK40" s="139"/>
      <c r="BL40" s="139"/>
      <c r="BM40" s="139"/>
      <c r="BN40" s="139"/>
      <c r="BO40" s="139"/>
      <c r="BP40" s="139"/>
      <c r="BQ40" s="139"/>
      <c r="BR40" s="139"/>
      <c r="BS40" s="139"/>
      <c r="BT40" s="139"/>
      <c r="BU40" s="139"/>
      <c r="BV40" s="139"/>
      <c r="BW40" s="139"/>
      <c r="BX40" s="139"/>
      <c r="BY40" s="139"/>
      <c r="BZ40" s="139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</row>
    <row r="41" spans="1:90" ht="12" customHeight="1" x14ac:dyDescent="0.25">
      <c r="A41" s="84"/>
      <c r="B41" s="281"/>
      <c r="C41" s="281"/>
      <c r="D41" s="281"/>
      <c r="E41" s="281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</row>
    <row r="42" spans="1:90" ht="12" customHeight="1" x14ac:dyDescent="0.25">
      <c r="A42" s="690" t="s">
        <v>276</v>
      </c>
      <c r="B42" s="690"/>
      <c r="C42" s="690"/>
      <c r="D42" s="690"/>
      <c r="E42" s="285"/>
      <c r="F42" s="285"/>
      <c r="G42" s="285"/>
      <c r="H42" s="285"/>
      <c r="I42" s="285"/>
      <c r="J42" s="285"/>
      <c r="K42" s="285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690" t="s">
        <v>277</v>
      </c>
      <c r="AE42" s="690"/>
      <c r="AF42" s="690"/>
      <c r="AG42" s="690"/>
      <c r="AH42" s="690"/>
      <c r="AI42" s="286"/>
      <c r="AJ42" s="286"/>
      <c r="AK42" s="286"/>
      <c r="AL42" s="286"/>
      <c r="AM42" s="286"/>
      <c r="AN42" s="286"/>
      <c r="AO42" s="286"/>
      <c r="AP42" s="286"/>
      <c r="AQ42" s="286"/>
      <c r="AR42" s="286"/>
      <c r="AS42" s="286"/>
      <c r="AT42" s="286"/>
      <c r="AU42" s="286"/>
      <c r="AV42" s="286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</row>
    <row r="43" spans="1:90" ht="12.75" hidden="1" customHeight="1" x14ac:dyDescent="0.25"/>
    <row r="44" spans="1:90" ht="12.75" hidden="1" customHeight="1" x14ac:dyDescent="0.25"/>
    <row r="45" spans="1:90" ht="12.75" hidden="1" customHeight="1" x14ac:dyDescent="0.25"/>
    <row r="46" spans="1:90" ht="12.75" hidden="1" customHeight="1" x14ac:dyDescent="0.25"/>
    <row r="47" spans="1:90" ht="12.75" hidden="1" customHeight="1" x14ac:dyDescent="0.25"/>
    <row r="48" spans="1:90" ht="12.75" hidden="1" customHeight="1" x14ac:dyDescent="0.25"/>
    <row r="49" ht="12.75" hidden="1" customHeight="1" x14ac:dyDescent="0.25"/>
    <row r="50" ht="12.75" hidden="1" customHeight="1" x14ac:dyDescent="0.25"/>
    <row r="51" ht="12.75" hidden="1" customHeight="1" x14ac:dyDescent="0.25"/>
    <row r="52" ht="12.75" hidden="1" customHeight="1" x14ac:dyDescent="0.25"/>
    <row r="53" ht="12.75" hidden="1" customHeight="1" x14ac:dyDescent="0.25"/>
    <row r="54" ht="12.75" hidden="1" customHeight="1" x14ac:dyDescent="0.25"/>
    <row r="55" ht="12.75" hidden="1" customHeight="1" x14ac:dyDescent="0.25"/>
  </sheetData>
  <mergeCells count="457">
    <mergeCell ref="AY8:BF8"/>
    <mergeCell ref="A9:E9"/>
    <mergeCell ref="F9:P9"/>
    <mergeCell ref="AG9:AK9"/>
    <mergeCell ref="AL9:AV9"/>
    <mergeCell ref="AY9:BD9"/>
    <mergeCell ref="BE9:BF9"/>
    <mergeCell ref="AW1:CL1"/>
    <mergeCell ref="Z5:AV5"/>
    <mergeCell ref="A7:E7"/>
    <mergeCell ref="F7:P7"/>
    <mergeCell ref="AG7:AK7"/>
    <mergeCell ref="AL7:AV7"/>
    <mergeCell ref="BW9:BX9"/>
    <mergeCell ref="BY9:BZ9"/>
    <mergeCell ref="CA9:CB9"/>
    <mergeCell ref="CC9:CD9"/>
    <mergeCell ref="CE9:CF9"/>
    <mergeCell ref="CG9:CH9"/>
    <mergeCell ref="BI9:BL9"/>
    <mergeCell ref="BM9:BN9"/>
    <mergeCell ref="BO9:BP9"/>
    <mergeCell ref="BQ9:BR9"/>
    <mergeCell ref="BS9:BT9"/>
    <mergeCell ref="BU9:BV9"/>
    <mergeCell ref="A12:P12"/>
    <mergeCell ref="Q12:AF12"/>
    <mergeCell ref="AG12:AV12"/>
    <mergeCell ref="AX12:BG12"/>
    <mergeCell ref="BI12:BJ12"/>
    <mergeCell ref="BK12:BL12"/>
    <mergeCell ref="CC10:CD10"/>
    <mergeCell ref="CE10:CF10"/>
    <mergeCell ref="CG10:CH10"/>
    <mergeCell ref="A11:AV11"/>
    <mergeCell ref="BI11:BJ11"/>
    <mergeCell ref="BK11:BL11"/>
    <mergeCell ref="BQ10:BR10"/>
    <mergeCell ref="BS10:BT10"/>
    <mergeCell ref="BU10:BV10"/>
    <mergeCell ref="BW10:BX10"/>
    <mergeCell ref="BY10:BZ10"/>
    <mergeCell ref="CA10:CB10"/>
    <mergeCell ref="AY10:BD10"/>
    <mergeCell ref="BE10:BF10"/>
    <mergeCell ref="BI10:BJ10"/>
    <mergeCell ref="BK10:BL10"/>
    <mergeCell ref="BM10:BN10"/>
    <mergeCell ref="BO10:BP10"/>
    <mergeCell ref="AR13:AV13"/>
    <mergeCell ref="AX13:BG13"/>
    <mergeCell ref="BI13:BJ13"/>
    <mergeCell ref="BK13:BL13"/>
    <mergeCell ref="B14:D14"/>
    <mergeCell ref="E14:G14"/>
    <mergeCell ref="H14:J14"/>
    <mergeCell ref="BI14:BJ14"/>
    <mergeCell ref="BK14:BL14"/>
    <mergeCell ref="T13:X13"/>
    <mergeCell ref="Y13:AA13"/>
    <mergeCell ref="AB13:AF13"/>
    <mergeCell ref="AG13:AI13"/>
    <mergeCell ref="AJ13:AN13"/>
    <mergeCell ref="AO13:AQ13"/>
    <mergeCell ref="B13:D13"/>
    <mergeCell ref="E13:G13"/>
    <mergeCell ref="H13:J13"/>
    <mergeCell ref="K13:M13"/>
    <mergeCell ref="N13:P13"/>
    <mergeCell ref="Q13:S13"/>
    <mergeCell ref="M15:X15"/>
    <mergeCell ref="Z15:AK15"/>
    <mergeCell ref="AL15:AV15"/>
    <mergeCell ref="AX15:BF16"/>
    <mergeCell ref="BI15:BJ15"/>
    <mergeCell ref="BK15:BL15"/>
    <mergeCell ref="M16:T16"/>
    <mergeCell ref="U16:V16"/>
    <mergeCell ref="W16:X16"/>
    <mergeCell ref="BI16:BJ16"/>
    <mergeCell ref="BK16:BL16"/>
    <mergeCell ref="AX17:BC17"/>
    <mergeCell ref="BD17:BF17"/>
    <mergeCell ref="BI17:BJ17"/>
    <mergeCell ref="BK17:BL17"/>
    <mergeCell ref="A18:D18"/>
    <mergeCell ref="E18:H18"/>
    <mergeCell ref="I18:L18"/>
    <mergeCell ref="M18:P18"/>
    <mergeCell ref="Q18:T18"/>
    <mergeCell ref="AS18:AV18"/>
    <mergeCell ref="AX18:BC18"/>
    <mergeCell ref="BD18:BF18"/>
    <mergeCell ref="BI18:BJ18"/>
    <mergeCell ref="BK18:BL18"/>
    <mergeCell ref="AK18:AN18"/>
    <mergeCell ref="AO18:AR18"/>
    <mergeCell ref="A19:B19"/>
    <mergeCell ref="C19:D19"/>
    <mergeCell ref="E19:F19"/>
    <mergeCell ref="G19:H19"/>
    <mergeCell ref="I19:J19"/>
    <mergeCell ref="U18:X18"/>
    <mergeCell ref="Y18:AB18"/>
    <mergeCell ref="AC18:AF18"/>
    <mergeCell ref="AG18:AJ18"/>
    <mergeCell ref="O19:P19"/>
    <mergeCell ref="Q19:R19"/>
    <mergeCell ref="S19:T19"/>
    <mergeCell ref="U19:V19"/>
    <mergeCell ref="AU19:AV19"/>
    <mergeCell ref="AX19:BC19"/>
    <mergeCell ref="BD19:BF19"/>
    <mergeCell ref="BI19:BJ19"/>
    <mergeCell ref="BK19:BL19"/>
    <mergeCell ref="A20:B20"/>
    <mergeCell ref="C20:D20"/>
    <mergeCell ref="E20:F20"/>
    <mergeCell ref="G20:H20"/>
    <mergeCell ref="I20:J20"/>
    <mergeCell ref="AI19:AJ19"/>
    <mergeCell ref="AK19:AL19"/>
    <mergeCell ref="AM19:AN19"/>
    <mergeCell ref="AO19:AP19"/>
    <mergeCell ref="AQ19:AR19"/>
    <mergeCell ref="AS19:AT19"/>
    <mergeCell ref="W19:X19"/>
    <mergeCell ref="Y19:Z19"/>
    <mergeCell ref="AA19:AB19"/>
    <mergeCell ref="AC19:AD19"/>
    <mergeCell ref="AE19:AF19"/>
    <mergeCell ref="AG19:AH19"/>
    <mergeCell ref="K19:L19"/>
    <mergeCell ref="M19:N19"/>
    <mergeCell ref="A21:B21"/>
    <mergeCell ref="C21:D21"/>
    <mergeCell ref="E21:F21"/>
    <mergeCell ref="G21:H21"/>
    <mergeCell ref="I21:J21"/>
    <mergeCell ref="K21:L21"/>
    <mergeCell ref="M21:N21"/>
    <mergeCell ref="AI20:AJ20"/>
    <mergeCell ref="AK20:AL20"/>
    <mergeCell ref="W20:X20"/>
    <mergeCell ref="Y20:Z20"/>
    <mergeCell ref="AA20:AB20"/>
    <mergeCell ref="AC20:AD20"/>
    <mergeCell ref="AE20:AF20"/>
    <mergeCell ref="AG20:AH20"/>
    <mergeCell ref="K20:L20"/>
    <mergeCell ref="M20:N20"/>
    <mergeCell ref="O20:P20"/>
    <mergeCell ref="Q20:R20"/>
    <mergeCell ref="S20:T20"/>
    <mergeCell ref="U20:V20"/>
    <mergeCell ref="O21:P21"/>
    <mergeCell ref="Q21:R21"/>
    <mergeCell ref="S21:T21"/>
    <mergeCell ref="U21:V21"/>
    <mergeCell ref="W21:X21"/>
    <mergeCell ref="Y21:Z21"/>
    <mergeCell ref="AU20:AV20"/>
    <mergeCell ref="BI20:BJ20"/>
    <mergeCell ref="BK20:BL20"/>
    <mergeCell ref="AM20:AN20"/>
    <mergeCell ref="AO20:AP20"/>
    <mergeCell ref="AQ20:AR20"/>
    <mergeCell ref="AS20:AT20"/>
    <mergeCell ref="AM21:AN21"/>
    <mergeCell ref="AO21:AP21"/>
    <mergeCell ref="AQ21:AR21"/>
    <mergeCell ref="AS21:AT21"/>
    <mergeCell ref="AU21:AV21"/>
    <mergeCell ref="AX21:BF22"/>
    <mergeCell ref="AA21:AB21"/>
    <mergeCell ref="AC21:AD21"/>
    <mergeCell ref="AE21:AF21"/>
    <mergeCell ref="AG21:AH21"/>
    <mergeCell ref="AI21:AJ21"/>
    <mergeCell ref="AK21:AL21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A23:B23"/>
    <mergeCell ref="C23:D23"/>
    <mergeCell ref="E23:F23"/>
    <mergeCell ref="G23:H23"/>
    <mergeCell ref="I23:J23"/>
    <mergeCell ref="K23:L23"/>
    <mergeCell ref="AK22:AL22"/>
    <mergeCell ref="AM22:AN22"/>
    <mergeCell ref="AO22:AP22"/>
    <mergeCell ref="M22:N22"/>
    <mergeCell ref="O22:P22"/>
    <mergeCell ref="Q22:R22"/>
    <mergeCell ref="S22:T22"/>
    <mergeCell ref="U22:V22"/>
    <mergeCell ref="W22:X22"/>
    <mergeCell ref="A22:B22"/>
    <mergeCell ref="C22:D22"/>
    <mergeCell ref="E22:F22"/>
    <mergeCell ref="G22:H22"/>
    <mergeCell ref="I22:J22"/>
    <mergeCell ref="K22:L22"/>
    <mergeCell ref="AC23:AD23"/>
    <mergeCell ref="AE23:AF23"/>
    <mergeCell ref="AG23:AH23"/>
    <mergeCell ref="AI23:AJ23"/>
    <mergeCell ref="M23:N23"/>
    <mergeCell ref="O23:P23"/>
    <mergeCell ref="Q23:R23"/>
    <mergeCell ref="S23:T23"/>
    <mergeCell ref="U23:V23"/>
    <mergeCell ref="W23:X23"/>
    <mergeCell ref="Q24:R24"/>
    <mergeCell ref="S24:T24"/>
    <mergeCell ref="U24:V24"/>
    <mergeCell ref="W24:X24"/>
    <mergeCell ref="Y24:Z24"/>
    <mergeCell ref="AA24:AB24"/>
    <mergeCell ref="AX23:BC23"/>
    <mergeCell ref="BD23:BF23"/>
    <mergeCell ref="A24:B24"/>
    <mergeCell ref="C24:D24"/>
    <mergeCell ref="E24:F24"/>
    <mergeCell ref="G24:H24"/>
    <mergeCell ref="I24:J24"/>
    <mergeCell ref="K24:L24"/>
    <mergeCell ref="M24:N24"/>
    <mergeCell ref="O24:P24"/>
    <mergeCell ref="AK23:AL23"/>
    <mergeCell ref="AM23:AN23"/>
    <mergeCell ref="AO23:AP23"/>
    <mergeCell ref="AQ23:AR23"/>
    <mergeCell ref="AS23:AT23"/>
    <mergeCell ref="AU23:AV23"/>
    <mergeCell ref="Y23:Z23"/>
    <mergeCell ref="AA23:AB23"/>
    <mergeCell ref="AO24:AP24"/>
    <mergeCell ref="AQ24:AR24"/>
    <mergeCell ref="AS24:AT24"/>
    <mergeCell ref="AU24:AV24"/>
    <mergeCell ref="AX24:BC24"/>
    <mergeCell ref="BD24:BF24"/>
    <mergeCell ref="AC24:AD24"/>
    <mergeCell ref="AE24:AF24"/>
    <mergeCell ref="AG24:AH24"/>
    <mergeCell ref="AI24:AJ24"/>
    <mergeCell ref="AK24:AL24"/>
    <mergeCell ref="AM24:AN24"/>
    <mergeCell ref="Q25:R25"/>
    <mergeCell ref="S25:T25"/>
    <mergeCell ref="U25:V25"/>
    <mergeCell ref="W25:X25"/>
    <mergeCell ref="A25:B25"/>
    <mergeCell ref="C25:D25"/>
    <mergeCell ref="E25:F25"/>
    <mergeCell ref="G25:H25"/>
    <mergeCell ref="I25:J25"/>
    <mergeCell ref="K25:L25"/>
    <mergeCell ref="AX25:BC25"/>
    <mergeCell ref="BD25:BF25"/>
    <mergeCell ref="A26:B26"/>
    <mergeCell ref="C26:D26"/>
    <mergeCell ref="E26:F26"/>
    <mergeCell ref="G26:H26"/>
    <mergeCell ref="I26:J26"/>
    <mergeCell ref="K26:L26"/>
    <mergeCell ref="M26:N26"/>
    <mergeCell ref="O26:P26"/>
    <mergeCell ref="AK25:AL25"/>
    <mergeCell ref="AM25:AN25"/>
    <mergeCell ref="AO25:AP25"/>
    <mergeCell ref="AQ25:AR25"/>
    <mergeCell ref="AS25:AT25"/>
    <mergeCell ref="AU25:AV25"/>
    <mergeCell ref="Y25:Z25"/>
    <mergeCell ref="AA25:AB25"/>
    <mergeCell ref="AC25:AD25"/>
    <mergeCell ref="AE25:AF25"/>
    <mergeCell ref="AG25:AH25"/>
    <mergeCell ref="AI25:AJ25"/>
    <mergeCell ref="M25:N25"/>
    <mergeCell ref="O25:P25"/>
    <mergeCell ref="AO26:AP26"/>
    <mergeCell ref="AQ26:AR26"/>
    <mergeCell ref="AS26:AT26"/>
    <mergeCell ref="AU26:AV26"/>
    <mergeCell ref="A27:B27"/>
    <mergeCell ref="C27:D27"/>
    <mergeCell ref="E27:F27"/>
    <mergeCell ref="G27:H27"/>
    <mergeCell ref="I27:J27"/>
    <mergeCell ref="K27:L27"/>
    <mergeCell ref="AC26:AD26"/>
    <mergeCell ref="AE26:AF26"/>
    <mergeCell ref="AG26:AH26"/>
    <mergeCell ref="AI26:AJ26"/>
    <mergeCell ref="AK26:AL26"/>
    <mergeCell ref="AM26:AN26"/>
    <mergeCell ref="Q26:R26"/>
    <mergeCell ref="S26:T26"/>
    <mergeCell ref="U26:V26"/>
    <mergeCell ref="W26:X26"/>
    <mergeCell ref="Y26:Z26"/>
    <mergeCell ref="AA26:AB26"/>
    <mergeCell ref="AC27:AD27"/>
    <mergeCell ref="AE27:AF27"/>
    <mergeCell ref="AG27:AH27"/>
    <mergeCell ref="AI27:AJ27"/>
    <mergeCell ref="M27:N27"/>
    <mergeCell ref="O27:P27"/>
    <mergeCell ref="Q27:R27"/>
    <mergeCell ref="S27:T27"/>
    <mergeCell ref="U27:V27"/>
    <mergeCell ref="W27:X27"/>
    <mergeCell ref="S28:T28"/>
    <mergeCell ref="U28:V28"/>
    <mergeCell ref="W28:X28"/>
    <mergeCell ref="Y28:Z28"/>
    <mergeCell ref="AA28:AB28"/>
    <mergeCell ref="AC28:AD28"/>
    <mergeCell ref="AE28:AF28"/>
    <mergeCell ref="AG28:AH28"/>
    <mergeCell ref="AI28:AJ28"/>
    <mergeCell ref="AX27:BL27"/>
    <mergeCell ref="A28:B28"/>
    <mergeCell ref="C28:D28"/>
    <mergeCell ref="E28:F28"/>
    <mergeCell ref="G28:H28"/>
    <mergeCell ref="I28:J28"/>
    <mergeCell ref="K28:L28"/>
    <mergeCell ref="M28:N28"/>
    <mergeCell ref="O28:P28"/>
    <mergeCell ref="Q28:R28"/>
    <mergeCell ref="AK27:AL27"/>
    <mergeCell ref="AM27:AN27"/>
    <mergeCell ref="AO27:AP27"/>
    <mergeCell ref="AQ27:AR27"/>
    <mergeCell ref="AS27:AT27"/>
    <mergeCell ref="AU27:AV27"/>
    <mergeCell ref="Y27:Z27"/>
    <mergeCell ref="AA27:AB27"/>
    <mergeCell ref="AQ28:AR28"/>
    <mergeCell ref="AS28:AT28"/>
    <mergeCell ref="AU28:AV28"/>
    <mergeCell ref="AX28:BB28"/>
    <mergeCell ref="BC28:BG28"/>
    <mergeCell ref="BH28:BL28"/>
    <mergeCell ref="AK28:AL28"/>
    <mergeCell ref="AM28:AN28"/>
    <mergeCell ref="AO28:AP28"/>
    <mergeCell ref="Q29:R29"/>
    <mergeCell ref="S29:T29"/>
    <mergeCell ref="U29:V29"/>
    <mergeCell ref="W29:X29"/>
    <mergeCell ref="A29:B29"/>
    <mergeCell ref="C29:D29"/>
    <mergeCell ref="E29:F29"/>
    <mergeCell ref="G29:H29"/>
    <mergeCell ref="I29:J29"/>
    <mergeCell ref="K29:L29"/>
    <mergeCell ref="AX29:BB29"/>
    <mergeCell ref="BC29:BG29"/>
    <mergeCell ref="BH29:BL29"/>
    <mergeCell ref="A30:D30"/>
    <mergeCell ref="E30:F30"/>
    <mergeCell ref="G30:H30"/>
    <mergeCell ref="I30:J30"/>
    <mergeCell ref="K30:L30"/>
    <mergeCell ref="M30:N30"/>
    <mergeCell ref="O30:P30"/>
    <mergeCell ref="AK29:AL29"/>
    <mergeCell ref="AM29:AN29"/>
    <mergeCell ref="AO29:AP29"/>
    <mergeCell ref="AQ29:AR29"/>
    <mergeCell ref="AS29:AT29"/>
    <mergeCell ref="AU29:AV29"/>
    <mergeCell ref="Y29:Z29"/>
    <mergeCell ref="AA29:AB29"/>
    <mergeCell ref="AC29:AD29"/>
    <mergeCell ref="AE29:AF29"/>
    <mergeCell ref="AG29:AH29"/>
    <mergeCell ref="AI29:AJ29"/>
    <mergeCell ref="M29:N29"/>
    <mergeCell ref="O29:P29"/>
    <mergeCell ref="AC30:AD30"/>
    <mergeCell ref="AE30:AF30"/>
    <mergeCell ref="AG30:AH30"/>
    <mergeCell ref="AI30:AJ30"/>
    <mergeCell ref="AK30:AL30"/>
    <mergeCell ref="AM30:AN30"/>
    <mergeCell ref="Q30:R30"/>
    <mergeCell ref="S30:T30"/>
    <mergeCell ref="U30:V30"/>
    <mergeCell ref="W30:X30"/>
    <mergeCell ref="Y30:Z30"/>
    <mergeCell ref="AA30:AB30"/>
    <mergeCell ref="BH30:BL30"/>
    <mergeCell ref="AX31:BB31"/>
    <mergeCell ref="BC31:BG31"/>
    <mergeCell ref="BH31:BL31"/>
    <mergeCell ref="AX32:BB32"/>
    <mergeCell ref="BC32:BG32"/>
    <mergeCell ref="BH32:BL32"/>
    <mergeCell ref="AO30:AP30"/>
    <mergeCell ref="AQ30:AR30"/>
    <mergeCell ref="AS30:AT30"/>
    <mergeCell ref="AU30:AV30"/>
    <mergeCell ref="AX30:BB30"/>
    <mergeCell ref="BC30:BG30"/>
    <mergeCell ref="BH33:BL33"/>
    <mergeCell ref="B34:AD34"/>
    <mergeCell ref="AF34:AO34"/>
    <mergeCell ref="AP34:AS34"/>
    <mergeCell ref="AT34:AV34"/>
    <mergeCell ref="B35:AD35"/>
    <mergeCell ref="AF35:AO35"/>
    <mergeCell ref="AP35:AS35"/>
    <mergeCell ref="AT35:AV35"/>
    <mergeCell ref="AX35:BY36"/>
    <mergeCell ref="B33:AD33"/>
    <mergeCell ref="AF33:AO33"/>
    <mergeCell ref="AR33:AS33"/>
    <mergeCell ref="AU33:AV33"/>
    <mergeCell ref="AX33:BB33"/>
    <mergeCell ref="BC33:BG33"/>
    <mergeCell ref="AX37:BY38"/>
    <mergeCell ref="B38:AD38"/>
    <mergeCell ref="AP38:AV38"/>
    <mergeCell ref="B39:AD39"/>
    <mergeCell ref="AF39:AO39"/>
    <mergeCell ref="AP39:AS39"/>
    <mergeCell ref="AT39:AV39"/>
    <mergeCell ref="AX39:BZ39"/>
    <mergeCell ref="B36:AD36"/>
    <mergeCell ref="AF36:AO36"/>
    <mergeCell ref="AP36:AV36"/>
    <mergeCell ref="B37:AD37"/>
    <mergeCell ref="AF37:AO37"/>
    <mergeCell ref="AP37:AS37"/>
    <mergeCell ref="AT37:AV37"/>
    <mergeCell ref="B40:AD40"/>
    <mergeCell ref="AF40:AO40"/>
    <mergeCell ref="AP40:AS40"/>
    <mergeCell ref="AT40:AV40"/>
    <mergeCell ref="B41:AD41"/>
    <mergeCell ref="A42:D42"/>
    <mergeCell ref="E42:K42"/>
    <mergeCell ref="AD42:AH42"/>
    <mergeCell ref="AI42:AV42"/>
  </mergeCells>
  <conditionalFormatting sqref="AB13:AF13 H13:J14 B13:D14 F9:P9 F7:P7 AL7:AV7 AL9:AV9 E42:K42 AI42:AV42 BE9:BF10 AR33:AS33 AU33:AV33 AP34:AS34 AP38:AV38">
    <cfRule type="containsBlanks" dxfId="253" priority="9">
      <formula>LEN(TRIM(B7))=0</formula>
    </cfRule>
  </conditionalFormatting>
  <conditionalFormatting sqref="BD17:BF19 BD23:BF25 H13:H14 N13 T13 AJ13 AR13">
    <cfRule type="containsText" dxfId="252" priority="8" operator="containsText" text="CALC.">
      <formula>NOT(ISERROR(SEARCH("CALC.",H13)))</formula>
    </cfRule>
  </conditionalFormatting>
  <conditionalFormatting sqref="AX13:BG13">
    <cfRule type="notContainsBlanks" dxfId="251" priority="7">
      <formula>LEN(TRIM(AX13))&gt;0</formula>
    </cfRule>
  </conditionalFormatting>
  <conditionalFormatting sqref="U16:W16">
    <cfRule type="containsBlanks" dxfId="250" priority="5">
      <formula>LEN(TRIM(U16))=0</formula>
    </cfRule>
  </conditionalFormatting>
  <conditionalFormatting sqref="M16">
    <cfRule type="containsBlanks" dxfId="249" priority="6">
      <formula>LEN(TRIM(M16))=0</formula>
    </cfRule>
  </conditionalFormatting>
  <conditionalFormatting sqref="U16:X16">
    <cfRule type="expression" dxfId="248" priority="4">
      <formula>$M$16="FIXED SPEED"</formula>
    </cfRule>
  </conditionalFormatting>
  <conditionalFormatting sqref="E20:AR29">
    <cfRule type="notContainsBlanks" dxfId="247" priority="2">
      <formula>LEN(TRIM(E20))&gt;0</formula>
    </cfRule>
  </conditionalFormatting>
  <conditionalFormatting sqref="E20:F29 I20:J29 M20:N29 Q20:R29 U20:V29 Y20:Z29 AC20:AD29 AG20:AH29 AK20:AL29 AO20:AP29 AS20:AT29">
    <cfRule type="expression" dxfId="246" priority="3">
      <formula>AND(($C20&lt;&gt;""),(E$18&lt;&gt;""))</formula>
    </cfRule>
  </conditionalFormatting>
  <conditionalFormatting sqref="AS20:AV29">
    <cfRule type="notContainsBlanks" dxfId="245" priority="1">
      <formula>LEN(TRIM(AS20))&gt;0</formula>
    </cfRule>
  </conditionalFormatting>
  <dataValidations count="8">
    <dataValidation type="list" allowBlank="1" showInputMessage="1" showErrorMessage="1" sqref="M16" xr:uid="{608C1D86-3EF7-4A32-9F18-FB8865544D50}">
      <formula1>"VFD SETTING, ECM SETTING, FIXED SPEED"</formula1>
    </dataValidation>
    <dataValidation type="list" allowBlank="1" showInputMessage="1" showErrorMessage="1" sqref="W16:X16" xr:uid="{C55284DF-C9DC-4CBE-8E27-D29F445A6CED}">
      <formula1>"Hz, %"</formula1>
    </dataValidation>
    <dataValidation type="whole" allowBlank="1" showInputMessage="1" showErrorMessage="1" error="This Remarks section is limited to 7." sqref="A33:A41" xr:uid="{9894B6FA-D7EA-4726-A4C1-9471201E8F7D}">
      <formula1>1</formula1>
      <formula2>7</formula2>
    </dataValidation>
    <dataValidation type="decimal" operator="lessThanOrEqual" allowBlank="1" showInputMessage="1" showErrorMessage="1" errorTitle="Size Limit" error="Duct size exceeds sheet limit of 66&quot;. Contact Robert!" sqref="B13:D13" xr:uid="{140B99F8-D08B-4E6D-B955-FCEBFE41EB4C}">
      <formula1>66</formula1>
    </dataValidation>
    <dataValidation allowBlank="1" showInputMessage="1" sqref="AL15:AV15" xr:uid="{D1D7B9FB-492D-4C23-A09E-99DBFA3018E4}"/>
    <dataValidation type="list" allowBlank="1" showInputMessage="1" sqref="AP38:AV38" xr:uid="{5FB69297-1C70-43E6-8729-A229359E70EF}">
      <formula1>"N/A"</formula1>
    </dataValidation>
    <dataValidation type="decimal" operator="lessThanOrEqual" allowBlank="1" showInputMessage="1" showErrorMessage="1" error="Duct height exceeds the number of height position points (10) available on this sheet." sqref="H13:J13" xr:uid="{0CE655B5-57A4-493C-838F-84A87118C08F}">
      <formula1>120</formula1>
    </dataValidation>
    <dataValidation type="decimal" operator="lessThanOrEqual" allowBlank="1" showInputMessage="1" showErrorMessage="1" errorTitle="Size Limit" error="Duct size exceeds sheet limit of 60&quot;. Contact Robert!" sqref="B14:D14" xr:uid="{6D892DB4-888E-4149-BFDA-B9A7447A63DE}">
      <formula1>60</formula1>
    </dataValidation>
  </dataValidations>
  <printOptions horizontalCentered="1"/>
  <pageMargins left="0.5" right="0.5" top="0.75" bottom="0.25" header="0" footer="0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F0469-83C2-4B6A-BB92-54DE566B037E}">
  <sheetPr codeName="Sheet42">
    <pageSetUpPr fitToPage="1"/>
  </sheetPr>
  <dimension ref="A1:DG55"/>
  <sheetViews>
    <sheetView zoomScaleNormal="100" workbookViewId="0">
      <selection sqref="A1:C1"/>
    </sheetView>
  </sheetViews>
  <sheetFormatPr defaultColWidth="0" defaultRowHeight="14.45" customHeight="1" zeroHeight="1" x14ac:dyDescent="0.25"/>
  <cols>
    <col min="1" max="48" width="2.7109375" style="12" customWidth="1"/>
    <col min="49" max="90" width="2.7109375" customWidth="1"/>
    <col min="91" max="111" width="2.7109375" hidden="1" customWidth="1"/>
    <col min="112" max="16384" width="9.140625" hidden="1"/>
  </cols>
  <sheetData>
    <row r="1" spans="1:90" ht="12" customHeight="1" x14ac:dyDescent="0.25">
      <c r="A1" s="106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837" t="s">
        <v>159</v>
      </c>
      <c r="AX1" s="837"/>
      <c r="AY1" s="837"/>
      <c r="AZ1" s="837"/>
      <c r="BA1" s="837"/>
      <c r="BB1" s="837"/>
      <c r="BC1" s="837"/>
      <c r="BD1" s="837"/>
      <c r="BE1" s="837"/>
      <c r="BF1" s="837"/>
      <c r="BG1" s="837"/>
      <c r="BH1" s="837"/>
      <c r="BI1" s="837"/>
      <c r="BJ1" s="837"/>
      <c r="BK1" s="837"/>
      <c r="BL1" s="837"/>
      <c r="BM1" s="837"/>
      <c r="BN1" s="837"/>
      <c r="BO1" s="837"/>
      <c r="BP1" s="837"/>
      <c r="BQ1" s="837"/>
      <c r="BR1" s="837"/>
      <c r="BS1" s="837"/>
      <c r="BT1" s="837"/>
      <c r="BU1" s="837"/>
      <c r="BV1" s="837"/>
      <c r="BW1" s="837"/>
      <c r="BX1" s="837"/>
      <c r="BY1" s="837"/>
      <c r="BZ1" s="837"/>
      <c r="CA1" s="837"/>
      <c r="CB1" s="837"/>
      <c r="CC1" s="837"/>
      <c r="CD1" s="837"/>
      <c r="CE1" s="837"/>
      <c r="CF1" s="837"/>
      <c r="CG1" s="837"/>
      <c r="CH1" s="837"/>
      <c r="CI1" s="837"/>
      <c r="CJ1" s="837"/>
      <c r="CK1" s="837"/>
      <c r="CL1" s="837"/>
    </row>
    <row r="2" spans="1:90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</row>
    <row r="3" spans="1:90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</row>
    <row r="4" spans="1:90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</row>
    <row r="5" spans="1:90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847"/>
      <c r="AA5" s="847"/>
      <c r="AB5" s="847"/>
      <c r="AC5" s="847"/>
      <c r="AD5" s="847"/>
      <c r="AE5" s="847"/>
      <c r="AF5" s="847"/>
      <c r="AG5" s="847"/>
      <c r="AH5" s="847"/>
      <c r="AI5" s="847"/>
      <c r="AJ5" s="847"/>
      <c r="AK5" s="847"/>
      <c r="AL5" s="847"/>
      <c r="AM5" s="847"/>
      <c r="AN5" s="847"/>
      <c r="AO5" s="847"/>
      <c r="AP5" s="847"/>
      <c r="AQ5" s="847"/>
      <c r="AR5" s="847"/>
      <c r="AS5" s="847"/>
      <c r="AT5" s="847"/>
      <c r="AU5" s="847"/>
      <c r="AV5" s="847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</row>
    <row r="6" spans="1:90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</row>
    <row r="7" spans="1:90" ht="12" customHeight="1" thickBot="1" x14ac:dyDescent="0.3">
      <c r="A7" s="526" t="s">
        <v>161</v>
      </c>
      <c r="B7" s="526"/>
      <c r="C7" s="526"/>
      <c r="D7" s="526"/>
      <c r="E7" s="526"/>
      <c r="F7" s="527"/>
      <c r="G7" s="527"/>
      <c r="H7" s="527"/>
      <c r="I7" s="527"/>
      <c r="J7" s="527"/>
      <c r="K7" s="527"/>
      <c r="L7" s="527"/>
      <c r="M7" s="527"/>
      <c r="N7" s="527"/>
      <c r="O7" s="527"/>
      <c r="P7" s="527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26" t="s">
        <v>162</v>
      </c>
      <c r="AH7" s="526"/>
      <c r="AI7" s="526"/>
      <c r="AJ7" s="526"/>
      <c r="AK7" s="526"/>
      <c r="AL7" s="527"/>
      <c r="AM7" s="527"/>
      <c r="AN7" s="527"/>
      <c r="AO7" s="527"/>
      <c r="AP7" s="527"/>
      <c r="AQ7" s="527"/>
      <c r="AR7" s="527"/>
      <c r="AS7" s="527"/>
      <c r="AT7" s="527"/>
      <c r="AU7" s="527"/>
      <c r="AV7" s="527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</row>
    <row r="8" spans="1:90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4"/>
      <c r="AX8" s="108"/>
      <c r="AY8" s="678" t="s">
        <v>297</v>
      </c>
      <c r="AZ8" s="679"/>
      <c r="BA8" s="679"/>
      <c r="BB8" s="679"/>
      <c r="BC8" s="679"/>
      <c r="BD8" s="679"/>
      <c r="BE8" s="679"/>
      <c r="BF8" s="680"/>
      <c r="BG8" s="109"/>
      <c r="BH8" s="44"/>
      <c r="BI8" s="125" t="s">
        <v>333</v>
      </c>
      <c r="BJ8" s="126"/>
      <c r="BK8" s="126"/>
      <c r="BL8" s="126"/>
      <c r="BM8" s="126"/>
      <c r="BN8" s="126"/>
      <c r="BO8" s="126"/>
      <c r="BP8" s="126"/>
      <c r="BQ8" s="126"/>
      <c r="BR8" s="126"/>
      <c r="BS8" s="126"/>
      <c r="BT8" s="126"/>
      <c r="BU8" s="126"/>
      <c r="BV8" s="126"/>
      <c r="BW8" s="126"/>
      <c r="BX8" s="126"/>
      <c r="BY8" s="126"/>
      <c r="BZ8" s="126"/>
      <c r="CA8" s="126"/>
      <c r="CB8" s="126"/>
      <c r="CC8" s="126"/>
      <c r="CD8" s="126"/>
      <c r="CE8" s="126"/>
      <c r="CF8" s="126"/>
      <c r="CG8" s="126"/>
      <c r="CH8" s="119"/>
      <c r="CI8" s="44"/>
      <c r="CJ8" s="44"/>
      <c r="CK8" s="44"/>
      <c r="CL8" s="44"/>
    </row>
    <row r="9" spans="1:90" ht="12" customHeight="1" thickTop="1" x14ac:dyDescent="0.25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526" t="s">
        <v>164</v>
      </c>
      <c r="AH9" s="526"/>
      <c r="AI9" s="526"/>
      <c r="AJ9" s="526"/>
      <c r="AK9" s="526"/>
      <c r="AL9" s="527"/>
      <c r="AM9" s="527"/>
      <c r="AN9" s="527"/>
      <c r="AO9" s="527"/>
      <c r="AP9" s="527"/>
      <c r="AQ9" s="527"/>
      <c r="AR9" s="527"/>
      <c r="AS9" s="527"/>
      <c r="AT9" s="527"/>
      <c r="AU9" s="527"/>
      <c r="AV9" s="527"/>
      <c r="AW9" s="44"/>
      <c r="AX9" s="110"/>
      <c r="AY9" s="684" t="s">
        <v>298</v>
      </c>
      <c r="AZ9" s="684"/>
      <c r="BA9" s="684"/>
      <c r="BB9" s="684"/>
      <c r="BC9" s="684"/>
      <c r="BD9" s="684"/>
      <c r="BE9" s="685"/>
      <c r="BF9" s="686"/>
      <c r="BG9" s="111"/>
      <c r="BH9" s="44"/>
      <c r="BI9" s="833" t="s">
        <v>326</v>
      </c>
      <c r="BJ9" s="834"/>
      <c r="BK9" s="834"/>
      <c r="BL9" s="834"/>
      <c r="BM9" s="490">
        <v>1</v>
      </c>
      <c r="BN9" s="490"/>
      <c r="BO9" s="490">
        <v>2</v>
      </c>
      <c r="BP9" s="490"/>
      <c r="BQ9" s="490">
        <v>3</v>
      </c>
      <c r="BR9" s="490"/>
      <c r="BS9" s="490">
        <v>4</v>
      </c>
      <c r="BT9" s="490"/>
      <c r="BU9" s="490">
        <v>5</v>
      </c>
      <c r="BV9" s="490"/>
      <c r="BW9" s="490">
        <v>6</v>
      </c>
      <c r="BX9" s="490"/>
      <c r="BY9" s="490">
        <v>7</v>
      </c>
      <c r="BZ9" s="490"/>
      <c r="CA9" s="490">
        <v>8</v>
      </c>
      <c r="CB9" s="490"/>
      <c r="CC9" s="490">
        <v>9</v>
      </c>
      <c r="CD9" s="490"/>
      <c r="CE9" s="490">
        <v>10</v>
      </c>
      <c r="CF9" s="838"/>
      <c r="CG9" s="839">
        <v>11</v>
      </c>
      <c r="CH9" s="838"/>
      <c r="CI9" s="44"/>
      <c r="CJ9" s="44"/>
      <c r="CK9" s="44"/>
      <c r="CL9" s="44"/>
    </row>
    <row r="10" spans="1:90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4"/>
      <c r="AX10" s="110"/>
      <c r="AY10" s="669" t="s">
        <v>300</v>
      </c>
      <c r="AZ10" s="669"/>
      <c r="BA10" s="669"/>
      <c r="BB10" s="669"/>
      <c r="BC10" s="669"/>
      <c r="BD10" s="669"/>
      <c r="BE10" s="670"/>
      <c r="BF10" s="671"/>
      <c r="BG10" s="112"/>
      <c r="BH10" s="44"/>
      <c r="BI10" s="833" t="s">
        <v>306</v>
      </c>
      <c r="BJ10" s="834"/>
      <c r="BK10" s="834" t="s">
        <v>327</v>
      </c>
      <c r="BL10" s="834"/>
      <c r="BM10" s="693" t="str">
        <f>E18</f>
        <v/>
      </c>
      <c r="BN10" s="693"/>
      <c r="BO10" s="693" t="str">
        <f>I18</f>
        <v/>
      </c>
      <c r="BP10" s="693"/>
      <c r="BQ10" s="693" t="str">
        <f>M18</f>
        <v/>
      </c>
      <c r="BR10" s="693"/>
      <c r="BS10" s="693" t="str">
        <f>Q18</f>
        <v/>
      </c>
      <c r="BT10" s="693"/>
      <c r="BU10" s="693" t="str">
        <f>U18</f>
        <v/>
      </c>
      <c r="BV10" s="693"/>
      <c r="BW10" s="693" t="str">
        <f>Y18</f>
        <v/>
      </c>
      <c r="BX10" s="693"/>
      <c r="BY10" s="693" t="str">
        <f>AC18</f>
        <v/>
      </c>
      <c r="BZ10" s="693"/>
      <c r="CA10" s="693" t="str">
        <f>AG18</f>
        <v/>
      </c>
      <c r="CB10" s="693"/>
      <c r="CC10" s="693" t="str">
        <f>AK18</f>
        <v/>
      </c>
      <c r="CD10" s="693"/>
      <c r="CE10" s="693" t="str">
        <f>AO18</f>
        <v/>
      </c>
      <c r="CF10" s="693"/>
      <c r="CG10" s="693" t="str">
        <f>AS18</f>
        <v/>
      </c>
      <c r="CH10" s="694"/>
      <c r="CI10" s="44"/>
      <c r="CJ10" s="44"/>
      <c r="CK10" s="44"/>
      <c r="CL10" s="44"/>
    </row>
    <row r="11" spans="1:90" ht="12" customHeight="1" thickBot="1" x14ac:dyDescent="0.3">
      <c r="A11" s="314" t="s">
        <v>311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5"/>
      <c r="AJ11" s="315"/>
      <c r="AK11" s="315"/>
      <c r="AL11" s="315"/>
      <c r="AM11" s="315"/>
      <c r="AN11" s="315"/>
      <c r="AO11" s="315"/>
      <c r="AP11" s="315"/>
      <c r="AQ11" s="315"/>
      <c r="AR11" s="315"/>
      <c r="AS11" s="315"/>
      <c r="AT11" s="315"/>
      <c r="AU11" s="315"/>
      <c r="AV11" s="316"/>
      <c r="AW11" s="44"/>
      <c r="AX11" s="113"/>
      <c r="AY11" s="114"/>
      <c r="AZ11" s="114"/>
      <c r="BA11" s="114"/>
      <c r="BB11" s="114"/>
      <c r="BC11" s="114"/>
      <c r="BD11" s="114"/>
      <c r="BE11" s="114"/>
      <c r="BF11" s="114"/>
      <c r="BG11" s="115"/>
      <c r="BH11" s="44"/>
      <c r="BI11" s="687">
        <v>1</v>
      </c>
      <c r="BJ11" s="490"/>
      <c r="BK11" s="688" t="str">
        <f t="shared" ref="BK11:BK20" si="0">C20</f>
        <v/>
      </c>
      <c r="BL11" s="689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</row>
    <row r="12" spans="1:90" ht="12.75" customHeight="1" thickTop="1" thickBot="1" x14ac:dyDescent="0.3">
      <c r="A12" s="835" t="s">
        <v>344</v>
      </c>
      <c r="B12" s="836"/>
      <c r="C12" s="836"/>
      <c r="D12" s="836"/>
      <c r="E12" s="836"/>
      <c r="F12" s="836"/>
      <c r="G12" s="836"/>
      <c r="H12" s="836"/>
      <c r="I12" s="836"/>
      <c r="J12" s="836"/>
      <c r="K12" s="836"/>
      <c r="L12" s="836"/>
      <c r="M12" s="836"/>
      <c r="N12" s="836"/>
      <c r="O12" s="836"/>
      <c r="P12" s="836"/>
      <c r="Q12" s="753" t="s">
        <v>313</v>
      </c>
      <c r="R12" s="753"/>
      <c r="S12" s="753"/>
      <c r="T12" s="753"/>
      <c r="U12" s="753"/>
      <c r="V12" s="753"/>
      <c r="W12" s="753"/>
      <c r="X12" s="753"/>
      <c r="Y12" s="753"/>
      <c r="Z12" s="753"/>
      <c r="AA12" s="753"/>
      <c r="AB12" s="753"/>
      <c r="AC12" s="753"/>
      <c r="AD12" s="753"/>
      <c r="AE12" s="753"/>
      <c r="AF12" s="753"/>
      <c r="AG12" s="753" t="s">
        <v>314</v>
      </c>
      <c r="AH12" s="753"/>
      <c r="AI12" s="753"/>
      <c r="AJ12" s="753"/>
      <c r="AK12" s="753"/>
      <c r="AL12" s="753"/>
      <c r="AM12" s="753"/>
      <c r="AN12" s="753"/>
      <c r="AO12" s="753"/>
      <c r="AP12" s="753"/>
      <c r="AQ12" s="753"/>
      <c r="AR12" s="753"/>
      <c r="AS12" s="753"/>
      <c r="AT12" s="753"/>
      <c r="AU12" s="753"/>
      <c r="AV12" s="779"/>
      <c r="AW12" s="44"/>
      <c r="AX12" s="780" t="s">
        <v>309</v>
      </c>
      <c r="AY12" s="781"/>
      <c r="AZ12" s="781"/>
      <c r="BA12" s="781"/>
      <c r="BB12" s="781"/>
      <c r="BC12" s="781"/>
      <c r="BD12" s="781"/>
      <c r="BE12" s="781"/>
      <c r="BF12" s="781"/>
      <c r="BG12" s="782"/>
      <c r="BH12" s="44"/>
      <c r="BI12" s="687">
        <v>2</v>
      </c>
      <c r="BJ12" s="490"/>
      <c r="BK12" s="688" t="str">
        <f t="shared" si="0"/>
        <v/>
      </c>
      <c r="BL12" s="689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</row>
    <row r="13" spans="1:90" ht="12" customHeight="1" thickTop="1" thickBot="1" x14ac:dyDescent="0.3">
      <c r="A13" s="127" t="s">
        <v>316</v>
      </c>
      <c r="B13" s="558"/>
      <c r="C13" s="558"/>
      <c r="D13" s="558"/>
      <c r="E13" s="832" t="s">
        <v>345</v>
      </c>
      <c r="F13" s="832"/>
      <c r="G13" s="832"/>
      <c r="H13" s="703" t="str">
        <f>BD18</f>
        <v/>
      </c>
      <c r="I13" s="703"/>
      <c r="J13" s="703"/>
      <c r="K13" s="427" t="s">
        <v>318</v>
      </c>
      <c r="L13" s="427"/>
      <c r="M13" s="427"/>
      <c r="N13" s="777" t="str">
        <f>IF(AND(B13&lt;&gt;0,B14&lt;&gt;0),ROUND(B13*B14/144,2),"")</f>
        <v/>
      </c>
      <c r="O13" s="777"/>
      <c r="P13" s="778"/>
      <c r="Q13" s="427" t="s">
        <v>319</v>
      </c>
      <c r="R13" s="427"/>
      <c r="S13" s="427"/>
      <c r="T13" s="771" t="str">
        <f>IFERROR((AB13/N13),"")</f>
        <v/>
      </c>
      <c r="U13" s="771"/>
      <c r="V13" s="771"/>
      <c r="W13" s="771"/>
      <c r="X13" s="772"/>
      <c r="Y13" s="773" t="s">
        <v>56</v>
      </c>
      <c r="Z13" s="427"/>
      <c r="AA13" s="427"/>
      <c r="AB13" s="774">
        <v>100000</v>
      </c>
      <c r="AC13" s="774"/>
      <c r="AD13" s="774"/>
      <c r="AE13" s="774"/>
      <c r="AF13" s="775"/>
      <c r="AG13" s="773" t="s">
        <v>319</v>
      </c>
      <c r="AH13" s="427"/>
      <c r="AI13" s="427"/>
      <c r="AJ13" s="771" t="str">
        <f>AP37</f>
        <v/>
      </c>
      <c r="AK13" s="771"/>
      <c r="AL13" s="771"/>
      <c r="AM13" s="771"/>
      <c r="AN13" s="772"/>
      <c r="AO13" s="773" t="s">
        <v>56</v>
      </c>
      <c r="AP13" s="427"/>
      <c r="AQ13" s="427"/>
      <c r="AR13" s="771" t="str">
        <f>AP40</f>
        <v/>
      </c>
      <c r="AS13" s="771"/>
      <c r="AT13" s="771"/>
      <c r="AU13" s="771"/>
      <c r="AV13" s="783"/>
      <c r="AW13" s="44"/>
      <c r="AX13" s="828" t="str">
        <f>IF(AR13="CALC.","",IF(AR13="","",IF(AR13&lt;AB13-(AB13*$BE$10),"Below "&amp;$BE$10*100&amp;"% by "&amp;ROUND(AB13-(AB13*$BE$10)-AR13,0)&amp;" CFM",IF(AR13&gt;AB13+(AB13*$BE$9),"Above "&amp;$BE$9*100&amp;"% by "&amp;ROUND(AR13-AB13-(AB13*$BE$9),0)&amp;" CFM",""))))</f>
        <v/>
      </c>
      <c r="AY13" s="829"/>
      <c r="AZ13" s="829"/>
      <c r="BA13" s="829"/>
      <c r="BB13" s="829"/>
      <c r="BC13" s="829"/>
      <c r="BD13" s="829"/>
      <c r="BE13" s="829"/>
      <c r="BF13" s="829"/>
      <c r="BG13" s="830"/>
      <c r="BH13" s="44"/>
      <c r="BI13" s="687">
        <v>3</v>
      </c>
      <c r="BJ13" s="490"/>
      <c r="BK13" s="688" t="str">
        <f t="shared" si="0"/>
        <v/>
      </c>
      <c r="BL13" s="689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</row>
    <row r="14" spans="1:90" ht="12" customHeight="1" thickBot="1" x14ac:dyDescent="0.3">
      <c r="A14" s="128" t="s">
        <v>317</v>
      </c>
      <c r="B14" s="560"/>
      <c r="C14" s="560"/>
      <c r="D14" s="560"/>
      <c r="E14" s="831" t="s">
        <v>345</v>
      </c>
      <c r="F14" s="831"/>
      <c r="G14" s="831"/>
      <c r="H14" s="771" t="str">
        <f>BD24</f>
        <v/>
      </c>
      <c r="I14" s="771"/>
      <c r="J14" s="783"/>
      <c r="K14" s="129"/>
      <c r="L14" s="130"/>
      <c r="M14" s="130"/>
      <c r="N14" s="130"/>
      <c r="O14" s="130"/>
      <c r="P14" s="130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687">
        <v>4</v>
      </c>
      <c r="BJ14" s="490"/>
      <c r="BK14" s="688" t="str">
        <f t="shared" si="0"/>
        <v/>
      </c>
      <c r="BL14" s="689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</row>
    <row r="15" spans="1:90" s="120" customFormat="1" ht="12" customHeight="1" thickBot="1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338" t="s">
        <v>320</v>
      </c>
      <c r="N15" s="339"/>
      <c r="O15" s="339"/>
      <c r="P15" s="339"/>
      <c r="Q15" s="339"/>
      <c r="R15" s="339"/>
      <c r="S15" s="339"/>
      <c r="T15" s="339"/>
      <c r="U15" s="339"/>
      <c r="V15" s="339"/>
      <c r="W15" s="339"/>
      <c r="X15" s="340"/>
      <c r="Y15" s="42"/>
      <c r="Z15" s="378" t="s">
        <v>346</v>
      </c>
      <c r="AA15" s="379"/>
      <c r="AB15" s="379"/>
      <c r="AC15" s="379"/>
      <c r="AD15" s="379"/>
      <c r="AE15" s="379"/>
      <c r="AF15" s="379"/>
      <c r="AG15" s="379"/>
      <c r="AH15" s="379"/>
      <c r="AI15" s="379"/>
      <c r="AJ15" s="379"/>
      <c r="AK15" s="379"/>
      <c r="AL15" s="826" t="s">
        <v>357</v>
      </c>
      <c r="AM15" s="826"/>
      <c r="AN15" s="826"/>
      <c r="AO15" s="826"/>
      <c r="AP15" s="826"/>
      <c r="AQ15" s="826"/>
      <c r="AR15" s="826"/>
      <c r="AS15" s="826"/>
      <c r="AT15" s="826"/>
      <c r="AU15" s="826"/>
      <c r="AV15" s="827"/>
      <c r="AW15" s="44"/>
      <c r="AX15" s="341" t="s">
        <v>325</v>
      </c>
      <c r="AY15" s="741"/>
      <c r="AZ15" s="741"/>
      <c r="BA15" s="741"/>
      <c r="BB15" s="741"/>
      <c r="BC15" s="741"/>
      <c r="BD15" s="741"/>
      <c r="BE15" s="741"/>
      <c r="BF15" s="742"/>
      <c r="BG15" s="44"/>
      <c r="BH15" s="44"/>
      <c r="BI15" s="687">
        <v>5</v>
      </c>
      <c r="BJ15" s="490"/>
      <c r="BK15" s="688" t="str">
        <f t="shared" si="0"/>
        <v/>
      </c>
      <c r="BL15" s="689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</row>
    <row r="16" spans="1:90" ht="12.75" customHeight="1" thickTop="1" thickBot="1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765"/>
      <c r="N16" s="766"/>
      <c r="O16" s="766"/>
      <c r="P16" s="766"/>
      <c r="Q16" s="766"/>
      <c r="R16" s="766"/>
      <c r="S16" s="766"/>
      <c r="T16" s="766"/>
      <c r="U16" s="356"/>
      <c r="V16" s="357"/>
      <c r="W16" s="322"/>
      <c r="X16" s="323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4"/>
      <c r="AX16" s="743"/>
      <c r="AY16" s="744"/>
      <c r="AZ16" s="744"/>
      <c r="BA16" s="744"/>
      <c r="BB16" s="744"/>
      <c r="BC16" s="744"/>
      <c r="BD16" s="744"/>
      <c r="BE16" s="744"/>
      <c r="BF16" s="745"/>
      <c r="BG16" s="44"/>
      <c r="BH16" s="44"/>
      <c r="BI16" s="687">
        <v>6</v>
      </c>
      <c r="BJ16" s="490"/>
      <c r="BK16" s="688" t="str">
        <f t="shared" si="0"/>
        <v/>
      </c>
      <c r="BL16" s="689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</row>
    <row r="17" spans="1:90" ht="12" customHeight="1" thickTop="1" thickBot="1" x14ac:dyDescent="0.3">
      <c r="A17" s="140" t="s">
        <v>324</v>
      </c>
      <c r="B17" s="132"/>
      <c r="C17" s="132"/>
      <c r="D17" s="132"/>
      <c r="E17" s="132"/>
      <c r="F17" s="132"/>
      <c r="G17" s="132"/>
      <c r="H17" s="132"/>
      <c r="I17" s="132"/>
      <c r="J17" s="133"/>
      <c r="K17" s="134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44"/>
      <c r="AX17" s="749" t="s">
        <v>328</v>
      </c>
      <c r="AY17" s="750"/>
      <c r="AZ17" s="750"/>
      <c r="BA17" s="750"/>
      <c r="BB17" s="750"/>
      <c r="BC17" s="751"/>
      <c r="BD17" s="739" t="str">
        <f>IF(B13&lt;&gt;0,B13,"")</f>
        <v/>
      </c>
      <c r="BE17" s="739"/>
      <c r="BF17" s="740"/>
      <c r="BG17" s="44"/>
      <c r="BH17" s="44"/>
      <c r="BI17" s="687">
        <v>7</v>
      </c>
      <c r="BJ17" s="490"/>
      <c r="BK17" s="688" t="str">
        <f t="shared" si="0"/>
        <v/>
      </c>
      <c r="BL17" s="689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</row>
    <row r="18" spans="1:90" ht="12" customHeight="1" x14ac:dyDescent="0.25">
      <c r="A18" s="819" t="s">
        <v>326</v>
      </c>
      <c r="B18" s="820"/>
      <c r="C18" s="820"/>
      <c r="D18" s="821"/>
      <c r="E18" s="800" t="str">
        <f>IFERROR(B13/H13/2,"")</f>
        <v/>
      </c>
      <c r="F18" s="822"/>
      <c r="G18" s="822"/>
      <c r="H18" s="801"/>
      <c r="I18" s="816" t="str">
        <f>IFERROR(IF(BO9&lt;=$BD$18,E18+$BD$19,""),"")</f>
        <v/>
      </c>
      <c r="J18" s="817"/>
      <c r="K18" s="817"/>
      <c r="L18" s="818"/>
      <c r="M18" s="816" t="str">
        <f>IFERROR(IF(BQ9&lt;=$BD$18,I18+$BD$19,""),"")</f>
        <v/>
      </c>
      <c r="N18" s="817"/>
      <c r="O18" s="817"/>
      <c r="P18" s="818"/>
      <c r="Q18" s="816" t="str">
        <f>IFERROR(IF(BS9&lt;=$BD$18,M18+$BD$19,""),"")</f>
        <v/>
      </c>
      <c r="R18" s="817"/>
      <c r="S18" s="817"/>
      <c r="T18" s="818"/>
      <c r="U18" s="816" t="str">
        <f>IFERROR(IF(BU9&lt;=$BD$18,Q18+$BD$19,""),"")</f>
        <v/>
      </c>
      <c r="V18" s="817"/>
      <c r="W18" s="817"/>
      <c r="X18" s="818"/>
      <c r="Y18" s="816" t="str">
        <f>IFERROR(IF(BW9&lt;=$BD$18,U18+$BD$19,""),"")</f>
        <v/>
      </c>
      <c r="Z18" s="817"/>
      <c r="AA18" s="817"/>
      <c r="AB18" s="818"/>
      <c r="AC18" s="816" t="str">
        <f>IFERROR(IF(BY9&lt;=$BD$18,Y18+$BD$19,""),"")</f>
        <v/>
      </c>
      <c r="AD18" s="817"/>
      <c r="AE18" s="817"/>
      <c r="AF18" s="818"/>
      <c r="AG18" s="816" t="str">
        <f>IFERROR(IF(CA9&lt;=$BD$18,AC18+$BD$19,""),"")</f>
        <v/>
      </c>
      <c r="AH18" s="817"/>
      <c r="AI18" s="817"/>
      <c r="AJ18" s="818"/>
      <c r="AK18" s="816" t="str">
        <f>IFERROR(IF(CC9&lt;=$BD$18,AG18+$BD$19,""),"")</f>
        <v/>
      </c>
      <c r="AL18" s="817"/>
      <c r="AM18" s="817"/>
      <c r="AN18" s="818"/>
      <c r="AO18" s="816" t="str">
        <f>IFERROR(IF(CE9&lt;=$BD$18,AK18+$BD$19,""),"")</f>
        <v/>
      </c>
      <c r="AP18" s="817"/>
      <c r="AQ18" s="817"/>
      <c r="AR18" s="818"/>
      <c r="AS18" s="816" t="str">
        <f>IFERROR(IF(CG9&lt;=$BD$18,AO18+$BD$19,""),"")</f>
        <v/>
      </c>
      <c r="AT18" s="817"/>
      <c r="AU18" s="817"/>
      <c r="AV18" s="818"/>
      <c r="AW18" s="44"/>
      <c r="AX18" s="542" t="s">
        <v>329</v>
      </c>
      <c r="AY18" s="543"/>
      <c r="AZ18" s="543"/>
      <c r="BA18" s="543"/>
      <c r="BB18" s="543"/>
      <c r="BC18" s="544"/>
      <c r="BD18" s="458" t="str">
        <f>IFERROR(IF(BD17&lt;=20,4,ROUNDUP(BD17/6,0)),"")</f>
        <v/>
      </c>
      <c r="BE18" s="458"/>
      <c r="BF18" s="459"/>
      <c r="BG18" s="44"/>
      <c r="BH18" s="44"/>
      <c r="BI18" s="687">
        <v>8</v>
      </c>
      <c r="BJ18" s="490"/>
      <c r="BK18" s="688" t="str">
        <f t="shared" si="0"/>
        <v/>
      </c>
      <c r="BL18" s="689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</row>
    <row r="19" spans="1:90" ht="12" customHeight="1" thickBot="1" x14ac:dyDescent="0.3">
      <c r="A19" s="813" t="s">
        <v>306</v>
      </c>
      <c r="B19" s="814"/>
      <c r="C19" s="815" t="s">
        <v>327</v>
      </c>
      <c r="D19" s="814"/>
      <c r="E19" s="846" t="s">
        <v>235</v>
      </c>
      <c r="F19" s="812"/>
      <c r="G19" s="845" t="s">
        <v>349</v>
      </c>
      <c r="H19" s="812"/>
      <c r="I19" s="846" t="s">
        <v>235</v>
      </c>
      <c r="J19" s="812"/>
      <c r="K19" s="845" t="s">
        <v>349</v>
      </c>
      <c r="L19" s="812"/>
      <c r="M19" s="846" t="s">
        <v>235</v>
      </c>
      <c r="N19" s="812"/>
      <c r="O19" s="845" t="s">
        <v>349</v>
      </c>
      <c r="P19" s="812"/>
      <c r="Q19" s="846" t="s">
        <v>235</v>
      </c>
      <c r="R19" s="812"/>
      <c r="S19" s="845" t="s">
        <v>349</v>
      </c>
      <c r="T19" s="812"/>
      <c r="U19" s="846" t="s">
        <v>235</v>
      </c>
      <c r="V19" s="812"/>
      <c r="W19" s="845" t="s">
        <v>349</v>
      </c>
      <c r="X19" s="812"/>
      <c r="Y19" s="846" t="s">
        <v>235</v>
      </c>
      <c r="Z19" s="812"/>
      <c r="AA19" s="845" t="s">
        <v>349</v>
      </c>
      <c r="AB19" s="812"/>
      <c r="AC19" s="846" t="s">
        <v>235</v>
      </c>
      <c r="AD19" s="812"/>
      <c r="AE19" s="845" t="s">
        <v>349</v>
      </c>
      <c r="AF19" s="812"/>
      <c r="AG19" s="846" t="s">
        <v>235</v>
      </c>
      <c r="AH19" s="812"/>
      <c r="AI19" s="845" t="s">
        <v>349</v>
      </c>
      <c r="AJ19" s="812"/>
      <c r="AK19" s="846" t="s">
        <v>235</v>
      </c>
      <c r="AL19" s="812"/>
      <c r="AM19" s="845" t="s">
        <v>349</v>
      </c>
      <c r="AN19" s="812"/>
      <c r="AO19" s="846" t="s">
        <v>235</v>
      </c>
      <c r="AP19" s="812"/>
      <c r="AQ19" s="845" t="s">
        <v>349</v>
      </c>
      <c r="AR19" s="812"/>
      <c r="AS19" s="846" t="s">
        <v>235</v>
      </c>
      <c r="AT19" s="812"/>
      <c r="AU19" s="804" t="s">
        <v>349</v>
      </c>
      <c r="AV19" s="805"/>
      <c r="AW19" s="44"/>
      <c r="AX19" s="552" t="s">
        <v>330</v>
      </c>
      <c r="AY19" s="283"/>
      <c r="AZ19" s="283"/>
      <c r="BA19" s="283"/>
      <c r="BB19" s="283"/>
      <c r="BC19" s="735"/>
      <c r="BD19" s="733" t="str">
        <f>IFERROR(IF(BD18&lt;=20,((BD17-(BD17/BD18))/(BD18-1)),(BD17-6)/(BD18-1)),"")</f>
        <v/>
      </c>
      <c r="BE19" s="733"/>
      <c r="BF19" s="734"/>
      <c r="BG19" s="44"/>
      <c r="BH19" s="44"/>
      <c r="BI19" s="687">
        <v>9</v>
      </c>
      <c r="BJ19" s="490"/>
      <c r="BK19" s="688" t="str">
        <f t="shared" si="0"/>
        <v/>
      </c>
      <c r="BL19" s="689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</row>
    <row r="20" spans="1:90" ht="12" customHeight="1" thickTop="1" thickBot="1" x14ac:dyDescent="0.3">
      <c r="A20" s="806">
        <v>1</v>
      </c>
      <c r="B20" s="807"/>
      <c r="C20" s="808" t="str">
        <f>IFERROR(B14/H14/2,"")</f>
        <v/>
      </c>
      <c r="D20" s="809"/>
      <c r="E20" s="843"/>
      <c r="F20" s="844"/>
      <c r="G20" s="795"/>
      <c r="H20" s="795"/>
      <c r="I20" s="840"/>
      <c r="J20" s="840"/>
      <c r="K20" s="795"/>
      <c r="L20" s="795"/>
      <c r="M20" s="840"/>
      <c r="N20" s="840"/>
      <c r="O20" s="795"/>
      <c r="P20" s="795"/>
      <c r="Q20" s="840"/>
      <c r="R20" s="840"/>
      <c r="S20" s="795"/>
      <c r="T20" s="795"/>
      <c r="U20" s="840"/>
      <c r="V20" s="840"/>
      <c r="W20" s="795"/>
      <c r="X20" s="795"/>
      <c r="Y20" s="840"/>
      <c r="Z20" s="840"/>
      <c r="AA20" s="795"/>
      <c r="AB20" s="795"/>
      <c r="AC20" s="840"/>
      <c r="AD20" s="840"/>
      <c r="AE20" s="795"/>
      <c r="AF20" s="795"/>
      <c r="AG20" s="840"/>
      <c r="AH20" s="840"/>
      <c r="AI20" s="795"/>
      <c r="AJ20" s="795"/>
      <c r="AK20" s="840"/>
      <c r="AL20" s="840"/>
      <c r="AM20" s="795"/>
      <c r="AN20" s="795"/>
      <c r="AO20" s="840"/>
      <c r="AP20" s="840"/>
      <c r="AQ20" s="795"/>
      <c r="AR20" s="795"/>
      <c r="AS20" s="841"/>
      <c r="AT20" s="840"/>
      <c r="AU20" s="795"/>
      <c r="AV20" s="797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691">
        <v>10</v>
      </c>
      <c r="BJ20" s="692"/>
      <c r="BK20" s="693" t="str">
        <f t="shared" si="0"/>
        <v/>
      </c>
      <c r="BL20" s="69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</row>
    <row r="21" spans="1:90" ht="12.75" customHeight="1" x14ac:dyDescent="0.25">
      <c r="A21" s="798">
        <v>2</v>
      </c>
      <c r="B21" s="799"/>
      <c r="C21" s="800" t="str">
        <f t="shared" ref="C21:C29" si="1">IFERROR(IF($A21&lt;=$BD$24,C20+$BD$25,""),"")</f>
        <v/>
      </c>
      <c r="D21" s="801"/>
      <c r="E21" s="840"/>
      <c r="F21" s="840"/>
      <c r="G21" s="795"/>
      <c r="H21" s="795"/>
      <c r="I21" s="840"/>
      <c r="J21" s="840"/>
      <c r="K21" s="795"/>
      <c r="L21" s="795"/>
      <c r="M21" s="840"/>
      <c r="N21" s="840"/>
      <c r="O21" s="795"/>
      <c r="P21" s="795"/>
      <c r="Q21" s="840"/>
      <c r="R21" s="840"/>
      <c r="S21" s="795"/>
      <c r="T21" s="795"/>
      <c r="U21" s="840"/>
      <c r="V21" s="840"/>
      <c r="W21" s="795"/>
      <c r="X21" s="795"/>
      <c r="Y21" s="840"/>
      <c r="Z21" s="840"/>
      <c r="AA21" s="795"/>
      <c r="AB21" s="795"/>
      <c r="AC21" s="840"/>
      <c r="AD21" s="840"/>
      <c r="AE21" s="795"/>
      <c r="AF21" s="795"/>
      <c r="AG21" s="840"/>
      <c r="AH21" s="840"/>
      <c r="AI21" s="795"/>
      <c r="AJ21" s="795"/>
      <c r="AK21" s="840"/>
      <c r="AL21" s="840"/>
      <c r="AM21" s="795"/>
      <c r="AN21" s="795"/>
      <c r="AO21" s="840"/>
      <c r="AP21" s="840"/>
      <c r="AQ21" s="795"/>
      <c r="AR21" s="795"/>
      <c r="AS21" s="841"/>
      <c r="AT21" s="840"/>
      <c r="AU21" s="795"/>
      <c r="AV21" s="797"/>
      <c r="AW21" s="44"/>
      <c r="AX21" s="341" t="s">
        <v>331</v>
      </c>
      <c r="AY21" s="741"/>
      <c r="AZ21" s="741"/>
      <c r="BA21" s="741"/>
      <c r="BB21" s="741"/>
      <c r="BC21" s="741"/>
      <c r="BD21" s="741"/>
      <c r="BE21" s="741"/>
      <c r="BF21" s="742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</row>
    <row r="22" spans="1:90" ht="12" customHeight="1" thickBot="1" x14ac:dyDescent="0.3">
      <c r="A22" s="798">
        <v>3</v>
      </c>
      <c r="B22" s="799"/>
      <c r="C22" s="800" t="str">
        <f t="shared" si="1"/>
        <v/>
      </c>
      <c r="D22" s="801"/>
      <c r="E22" s="840"/>
      <c r="F22" s="840"/>
      <c r="G22" s="795"/>
      <c r="H22" s="795"/>
      <c r="I22" s="840"/>
      <c r="J22" s="840"/>
      <c r="K22" s="795"/>
      <c r="L22" s="795"/>
      <c r="M22" s="840"/>
      <c r="N22" s="840"/>
      <c r="O22" s="795"/>
      <c r="P22" s="795"/>
      <c r="Q22" s="840"/>
      <c r="R22" s="840"/>
      <c r="S22" s="795"/>
      <c r="T22" s="795"/>
      <c r="U22" s="840"/>
      <c r="V22" s="840"/>
      <c r="W22" s="795"/>
      <c r="X22" s="795"/>
      <c r="Y22" s="840"/>
      <c r="Z22" s="840"/>
      <c r="AA22" s="795"/>
      <c r="AB22" s="795"/>
      <c r="AC22" s="840"/>
      <c r="AD22" s="840"/>
      <c r="AE22" s="795"/>
      <c r="AF22" s="795"/>
      <c r="AG22" s="840"/>
      <c r="AH22" s="840"/>
      <c r="AI22" s="795"/>
      <c r="AJ22" s="795"/>
      <c r="AK22" s="840"/>
      <c r="AL22" s="840"/>
      <c r="AM22" s="795"/>
      <c r="AN22" s="795"/>
      <c r="AO22" s="840"/>
      <c r="AP22" s="840"/>
      <c r="AQ22" s="795"/>
      <c r="AR22" s="795"/>
      <c r="AS22" s="841"/>
      <c r="AT22" s="840"/>
      <c r="AU22" s="795"/>
      <c r="AV22" s="797"/>
      <c r="AW22" s="44"/>
      <c r="AX22" s="743"/>
      <c r="AY22" s="744"/>
      <c r="AZ22" s="744"/>
      <c r="BA22" s="744"/>
      <c r="BB22" s="744"/>
      <c r="BC22" s="744"/>
      <c r="BD22" s="744"/>
      <c r="BE22" s="744"/>
      <c r="BF22" s="745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</row>
    <row r="23" spans="1:90" ht="12" customHeight="1" thickTop="1" x14ac:dyDescent="0.25">
      <c r="A23" s="798">
        <v>4</v>
      </c>
      <c r="B23" s="799"/>
      <c r="C23" s="800" t="str">
        <f t="shared" si="1"/>
        <v/>
      </c>
      <c r="D23" s="801"/>
      <c r="E23" s="840"/>
      <c r="F23" s="840"/>
      <c r="G23" s="795"/>
      <c r="H23" s="795"/>
      <c r="I23" s="840"/>
      <c r="J23" s="840"/>
      <c r="K23" s="795"/>
      <c r="L23" s="795"/>
      <c r="M23" s="840"/>
      <c r="N23" s="840"/>
      <c r="O23" s="795"/>
      <c r="P23" s="795"/>
      <c r="Q23" s="840"/>
      <c r="R23" s="840"/>
      <c r="S23" s="795"/>
      <c r="T23" s="795"/>
      <c r="U23" s="840"/>
      <c r="V23" s="840"/>
      <c r="W23" s="795"/>
      <c r="X23" s="795"/>
      <c r="Y23" s="840"/>
      <c r="Z23" s="840"/>
      <c r="AA23" s="795"/>
      <c r="AB23" s="795"/>
      <c r="AC23" s="840"/>
      <c r="AD23" s="840"/>
      <c r="AE23" s="795"/>
      <c r="AF23" s="795"/>
      <c r="AG23" s="840"/>
      <c r="AH23" s="840"/>
      <c r="AI23" s="795"/>
      <c r="AJ23" s="795"/>
      <c r="AK23" s="840"/>
      <c r="AL23" s="840"/>
      <c r="AM23" s="795"/>
      <c r="AN23" s="795"/>
      <c r="AO23" s="840"/>
      <c r="AP23" s="840"/>
      <c r="AQ23" s="795"/>
      <c r="AR23" s="795"/>
      <c r="AS23" s="841"/>
      <c r="AT23" s="840"/>
      <c r="AU23" s="795"/>
      <c r="AV23" s="797"/>
      <c r="AW23" s="44"/>
      <c r="AX23" s="736" t="s">
        <v>332</v>
      </c>
      <c r="AY23" s="737"/>
      <c r="AZ23" s="737"/>
      <c r="BA23" s="737"/>
      <c r="BB23" s="737"/>
      <c r="BC23" s="738"/>
      <c r="BD23" s="739" t="str">
        <f>IF(B14&lt;&gt;0,B14,"")</f>
        <v/>
      </c>
      <c r="BE23" s="739"/>
      <c r="BF23" s="740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</row>
    <row r="24" spans="1:90" ht="12" customHeight="1" x14ac:dyDescent="0.25">
      <c r="A24" s="798">
        <v>5</v>
      </c>
      <c r="B24" s="799"/>
      <c r="C24" s="800" t="str">
        <f t="shared" si="1"/>
        <v/>
      </c>
      <c r="D24" s="801"/>
      <c r="E24" s="840"/>
      <c r="F24" s="840"/>
      <c r="G24" s="795"/>
      <c r="H24" s="795"/>
      <c r="I24" s="840"/>
      <c r="J24" s="840"/>
      <c r="K24" s="795"/>
      <c r="L24" s="795"/>
      <c r="M24" s="840"/>
      <c r="N24" s="840"/>
      <c r="O24" s="795"/>
      <c r="P24" s="795"/>
      <c r="Q24" s="840"/>
      <c r="R24" s="840"/>
      <c r="S24" s="795"/>
      <c r="T24" s="795"/>
      <c r="U24" s="840"/>
      <c r="V24" s="840"/>
      <c r="W24" s="795"/>
      <c r="X24" s="795"/>
      <c r="Y24" s="840"/>
      <c r="Z24" s="840"/>
      <c r="AA24" s="795"/>
      <c r="AB24" s="795"/>
      <c r="AC24" s="840"/>
      <c r="AD24" s="840"/>
      <c r="AE24" s="795"/>
      <c r="AF24" s="795"/>
      <c r="AG24" s="840"/>
      <c r="AH24" s="840"/>
      <c r="AI24" s="795"/>
      <c r="AJ24" s="795"/>
      <c r="AK24" s="840"/>
      <c r="AL24" s="840"/>
      <c r="AM24" s="795"/>
      <c r="AN24" s="795"/>
      <c r="AO24" s="840"/>
      <c r="AP24" s="840"/>
      <c r="AQ24" s="795"/>
      <c r="AR24" s="795"/>
      <c r="AS24" s="841"/>
      <c r="AT24" s="840"/>
      <c r="AU24" s="795"/>
      <c r="AV24" s="797"/>
      <c r="AW24" s="44"/>
      <c r="AX24" s="542" t="s">
        <v>329</v>
      </c>
      <c r="AY24" s="543"/>
      <c r="AZ24" s="543"/>
      <c r="BA24" s="543"/>
      <c r="BB24" s="543"/>
      <c r="BC24" s="544"/>
      <c r="BD24" s="458" t="str">
        <f>IFERROR(IF(BD23&lt;=20,4,ROUNDUP(BD23/6,0)),"")</f>
        <v/>
      </c>
      <c r="BE24" s="458"/>
      <c r="BF24" s="459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</row>
    <row r="25" spans="1:90" ht="12" customHeight="1" thickBot="1" x14ac:dyDescent="0.3">
      <c r="A25" s="798">
        <v>6</v>
      </c>
      <c r="B25" s="799"/>
      <c r="C25" s="800" t="str">
        <f t="shared" si="1"/>
        <v/>
      </c>
      <c r="D25" s="801"/>
      <c r="E25" s="840"/>
      <c r="F25" s="840"/>
      <c r="G25" s="795"/>
      <c r="H25" s="795"/>
      <c r="I25" s="840"/>
      <c r="J25" s="840"/>
      <c r="K25" s="795"/>
      <c r="L25" s="795"/>
      <c r="M25" s="840"/>
      <c r="N25" s="840"/>
      <c r="O25" s="795"/>
      <c r="P25" s="795"/>
      <c r="Q25" s="840"/>
      <c r="R25" s="840"/>
      <c r="S25" s="795"/>
      <c r="T25" s="795"/>
      <c r="U25" s="840"/>
      <c r="V25" s="840"/>
      <c r="W25" s="795"/>
      <c r="X25" s="795"/>
      <c r="Y25" s="840"/>
      <c r="Z25" s="840"/>
      <c r="AA25" s="795"/>
      <c r="AB25" s="795"/>
      <c r="AC25" s="840"/>
      <c r="AD25" s="840"/>
      <c r="AE25" s="795"/>
      <c r="AF25" s="795"/>
      <c r="AG25" s="840"/>
      <c r="AH25" s="840"/>
      <c r="AI25" s="795"/>
      <c r="AJ25" s="795"/>
      <c r="AK25" s="840"/>
      <c r="AL25" s="840"/>
      <c r="AM25" s="795"/>
      <c r="AN25" s="795"/>
      <c r="AO25" s="840"/>
      <c r="AP25" s="840"/>
      <c r="AQ25" s="795"/>
      <c r="AR25" s="795"/>
      <c r="AS25" s="841"/>
      <c r="AT25" s="840"/>
      <c r="AU25" s="795"/>
      <c r="AV25" s="797"/>
      <c r="AW25" s="44"/>
      <c r="AX25" s="552" t="s">
        <v>330</v>
      </c>
      <c r="AY25" s="283"/>
      <c r="AZ25" s="283"/>
      <c r="BA25" s="283"/>
      <c r="BB25" s="283"/>
      <c r="BC25" s="735"/>
      <c r="BD25" s="733" t="str">
        <f>IFERROR(IF(BD24&lt;=20,((BD23-(BD23/BD24))/(BD24-1)),(BD23-6)/(BD24-1)),"")</f>
        <v/>
      </c>
      <c r="BE25" s="733"/>
      <c r="BF25" s="73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</row>
    <row r="26" spans="1:90" ht="12" customHeight="1" thickBot="1" x14ac:dyDescent="0.3">
      <c r="A26" s="798">
        <v>7</v>
      </c>
      <c r="B26" s="799"/>
      <c r="C26" s="800" t="str">
        <f t="shared" si="1"/>
        <v/>
      </c>
      <c r="D26" s="801"/>
      <c r="E26" s="840"/>
      <c r="F26" s="840"/>
      <c r="G26" s="795"/>
      <c r="H26" s="795"/>
      <c r="I26" s="840"/>
      <c r="J26" s="840"/>
      <c r="K26" s="795"/>
      <c r="L26" s="795"/>
      <c r="M26" s="840"/>
      <c r="N26" s="840"/>
      <c r="O26" s="795"/>
      <c r="P26" s="795"/>
      <c r="Q26" s="840"/>
      <c r="R26" s="840"/>
      <c r="S26" s="795"/>
      <c r="T26" s="795"/>
      <c r="U26" s="840"/>
      <c r="V26" s="840"/>
      <c r="W26" s="795"/>
      <c r="X26" s="795"/>
      <c r="Y26" s="840"/>
      <c r="Z26" s="840"/>
      <c r="AA26" s="795"/>
      <c r="AB26" s="795"/>
      <c r="AC26" s="840"/>
      <c r="AD26" s="840"/>
      <c r="AE26" s="795"/>
      <c r="AF26" s="795"/>
      <c r="AG26" s="840"/>
      <c r="AH26" s="840"/>
      <c r="AI26" s="795"/>
      <c r="AJ26" s="795"/>
      <c r="AK26" s="840"/>
      <c r="AL26" s="840"/>
      <c r="AM26" s="795"/>
      <c r="AN26" s="795"/>
      <c r="AO26" s="840"/>
      <c r="AP26" s="840"/>
      <c r="AQ26" s="795"/>
      <c r="AR26" s="795"/>
      <c r="AS26" s="841"/>
      <c r="AT26" s="840"/>
      <c r="AU26" s="795"/>
      <c r="AV26" s="797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</row>
    <row r="27" spans="1:90" ht="12" customHeight="1" thickBot="1" x14ac:dyDescent="0.3">
      <c r="A27" s="798">
        <v>8</v>
      </c>
      <c r="B27" s="799"/>
      <c r="C27" s="800" t="str">
        <f t="shared" si="1"/>
        <v/>
      </c>
      <c r="D27" s="801"/>
      <c r="E27" s="840"/>
      <c r="F27" s="840"/>
      <c r="G27" s="795"/>
      <c r="H27" s="795"/>
      <c r="I27" s="840"/>
      <c r="J27" s="840"/>
      <c r="K27" s="795"/>
      <c r="L27" s="795"/>
      <c r="M27" s="840"/>
      <c r="N27" s="840"/>
      <c r="O27" s="795"/>
      <c r="P27" s="795"/>
      <c r="Q27" s="840"/>
      <c r="R27" s="840"/>
      <c r="S27" s="795"/>
      <c r="T27" s="795"/>
      <c r="U27" s="840"/>
      <c r="V27" s="840"/>
      <c r="W27" s="795"/>
      <c r="X27" s="795"/>
      <c r="Y27" s="840"/>
      <c r="Z27" s="840"/>
      <c r="AA27" s="795"/>
      <c r="AB27" s="795"/>
      <c r="AC27" s="840"/>
      <c r="AD27" s="840"/>
      <c r="AE27" s="795"/>
      <c r="AF27" s="795"/>
      <c r="AG27" s="840"/>
      <c r="AH27" s="840"/>
      <c r="AI27" s="795"/>
      <c r="AJ27" s="795"/>
      <c r="AK27" s="840"/>
      <c r="AL27" s="840"/>
      <c r="AM27" s="795"/>
      <c r="AN27" s="795"/>
      <c r="AO27" s="840"/>
      <c r="AP27" s="840"/>
      <c r="AQ27" s="795"/>
      <c r="AR27" s="795"/>
      <c r="AS27" s="841"/>
      <c r="AT27" s="840"/>
      <c r="AU27" s="795"/>
      <c r="AV27" s="797"/>
      <c r="AW27" s="44"/>
      <c r="AX27" s="471" t="s">
        <v>160</v>
      </c>
      <c r="AY27" s="472"/>
      <c r="AZ27" s="472"/>
      <c r="BA27" s="472"/>
      <c r="BB27" s="472"/>
      <c r="BC27" s="472"/>
      <c r="BD27" s="472"/>
      <c r="BE27" s="472"/>
      <c r="BF27" s="472"/>
      <c r="BG27" s="472"/>
      <c r="BH27" s="472"/>
      <c r="BI27" s="472"/>
      <c r="BJ27" s="472"/>
      <c r="BK27" s="472"/>
      <c r="BL27" s="473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</row>
    <row r="28" spans="1:90" ht="12" customHeight="1" thickTop="1" x14ac:dyDescent="0.25">
      <c r="A28" s="798">
        <v>9</v>
      </c>
      <c r="B28" s="799"/>
      <c r="C28" s="800" t="str">
        <f t="shared" si="1"/>
        <v/>
      </c>
      <c r="D28" s="801"/>
      <c r="E28" s="840"/>
      <c r="F28" s="840"/>
      <c r="G28" s="795"/>
      <c r="H28" s="795"/>
      <c r="I28" s="840"/>
      <c r="J28" s="840"/>
      <c r="K28" s="795"/>
      <c r="L28" s="795"/>
      <c r="M28" s="840"/>
      <c r="N28" s="840"/>
      <c r="O28" s="795"/>
      <c r="P28" s="795"/>
      <c r="Q28" s="840"/>
      <c r="R28" s="840"/>
      <c r="S28" s="795"/>
      <c r="T28" s="795"/>
      <c r="U28" s="840"/>
      <c r="V28" s="840"/>
      <c r="W28" s="795"/>
      <c r="X28" s="795"/>
      <c r="Y28" s="840"/>
      <c r="Z28" s="840"/>
      <c r="AA28" s="795"/>
      <c r="AB28" s="795"/>
      <c r="AC28" s="840"/>
      <c r="AD28" s="840"/>
      <c r="AE28" s="795"/>
      <c r="AF28" s="795"/>
      <c r="AG28" s="840"/>
      <c r="AH28" s="840"/>
      <c r="AI28" s="795"/>
      <c r="AJ28" s="795"/>
      <c r="AK28" s="840"/>
      <c r="AL28" s="840"/>
      <c r="AM28" s="795"/>
      <c r="AN28" s="795"/>
      <c r="AO28" s="840"/>
      <c r="AP28" s="840"/>
      <c r="AQ28" s="795"/>
      <c r="AR28" s="795"/>
      <c r="AS28" s="841"/>
      <c r="AT28" s="840"/>
      <c r="AU28" s="795"/>
      <c r="AV28" s="797"/>
      <c r="AW28" s="44"/>
      <c r="AX28" s="324"/>
      <c r="AY28" s="547"/>
      <c r="AZ28" s="547"/>
      <c r="BA28" s="547"/>
      <c r="BB28" s="325"/>
      <c r="BC28" s="548"/>
      <c r="BD28" s="547"/>
      <c r="BE28" s="547"/>
      <c r="BF28" s="547"/>
      <c r="BG28" s="325"/>
      <c r="BH28" s="548"/>
      <c r="BI28" s="547"/>
      <c r="BJ28" s="547"/>
      <c r="BK28" s="547"/>
      <c r="BL28" s="549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</row>
    <row r="29" spans="1:90" ht="12" customHeight="1" thickBot="1" x14ac:dyDescent="0.3">
      <c r="A29" s="798">
        <v>10</v>
      </c>
      <c r="B29" s="799"/>
      <c r="C29" s="800" t="str">
        <f t="shared" si="1"/>
        <v/>
      </c>
      <c r="D29" s="801"/>
      <c r="E29" s="842"/>
      <c r="F29" s="842"/>
      <c r="G29" s="803"/>
      <c r="H29" s="803"/>
      <c r="I29" s="842"/>
      <c r="J29" s="842"/>
      <c r="K29" s="803"/>
      <c r="L29" s="803"/>
      <c r="M29" s="840"/>
      <c r="N29" s="840"/>
      <c r="O29" s="803"/>
      <c r="P29" s="803"/>
      <c r="Q29" s="840"/>
      <c r="R29" s="840"/>
      <c r="S29" s="803"/>
      <c r="T29" s="803"/>
      <c r="U29" s="840"/>
      <c r="V29" s="840"/>
      <c r="W29" s="803"/>
      <c r="X29" s="803"/>
      <c r="Y29" s="840"/>
      <c r="Z29" s="840"/>
      <c r="AA29" s="803"/>
      <c r="AB29" s="803"/>
      <c r="AC29" s="840"/>
      <c r="AD29" s="840"/>
      <c r="AE29" s="803"/>
      <c r="AF29" s="803"/>
      <c r="AG29" s="840"/>
      <c r="AH29" s="840"/>
      <c r="AI29" s="803"/>
      <c r="AJ29" s="803"/>
      <c r="AK29" s="840"/>
      <c r="AL29" s="840"/>
      <c r="AM29" s="803"/>
      <c r="AN29" s="803"/>
      <c r="AO29" s="840"/>
      <c r="AP29" s="840"/>
      <c r="AQ29" s="803"/>
      <c r="AR29" s="803"/>
      <c r="AS29" s="841"/>
      <c r="AT29" s="840"/>
      <c r="AU29" s="795"/>
      <c r="AV29" s="797"/>
      <c r="AW29" s="44"/>
      <c r="AX29" s="521"/>
      <c r="AY29" s="522"/>
      <c r="AZ29" s="522"/>
      <c r="BA29" s="522"/>
      <c r="BB29" s="523"/>
      <c r="BC29" s="524"/>
      <c r="BD29" s="522"/>
      <c r="BE29" s="522"/>
      <c r="BF29" s="522"/>
      <c r="BG29" s="523"/>
      <c r="BH29" s="524"/>
      <c r="BI29" s="522"/>
      <c r="BJ29" s="522"/>
      <c r="BK29" s="522"/>
      <c r="BL29" s="525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</row>
    <row r="30" spans="1:90" ht="12" customHeight="1" thickTop="1" thickBot="1" x14ac:dyDescent="0.3">
      <c r="A30" s="791" t="s">
        <v>310</v>
      </c>
      <c r="B30" s="792"/>
      <c r="C30" s="792"/>
      <c r="D30" s="792"/>
      <c r="E30" s="793"/>
      <c r="F30" s="790"/>
      <c r="G30" s="715" t="str">
        <f>IF(E18="","",ROUND(SUM(G20:H29),0))</f>
        <v/>
      </c>
      <c r="H30" s="716"/>
      <c r="I30" s="788"/>
      <c r="J30" s="790"/>
      <c r="K30" s="715" t="str">
        <f>IF(I18="","",ROUND(SUM(K20:L29),0))</f>
        <v/>
      </c>
      <c r="L30" s="717"/>
      <c r="M30" s="788"/>
      <c r="N30" s="789"/>
      <c r="O30" s="715" t="str">
        <f>IF(M18="","",ROUND(SUM(O20:P29),0))</f>
        <v/>
      </c>
      <c r="P30" s="716"/>
      <c r="Q30" s="788"/>
      <c r="R30" s="790"/>
      <c r="S30" s="715" t="str">
        <f>IF(Q18="","",ROUND(SUM(S20:T29),0))</f>
        <v/>
      </c>
      <c r="T30" s="717"/>
      <c r="U30" s="790"/>
      <c r="V30" s="790"/>
      <c r="W30" s="715" t="str">
        <f>IF(U18="","",ROUND(SUM(W20:X29),0))</f>
        <v/>
      </c>
      <c r="X30" s="716"/>
      <c r="Y30" s="788"/>
      <c r="Z30" s="790"/>
      <c r="AA30" s="715" t="str">
        <f>IF(Y18="","",ROUND(SUM(AA20:AB29),0))</f>
        <v/>
      </c>
      <c r="AB30" s="717"/>
      <c r="AC30" s="790"/>
      <c r="AD30" s="790"/>
      <c r="AE30" s="715" t="str">
        <f>IF(AC18="","",ROUND(SUM(AE20:AF29),0))</f>
        <v/>
      </c>
      <c r="AF30" s="716"/>
      <c r="AG30" s="788"/>
      <c r="AH30" s="790"/>
      <c r="AI30" s="715" t="str">
        <f>IF(AG18="","",ROUND(SUM(AI20:AJ29),0))</f>
        <v/>
      </c>
      <c r="AJ30" s="716"/>
      <c r="AK30" s="788"/>
      <c r="AL30" s="789"/>
      <c r="AM30" s="715" t="str">
        <f>IF(AK18="","",ROUND(SUM(AM20:AN29),0))</f>
        <v/>
      </c>
      <c r="AN30" s="716"/>
      <c r="AO30" s="788"/>
      <c r="AP30" s="789"/>
      <c r="AQ30" s="715" t="str">
        <f>IF(AO18="","",ROUND(SUM(AQ20:AR29),0))</f>
        <v/>
      </c>
      <c r="AR30" s="717"/>
      <c r="AS30" s="790"/>
      <c r="AT30" s="789"/>
      <c r="AU30" s="715" t="str">
        <f>IF(AS18="","",ROUND(SUM(AU20:AV29),0))</f>
        <v/>
      </c>
      <c r="AV30" s="725"/>
      <c r="AW30" s="44"/>
      <c r="AX30" s="521"/>
      <c r="AY30" s="522"/>
      <c r="AZ30" s="522"/>
      <c r="BA30" s="522"/>
      <c r="BB30" s="523"/>
      <c r="BC30" s="524"/>
      <c r="BD30" s="522"/>
      <c r="BE30" s="522"/>
      <c r="BF30" s="522"/>
      <c r="BG30" s="523"/>
      <c r="BH30" s="524"/>
      <c r="BI30" s="522"/>
      <c r="BJ30" s="522"/>
      <c r="BK30" s="522"/>
      <c r="BL30" s="525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</row>
    <row r="31" spans="1:90" ht="12.75" customHeight="1" x14ac:dyDescent="0.25">
      <c r="A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4"/>
      <c r="AX31" s="521"/>
      <c r="AY31" s="522"/>
      <c r="AZ31" s="522"/>
      <c r="BA31" s="522"/>
      <c r="BB31" s="523"/>
      <c r="BC31" s="524"/>
      <c r="BD31" s="522"/>
      <c r="BE31" s="522"/>
      <c r="BF31" s="522"/>
      <c r="BG31" s="523"/>
      <c r="BH31" s="524"/>
      <c r="BI31" s="522"/>
      <c r="BJ31" s="522"/>
      <c r="BK31" s="522"/>
      <c r="BL31" s="525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</row>
    <row r="32" spans="1:90" ht="12" customHeight="1" thickBot="1" x14ac:dyDescent="0.3">
      <c r="A32" s="42"/>
      <c r="B32" s="42" t="s">
        <v>262</v>
      </c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4"/>
      <c r="AX32" s="521"/>
      <c r="AY32" s="522"/>
      <c r="AZ32" s="522"/>
      <c r="BA32" s="522"/>
      <c r="BB32" s="523"/>
      <c r="BC32" s="524"/>
      <c r="BD32" s="522"/>
      <c r="BE32" s="522"/>
      <c r="BF32" s="522"/>
      <c r="BG32" s="523"/>
      <c r="BH32" s="524"/>
      <c r="BI32" s="522"/>
      <c r="BJ32" s="522"/>
      <c r="BK32" s="522"/>
      <c r="BL32" s="525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</row>
    <row r="33" spans="1:90" ht="12" customHeight="1" thickBot="1" x14ac:dyDescent="0.3">
      <c r="A33" s="84"/>
      <c r="B33" s="281"/>
      <c r="C33" s="281"/>
      <c r="D33" s="281"/>
      <c r="E33" s="281"/>
      <c r="F33" s="281"/>
      <c r="G33" s="281"/>
      <c r="H33" s="281"/>
      <c r="I33" s="281"/>
      <c r="J33" s="281"/>
      <c r="K33" s="281"/>
      <c r="L33" s="281"/>
      <c r="M33" s="281"/>
      <c r="N33" s="281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42"/>
      <c r="AF33" s="709" t="s">
        <v>350</v>
      </c>
      <c r="AG33" s="710"/>
      <c r="AH33" s="710"/>
      <c r="AI33" s="710"/>
      <c r="AJ33" s="710"/>
      <c r="AK33" s="710"/>
      <c r="AL33" s="710"/>
      <c r="AM33" s="710"/>
      <c r="AN33" s="710"/>
      <c r="AO33" s="710"/>
      <c r="AP33" s="136"/>
      <c r="AQ33" s="137" t="s">
        <v>351</v>
      </c>
      <c r="AR33" s="786"/>
      <c r="AS33" s="786"/>
      <c r="AT33" s="138" t="s">
        <v>352</v>
      </c>
      <c r="AU33" s="786"/>
      <c r="AV33" s="787"/>
      <c r="AW33" s="44"/>
      <c r="AX33" s="528"/>
      <c r="AY33" s="529"/>
      <c r="AZ33" s="529"/>
      <c r="BA33" s="529"/>
      <c r="BB33" s="530"/>
      <c r="BC33" s="531"/>
      <c r="BD33" s="529"/>
      <c r="BE33" s="529"/>
      <c r="BF33" s="529"/>
      <c r="BG33" s="530"/>
      <c r="BH33" s="531"/>
      <c r="BI33" s="529"/>
      <c r="BJ33" s="529"/>
      <c r="BK33" s="529"/>
      <c r="BL33" s="532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</row>
    <row r="34" spans="1:90" ht="12" customHeight="1" x14ac:dyDescent="0.25">
      <c r="A34" s="84"/>
      <c r="B34" s="281"/>
      <c r="C34" s="281"/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42"/>
      <c r="AF34" s="333" t="s">
        <v>336</v>
      </c>
      <c r="AG34" s="334"/>
      <c r="AH34" s="334"/>
      <c r="AI34" s="334"/>
      <c r="AJ34" s="334"/>
      <c r="AK34" s="334"/>
      <c r="AL34" s="334"/>
      <c r="AM34" s="334"/>
      <c r="AN34" s="334"/>
      <c r="AO34" s="334"/>
      <c r="AP34" s="707"/>
      <c r="AQ34" s="708"/>
      <c r="AR34" s="708"/>
      <c r="AS34" s="708"/>
      <c r="AT34" s="407" t="s">
        <v>337</v>
      </c>
      <c r="AU34" s="407"/>
      <c r="AV34" s="701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</row>
    <row r="35" spans="1:90" ht="12" customHeight="1" x14ac:dyDescent="0.25">
      <c r="A35" s="84"/>
      <c r="B35" s="281"/>
      <c r="C35" s="281"/>
      <c r="D35" s="281"/>
      <c r="E35" s="281"/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42"/>
      <c r="AF35" s="333" t="s">
        <v>338</v>
      </c>
      <c r="AG35" s="334"/>
      <c r="AH35" s="334"/>
      <c r="AI35" s="334"/>
      <c r="AJ35" s="334"/>
      <c r="AK35" s="334"/>
      <c r="AL35" s="334"/>
      <c r="AM35" s="334"/>
      <c r="AN35" s="334"/>
      <c r="AO35" s="334"/>
      <c r="AP35" s="705" t="str">
        <f>IF((SUM(E30:AV30)+ SUM(E40:L40))&lt;&gt;0,(SUM(E30:AV30)+ SUM(E40:L40)),"")</f>
        <v/>
      </c>
      <c r="AQ35" s="706"/>
      <c r="AR35" s="706"/>
      <c r="AS35" s="706"/>
      <c r="AT35" s="407" t="s">
        <v>319</v>
      </c>
      <c r="AU35" s="407"/>
      <c r="AV35" s="701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</row>
    <row r="36" spans="1:90" ht="12" customHeight="1" x14ac:dyDescent="0.25">
      <c r="A36" s="84"/>
      <c r="B36" s="281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42"/>
      <c r="AF36" s="333" t="s">
        <v>339</v>
      </c>
      <c r="AG36" s="334"/>
      <c r="AH36" s="334"/>
      <c r="AI36" s="334"/>
      <c r="AJ36" s="334"/>
      <c r="AK36" s="334"/>
      <c r="AL36" s="334"/>
      <c r="AM36" s="334"/>
      <c r="AN36" s="334"/>
      <c r="AO36" s="334"/>
      <c r="AP36" s="702" t="str">
        <f>IF((COUNT(E20:AV29)),((COUNT(E20:AV29))),"")</f>
        <v/>
      </c>
      <c r="AQ36" s="703"/>
      <c r="AR36" s="703"/>
      <c r="AS36" s="703"/>
      <c r="AT36" s="703"/>
      <c r="AU36" s="703"/>
      <c r="AV36" s="70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</row>
    <row r="37" spans="1:90" ht="12" customHeight="1" x14ac:dyDescent="0.25">
      <c r="A37" s="84"/>
      <c r="B37" s="281"/>
      <c r="C37" s="281"/>
      <c r="D37" s="281"/>
      <c r="E37" s="281"/>
      <c r="F37" s="281"/>
      <c r="G37" s="281"/>
      <c r="H37" s="281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42"/>
      <c r="AF37" s="333" t="s">
        <v>340</v>
      </c>
      <c r="AG37" s="334"/>
      <c r="AH37" s="334"/>
      <c r="AI37" s="334"/>
      <c r="AJ37" s="334"/>
      <c r="AK37" s="334"/>
      <c r="AL37" s="334"/>
      <c r="AM37" s="334"/>
      <c r="AN37" s="334"/>
      <c r="AO37" s="334"/>
      <c r="AP37" s="705" t="str">
        <f>IFERROR(ROUND(AP35/AP36,2),"")</f>
        <v/>
      </c>
      <c r="AQ37" s="706"/>
      <c r="AR37" s="706"/>
      <c r="AS37" s="706"/>
      <c r="AT37" s="407" t="s">
        <v>319</v>
      </c>
      <c r="AU37" s="407"/>
      <c r="AV37" s="701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</row>
    <row r="38" spans="1:90" ht="12" customHeight="1" x14ac:dyDescent="0.25">
      <c r="A38" s="84"/>
      <c r="B38" s="281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42"/>
      <c r="AF38" s="122" t="s">
        <v>341</v>
      </c>
      <c r="AG38" s="123"/>
      <c r="AH38" s="123"/>
      <c r="AI38" s="123"/>
      <c r="AJ38" s="123"/>
      <c r="AK38" s="123"/>
      <c r="AL38" s="123"/>
      <c r="AM38" s="123"/>
      <c r="AN38" s="123"/>
      <c r="AO38" s="124"/>
      <c r="AP38" s="474"/>
      <c r="AQ38" s="558"/>
      <c r="AR38" s="558"/>
      <c r="AS38" s="558"/>
      <c r="AT38" s="558"/>
      <c r="AU38" s="558"/>
      <c r="AV38" s="698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</row>
    <row r="39" spans="1:90" ht="12" customHeight="1" x14ac:dyDescent="0.25">
      <c r="A39" s="84"/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42"/>
      <c r="AF39" s="333" t="s">
        <v>342</v>
      </c>
      <c r="AG39" s="334"/>
      <c r="AH39" s="334"/>
      <c r="AI39" s="334"/>
      <c r="AJ39" s="334"/>
      <c r="AK39" s="334"/>
      <c r="AL39" s="334"/>
      <c r="AM39" s="334"/>
      <c r="AN39" s="334"/>
      <c r="AO39" s="334"/>
      <c r="AP39" s="699" t="str">
        <f>IF(OR(AP38&lt;&gt;0,AP38&lt;&gt;""),N13*IF(AP38&lt;&gt;"N/A",AP38,1),N13)</f>
        <v/>
      </c>
      <c r="AQ39" s="700"/>
      <c r="AR39" s="700"/>
      <c r="AS39" s="700"/>
      <c r="AT39" s="407" t="s">
        <v>318</v>
      </c>
      <c r="AU39" s="407"/>
      <c r="AV39" s="701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</row>
    <row r="40" spans="1:90" ht="12" customHeight="1" thickBot="1" x14ac:dyDescent="0.3">
      <c r="A40" s="84"/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42"/>
      <c r="AF40" s="347" t="s">
        <v>343</v>
      </c>
      <c r="AG40" s="348"/>
      <c r="AH40" s="348"/>
      <c r="AI40" s="348"/>
      <c r="AJ40" s="348"/>
      <c r="AK40" s="348"/>
      <c r="AL40" s="348"/>
      <c r="AM40" s="348"/>
      <c r="AN40" s="348"/>
      <c r="AO40" s="348"/>
      <c r="AP40" s="695" t="str">
        <f>IFERROR(AP39*AP37,"")</f>
        <v/>
      </c>
      <c r="AQ40" s="696"/>
      <c r="AR40" s="696"/>
      <c r="AS40" s="696"/>
      <c r="AT40" s="427" t="s">
        <v>56</v>
      </c>
      <c r="AU40" s="427"/>
      <c r="AV40" s="697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</row>
    <row r="41" spans="1:90" ht="12" customHeight="1" x14ac:dyDescent="0.25">
      <c r="A41" s="84"/>
      <c r="B41" s="281"/>
      <c r="C41" s="281"/>
      <c r="D41" s="281"/>
      <c r="E41" s="281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</row>
    <row r="42" spans="1:90" ht="12" customHeight="1" x14ac:dyDescent="0.25">
      <c r="A42" s="690" t="s">
        <v>276</v>
      </c>
      <c r="B42" s="690"/>
      <c r="C42" s="690"/>
      <c r="D42" s="690"/>
      <c r="E42" s="285"/>
      <c r="F42" s="285"/>
      <c r="G42" s="285"/>
      <c r="H42" s="285"/>
      <c r="I42" s="285"/>
      <c r="J42" s="285"/>
      <c r="K42" s="285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690" t="s">
        <v>277</v>
      </c>
      <c r="AE42" s="690"/>
      <c r="AF42" s="690"/>
      <c r="AG42" s="690"/>
      <c r="AH42" s="690"/>
      <c r="AI42" s="286"/>
      <c r="AJ42" s="286"/>
      <c r="AK42" s="286"/>
      <c r="AL42" s="286"/>
      <c r="AM42" s="286"/>
      <c r="AN42" s="286"/>
      <c r="AO42" s="286"/>
      <c r="AP42" s="286"/>
      <c r="AQ42" s="286"/>
      <c r="AR42" s="286"/>
      <c r="AS42" s="286"/>
      <c r="AT42" s="286"/>
      <c r="AU42" s="286"/>
      <c r="AV42" s="286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</row>
    <row r="43" spans="1:90" ht="12.75" hidden="1" customHeight="1" x14ac:dyDescent="0.25"/>
    <row r="44" spans="1:90" ht="12.75" hidden="1" customHeight="1" x14ac:dyDescent="0.25"/>
    <row r="45" spans="1:90" ht="12.75" hidden="1" customHeight="1" x14ac:dyDescent="0.25"/>
    <row r="46" spans="1:90" ht="12.75" hidden="1" customHeight="1" x14ac:dyDescent="0.25"/>
    <row r="47" spans="1:90" ht="12.75" hidden="1" customHeight="1" x14ac:dyDescent="0.25"/>
    <row r="48" spans="1:90" ht="12.75" hidden="1" customHeight="1" x14ac:dyDescent="0.25"/>
    <row r="49" ht="12.75" hidden="1" customHeight="1" x14ac:dyDescent="0.25"/>
    <row r="50" ht="12.75" hidden="1" customHeight="1" x14ac:dyDescent="0.25"/>
    <row r="51" ht="12.75" hidden="1" customHeight="1" x14ac:dyDescent="0.25"/>
    <row r="52" ht="12.75" hidden="1" customHeight="1" x14ac:dyDescent="0.25"/>
    <row r="53" ht="12.75" hidden="1" customHeight="1" x14ac:dyDescent="0.25"/>
    <row r="54" ht="12.75" hidden="1" customHeight="1" x14ac:dyDescent="0.25"/>
    <row r="55" ht="12.75" hidden="1" customHeight="1" x14ac:dyDescent="0.25"/>
  </sheetData>
  <mergeCells count="454">
    <mergeCell ref="AY8:BF8"/>
    <mergeCell ref="A9:E9"/>
    <mergeCell ref="F9:P9"/>
    <mergeCell ref="AG9:AK9"/>
    <mergeCell ref="AL9:AV9"/>
    <mergeCell ref="AY9:BD9"/>
    <mergeCell ref="BE9:BF9"/>
    <mergeCell ref="AW1:CL1"/>
    <mergeCell ref="Z5:AV5"/>
    <mergeCell ref="A7:E7"/>
    <mergeCell ref="F7:P7"/>
    <mergeCell ref="AG7:AK7"/>
    <mergeCell ref="AL7:AV7"/>
    <mergeCell ref="BW9:BX9"/>
    <mergeCell ref="BY9:BZ9"/>
    <mergeCell ref="CA9:CB9"/>
    <mergeCell ref="CC9:CD9"/>
    <mergeCell ref="CE9:CF9"/>
    <mergeCell ref="CG9:CH9"/>
    <mergeCell ref="BI9:BL9"/>
    <mergeCell ref="BM9:BN9"/>
    <mergeCell ref="BO9:BP9"/>
    <mergeCell ref="BQ9:BR9"/>
    <mergeCell ref="BS9:BT9"/>
    <mergeCell ref="BU9:BV9"/>
    <mergeCell ref="A12:P12"/>
    <mergeCell ref="Q12:AF12"/>
    <mergeCell ref="AG12:AV12"/>
    <mergeCell ref="AX12:BG12"/>
    <mergeCell ref="BI12:BJ12"/>
    <mergeCell ref="BK12:BL12"/>
    <mergeCell ref="CC10:CD10"/>
    <mergeCell ref="CE10:CF10"/>
    <mergeCell ref="CG10:CH10"/>
    <mergeCell ref="A11:AV11"/>
    <mergeCell ref="BI11:BJ11"/>
    <mergeCell ref="BK11:BL11"/>
    <mergeCell ref="BQ10:BR10"/>
    <mergeCell ref="BS10:BT10"/>
    <mergeCell ref="BU10:BV10"/>
    <mergeCell ref="BW10:BX10"/>
    <mergeCell ref="BY10:BZ10"/>
    <mergeCell ref="CA10:CB10"/>
    <mergeCell ref="AY10:BD10"/>
    <mergeCell ref="BE10:BF10"/>
    <mergeCell ref="BI10:BJ10"/>
    <mergeCell ref="BK10:BL10"/>
    <mergeCell ref="BM10:BN10"/>
    <mergeCell ref="BO10:BP10"/>
    <mergeCell ref="AR13:AV13"/>
    <mergeCell ref="AX13:BG13"/>
    <mergeCell ref="BI13:BJ13"/>
    <mergeCell ref="BK13:BL13"/>
    <mergeCell ref="B14:D14"/>
    <mergeCell ref="E14:G14"/>
    <mergeCell ref="H14:J14"/>
    <mergeCell ref="BI14:BJ14"/>
    <mergeCell ref="BK14:BL14"/>
    <mergeCell ref="T13:X13"/>
    <mergeCell ref="Y13:AA13"/>
    <mergeCell ref="AB13:AF13"/>
    <mergeCell ref="AG13:AI13"/>
    <mergeCell ref="AJ13:AN13"/>
    <mergeCell ref="AO13:AQ13"/>
    <mergeCell ref="B13:D13"/>
    <mergeCell ref="E13:G13"/>
    <mergeCell ref="H13:J13"/>
    <mergeCell ref="K13:M13"/>
    <mergeCell ref="N13:P13"/>
    <mergeCell ref="Q13:S13"/>
    <mergeCell ref="M15:X15"/>
    <mergeCell ref="Z15:AK15"/>
    <mergeCell ref="AL15:AV15"/>
    <mergeCell ref="AX15:BF16"/>
    <mergeCell ref="BI15:BJ15"/>
    <mergeCell ref="BK15:BL15"/>
    <mergeCell ref="M16:T16"/>
    <mergeCell ref="U16:V16"/>
    <mergeCell ref="W16:X16"/>
    <mergeCell ref="BI16:BJ16"/>
    <mergeCell ref="BK16:BL16"/>
    <mergeCell ref="AX17:BC17"/>
    <mergeCell ref="BD17:BF17"/>
    <mergeCell ref="BI17:BJ17"/>
    <mergeCell ref="BK17:BL17"/>
    <mergeCell ref="A18:D18"/>
    <mergeCell ref="E18:H18"/>
    <mergeCell ref="I18:L18"/>
    <mergeCell ref="M18:P18"/>
    <mergeCell ref="Q18:T18"/>
    <mergeCell ref="AS18:AV18"/>
    <mergeCell ref="AX18:BC18"/>
    <mergeCell ref="BD18:BF18"/>
    <mergeCell ref="BI18:BJ18"/>
    <mergeCell ref="BK18:BL18"/>
    <mergeCell ref="AK18:AN18"/>
    <mergeCell ref="AO18:AR18"/>
    <mergeCell ref="A19:B19"/>
    <mergeCell ref="C19:D19"/>
    <mergeCell ref="E19:F19"/>
    <mergeCell ref="G19:H19"/>
    <mergeCell ref="I19:J19"/>
    <mergeCell ref="U18:X18"/>
    <mergeCell ref="Y18:AB18"/>
    <mergeCell ref="AC18:AF18"/>
    <mergeCell ref="AG18:AJ18"/>
    <mergeCell ref="O19:P19"/>
    <mergeCell ref="Q19:R19"/>
    <mergeCell ref="S19:T19"/>
    <mergeCell ref="U19:V19"/>
    <mergeCell ref="AU19:AV19"/>
    <mergeCell ref="AX19:BC19"/>
    <mergeCell ref="BD19:BF19"/>
    <mergeCell ref="BI19:BJ19"/>
    <mergeCell ref="BK19:BL19"/>
    <mergeCell ref="A20:B20"/>
    <mergeCell ref="C20:D20"/>
    <mergeCell ref="E20:F20"/>
    <mergeCell ref="G20:H20"/>
    <mergeCell ref="I20:J20"/>
    <mergeCell ref="AI19:AJ19"/>
    <mergeCell ref="AK19:AL19"/>
    <mergeCell ref="AM19:AN19"/>
    <mergeCell ref="AO19:AP19"/>
    <mergeCell ref="AQ19:AR19"/>
    <mergeCell ref="AS19:AT19"/>
    <mergeCell ref="W19:X19"/>
    <mergeCell ref="Y19:Z19"/>
    <mergeCell ref="AA19:AB19"/>
    <mergeCell ref="AC19:AD19"/>
    <mergeCell ref="AE19:AF19"/>
    <mergeCell ref="AG19:AH19"/>
    <mergeCell ref="K19:L19"/>
    <mergeCell ref="M19:N19"/>
    <mergeCell ref="A21:B21"/>
    <mergeCell ref="C21:D21"/>
    <mergeCell ref="E21:F21"/>
    <mergeCell ref="G21:H21"/>
    <mergeCell ref="I21:J21"/>
    <mergeCell ref="K21:L21"/>
    <mergeCell ref="M21:N21"/>
    <mergeCell ref="AI20:AJ20"/>
    <mergeCell ref="AK20:AL20"/>
    <mergeCell ref="W20:X20"/>
    <mergeCell ref="Y20:Z20"/>
    <mergeCell ref="AA20:AB20"/>
    <mergeCell ref="AC20:AD20"/>
    <mergeCell ref="AE20:AF20"/>
    <mergeCell ref="AG20:AH20"/>
    <mergeCell ref="K20:L20"/>
    <mergeCell ref="M20:N20"/>
    <mergeCell ref="O20:P20"/>
    <mergeCell ref="Q20:R20"/>
    <mergeCell ref="S20:T20"/>
    <mergeCell ref="U20:V20"/>
    <mergeCell ref="O21:P21"/>
    <mergeCell ref="Q21:R21"/>
    <mergeCell ref="S21:T21"/>
    <mergeCell ref="U21:V21"/>
    <mergeCell ref="W21:X21"/>
    <mergeCell ref="Y21:Z21"/>
    <mergeCell ref="AU20:AV20"/>
    <mergeCell ref="BI20:BJ20"/>
    <mergeCell ref="BK20:BL20"/>
    <mergeCell ref="AM20:AN20"/>
    <mergeCell ref="AO20:AP20"/>
    <mergeCell ref="AQ20:AR20"/>
    <mergeCell ref="AS20:AT20"/>
    <mergeCell ref="AM21:AN21"/>
    <mergeCell ref="AO21:AP21"/>
    <mergeCell ref="AQ21:AR21"/>
    <mergeCell ref="AS21:AT21"/>
    <mergeCell ref="AU21:AV21"/>
    <mergeCell ref="AX21:BF22"/>
    <mergeCell ref="AA21:AB21"/>
    <mergeCell ref="AC21:AD21"/>
    <mergeCell ref="AE21:AF21"/>
    <mergeCell ref="AG21:AH21"/>
    <mergeCell ref="AI21:AJ21"/>
    <mergeCell ref="AK21:AL21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A23:B23"/>
    <mergeCell ref="C23:D23"/>
    <mergeCell ref="E23:F23"/>
    <mergeCell ref="G23:H23"/>
    <mergeCell ref="I23:J23"/>
    <mergeCell ref="K23:L23"/>
    <mergeCell ref="AK22:AL22"/>
    <mergeCell ref="AM22:AN22"/>
    <mergeCell ref="AO22:AP22"/>
    <mergeCell ref="M22:N22"/>
    <mergeCell ref="O22:P22"/>
    <mergeCell ref="Q22:R22"/>
    <mergeCell ref="S22:T22"/>
    <mergeCell ref="U22:V22"/>
    <mergeCell ref="W22:X22"/>
    <mergeCell ref="A22:B22"/>
    <mergeCell ref="C22:D22"/>
    <mergeCell ref="E22:F22"/>
    <mergeCell ref="G22:H22"/>
    <mergeCell ref="I22:J22"/>
    <mergeCell ref="K22:L22"/>
    <mergeCell ref="AC23:AD23"/>
    <mergeCell ref="AE23:AF23"/>
    <mergeCell ref="AG23:AH23"/>
    <mergeCell ref="AI23:AJ23"/>
    <mergeCell ref="M23:N23"/>
    <mergeCell ref="O23:P23"/>
    <mergeCell ref="Q23:R23"/>
    <mergeCell ref="S23:T23"/>
    <mergeCell ref="U23:V23"/>
    <mergeCell ref="W23:X23"/>
    <mergeCell ref="Q24:R24"/>
    <mergeCell ref="S24:T24"/>
    <mergeCell ref="U24:V24"/>
    <mergeCell ref="W24:X24"/>
    <mergeCell ref="Y24:Z24"/>
    <mergeCell ref="AA24:AB24"/>
    <mergeCell ref="AX23:BC23"/>
    <mergeCell ref="BD23:BF23"/>
    <mergeCell ref="A24:B24"/>
    <mergeCell ref="C24:D24"/>
    <mergeCell ref="E24:F24"/>
    <mergeCell ref="G24:H24"/>
    <mergeCell ref="I24:J24"/>
    <mergeCell ref="K24:L24"/>
    <mergeCell ref="M24:N24"/>
    <mergeCell ref="O24:P24"/>
    <mergeCell ref="AK23:AL23"/>
    <mergeCell ref="AM23:AN23"/>
    <mergeCell ref="AO23:AP23"/>
    <mergeCell ref="AQ23:AR23"/>
    <mergeCell ref="AS23:AT23"/>
    <mergeCell ref="AU23:AV23"/>
    <mergeCell ref="Y23:Z23"/>
    <mergeCell ref="AA23:AB23"/>
    <mergeCell ref="AO24:AP24"/>
    <mergeCell ref="AQ24:AR24"/>
    <mergeCell ref="AS24:AT24"/>
    <mergeCell ref="AU24:AV24"/>
    <mergeCell ref="AX24:BC24"/>
    <mergeCell ref="BD24:BF24"/>
    <mergeCell ref="AC24:AD24"/>
    <mergeCell ref="AE24:AF24"/>
    <mergeCell ref="AG24:AH24"/>
    <mergeCell ref="AI24:AJ24"/>
    <mergeCell ref="AK24:AL24"/>
    <mergeCell ref="AM24:AN24"/>
    <mergeCell ref="Q25:R25"/>
    <mergeCell ref="S25:T25"/>
    <mergeCell ref="U25:V25"/>
    <mergeCell ref="W25:X25"/>
    <mergeCell ref="A25:B25"/>
    <mergeCell ref="C25:D25"/>
    <mergeCell ref="E25:F25"/>
    <mergeCell ref="G25:H25"/>
    <mergeCell ref="I25:J25"/>
    <mergeCell ref="K25:L25"/>
    <mergeCell ref="AX25:BC25"/>
    <mergeCell ref="BD25:BF25"/>
    <mergeCell ref="A26:B26"/>
    <mergeCell ref="C26:D26"/>
    <mergeCell ref="E26:F26"/>
    <mergeCell ref="G26:H26"/>
    <mergeCell ref="I26:J26"/>
    <mergeCell ref="K26:L26"/>
    <mergeCell ref="M26:N26"/>
    <mergeCell ref="O26:P26"/>
    <mergeCell ref="AK25:AL25"/>
    <mergeCell ref="AM25:AN25"/>
    <mergeCell ref="AO25:AP25"/>
    <mergeCell ref="AQ25:AR25"/>
    <mergeCell ref="AS25:AT25"/>
    <mergeCell ref="AU25:AV25"/>
    <mergeCell ref="Y25:Z25"/>
    <mergeCell ref="AA25:AB25"/>
    <mergeCell ref="AC25:AD25"/>
    <mergeCell ref="AE25:AF25"/>
    <mergeCell ref="AG25:AH25"/>
    <mergeCell ref="AI25:AJ25"/>
    <mergeCell ref="M25:N25"/>
    <mergeCell ref="O25:P25"/>
    <mergeCell ref="AO26:AP26"/>
    <mergeCell ref="AQ26:AR26"/>
    <mergeCell ref="AS26:AT26"/>
    <mergeCell ref="AU26:AV26"/>
    <mergeCell ref="A27:B27"/>
    <mergeCell ref="C27:D27"/>
    <mergeCell ref="E27:F27"/>
    <mergeCell ref="G27:H27"/>
    <mergeCell ref="I27:J27"/>
    <mergeCell ref="K27:L27"/>
    <mergeCell ref="AC26:AD26"/>
    <mergeCell ref="AE26:AF26"/>
    <mergeCell ref="AG26:AH26"/>
    <mergeCell ref="AI26:AJ26"/>
    <mergeCell ref="AK26:AL26"/>
    <mergeCell ref="AM26:AN26"/>
    <mergeCell ref="Q26:R26"/>
    <mergeCell ref="S26:T26"/>
    <mergeCell ref="U26:V26"/>
    <mergeCell ref="W26:X26"/>
    <mergeCell ref="Y26:Z26"/>
    <mergeCell ref="AA26:AB26"/>
    <mergeCell ref="AC27:AD27"/>
    <mergeCell ref="AE27:AF27"/>
    <mergeCell ref="AG27:AH27"/>
    <mergeCell ref="AI27:AJ27"/>
    <mergeCell ref="M27:N27"/>
    <mergeCell ref="O27:P27"/>
    <mergeCell ref="Q27:R27"/>
    <mergeCell ref="S27:T27"/>
    <mergeCell ref="U27:V27"/>
    <mergeCell ref="W27:X27"/>
    <mergeCell ref="S28:T28"/>
    <mergeCell ref="U28:V28"/>
    <mergeCell ref="W28:X28"/>
    <mergeCell ref="Y28:Z28"/>
    <mergeCell ref="AA28:AB28"/>
    <mergeCell ref="AC28:AD28"/>
    <mergeCell ref="AE28:AF28"/>
    <mergeCell ref="AG28:AH28"/>
    <mergeCell ref="AI28:AJ28"/>
    <mergeCell ref="AX27:BL27"/>
    <mergeCell ref="A28:B28"/>
    <mergeCell ref="C28:D28"/>
    <mergeCell ref="E28:F28"/>
    <mergeCell ref="G28:H28"/>
    <mergeCell ref="I28:J28"/>
    <mergeCell ref="K28:L28"/>
    <mergeCell ref="M28:N28"/>
    <mergeCell ref="O28:P28"/>
    <mergeCell ref="Q28:R28"/>
    <mergeCell ref="AK27:AL27"/>
    <mergeCell ref="AM27:AN27"/>
    <mergeCell ref="AO27:AP27"/>
    <mergeCell ref="AQ27:AR27"/>
    <mergeCell ref="AS27:AT27"/>
    <mergeCell ref="AU27:AV27"/>
    <mergeCell ref="Y27:Z27"/>
    <mergeCell ref="AA27:AB27"/>
    <mergeCell ref="AQ28:AR28"/>
    <mergeCell ref="AS28:AT28"/>
    <mergeCell ref="AU28:AV28"/>
    <mergeCell ref="AX28:BB28"/>
    <mergeCell ref="BC28:BG28"/>
    <mergeCell ref="BH28:BL28"/>
    <mergeCell ref="AK28:AL28"/>
    <mergeCell ref="AM28:AN28"/>
    <mergeCell ref="AO28:AP28"/>
    <mergeCell ref="Q29:R29"/>
    <mergeCell ref="S29:T29"/>
    <mergeCell ref="U29:V29"/>
    <mergeCell ref="W29:X29"/>
    <mergeCell ref="A29:B29"/>
    <mergeCell ref="C29:D29"/>
    <mergeCell ref="E29:F29"/>
    <mergeCell ref="G29:H29"/>
    <mergeCell ref="I29:J29"/>
    <mergeCell ref="K29:L29"/>
    <mergeCell ref="AX29:BB29"/>
    <mergeCell ref="BC29:BG29"/>
    <mergeCell ref="BH29:BL29"/>
    <mergeCell ref="A30:D30"/>
    <mergeCell ref="E30:F30"/>
    <mergeCell ref="G30:H30"/>
    <mergeCell ref="I30:J30"/>
    <mergeCell ref="K30:L30"/>
    <mergeCell ref="M30:N30"/>
    <mergeCell ref="O30:P30"/>
    <mergeCell ref="AK29:AL29"/>
    <mergeCell ref="AM29:AN29"/>
    <mergeCell ref="AO29:AP29"/>
    <mergeCell ref="AQ29:AR29"/>
    <mergeCell ref="AS29:AT29"/>
    <mergeCell ref="AU29:AV29"/>
    <mergeCell ref="Y29:Z29"/>
    <mergeCell ref="AA29:AB29"/>
    <mergeCell ref="AC29:AD29"/>
    <mergeCell ref="AE29:AF29"/>
    <mergeCell ref="AG29:AH29"/>
    <mergeCell ref="AI29:AJ29"/>
    <mergeCell ref="M29:N29"/>
    <mergeCell ref="O29:P29"/>
    <mergeCell ref="AC30:AD30"/>
    <mergeCell ref="AE30:AF30"/>
    <mergeCell ref="AG30:AH30"/>
    <mergeCell ref="AI30:AJ30"/>
    <mergeCell ref="AK30:AL30"/>
    <mergeCell ref="AM30:AN30"/>
    <mergeCell ref="Q30:R30"/>
    <mergeCell ref="S30:T30"/>
    <mergeCell ref="U30:V30"/>
    <mergeCell ref="W30:X30"/>
    <mergeCell ref="Y30:Z30"/>
    <mergeCell ref="AA30:AB30"/>
    <mergeCell ref="BH30:BL30"/>
    <mergeCell ref="AX31:BB31"/>
    <mergeCell ref="BC31:BG31"/>
    <mergeCell ref="BH31:BL31"/>
    <mergeCell ref="AX32:BB32"/>
    <mergeCell ref="BC32:BG32"/>
    <mergeCell ref="BH32:BL32"/>
    <mergeCell ref="AO30:AP30"/>
    <mergeCell ref="AQ30:AR30"/>
    <mergeCell ref="AS30:AT30"/>
    <mergeCell ref="AU30:AV30"/>
    <mergeCell ref="AX30:BB30"/>
    <mergeCell ref="BC30:BG30"/>
    <mergeCell ref="BH33:BL33"/>
    <mergeCell ref="B34:AD34"/>
    <mergeCell ref="AF34:AO34"/>
    <mergeCell ref="AP34:AS34"/>
    <mergeCell ref="AT34:AV34"/>
    <mergeCell ref="B35:AD35"/>
    <mergeCell ref="AF35:AO35"/>
    <mergeCell ref="AP35:AS35"/>
    <mergeCell ref="AT35:AV35"/>
    <mergeCell ref="B33:AD33"/>
    <mergeCell ref="AF33:AO33"/>
    <mergeCell ref="AR33:AS33"/>
    <mergeCell ref="AU33:AV33"/>
    <mergeCell ref="AX33:BB33"/>
    <mergeCell ref="BC33:BG33"/>
    <mergeCell ref="B38:AD38"/>
    <mergeCell ref="AP38:AV38"/>
    <mergeCell ref="B39:AD39"/>
    <mergeCell ref="AF39:AO39"/>
    <mergeCell ref="AP39:AS39"/>
    <mergeCell ref="AT39:AV39"/>
    <mergeCell ref="B36:AD36"/>
    <mergeCell ref="AF36:AO36"/>
    <mergeCell ref="AP36:AV36"/>
    <mergeCell ref="B37:AD37"/>
    <mergeCell ref="AF37:AO37"/>
    <mergeCell ref="AP37:AS37"/>
    <mergeCell ref="AT37:AV37"/>
    <mergeCell ref="B40:AD40"/>
    <mergeCell ref="AF40:AO40"/>
    <mergeCell ref="AP40:AS40"/>
    <mergeCell ref="AT40:AV40"/>
    <mergeCell ref="B41:AD41"/>
    <mergeCell ref="A42:D42"/>
    <mergeCell ref="E42:K42"/>
    <mergeCell ref="AD42:AH42"/>
    <mergeCell ref="AI42:AV42"/>
  </mergeCells>
  <conditionalFormatting sqref="AB13:AF13 H13:J14 B13:D14 F9:P9 F7:P7 AL7:AV7 AL9:AV9 E42:K42 AI42:AV42 BE9:BF10 AR33:AS33 AU33:AV33 AP34:AS34 AP38:AV38">
    <cfRule type="containsBlanks" dxfId="244" priority="10">
      <formula>LEN(TRIM(B7))=0</formula>
    </cfRule>
  </conditionalFormatting>
  <conditionalFormatting sqref="E20:AR29">
    <cfRule type="notContainsBlanks" dxfId="243" priority="9">
      <formula>LEN(TRIM(E20))&gt;0</formula>
    </cfRule>
  </conditionalFormatting>
  <conditionalFormatting sqref="BD17:BF19 BD23:BF25 H13:H14 N13 T13 AJ13 AR13">
    <cfRule type="containsText" dxfId="242" priority="8" operator="containsText" text="CALC.">
      <formula>NOT(ISERROR(SEARCH("CALC.",H13)))</formula>
    </cfRule>
  </conditionalFormatting>
  <conditionalFormatting sqref="AX13:BG13">
    <cfRule type="notContainsBlanks" dxfId="241" priority="7">
      <formula>LEN(TRIM(AX13))&gt;0</formula>
    </cfRule>
  </conditionalFormatting>
  <conditionalFormatting sqref="AS20:AV29">
    <cfRule type="notContainsBlanks" dxfId="240" priority="6">
      <formula>LEN(TRIM(AS20))&gt;0</formula>
    </cfRule>
  </conditionalFormatting>
  <conditionalFormatting sqref="E20:F29 I20:J29 M20:N29 Q20:R29 U20:V29 Y20:Z29 AC20:AD29 AG20:AH29 AK20:AL29 AO20:AP29 AS20:AT29">
    <cfRule type="expression" dxfId="239" priority="5">
      <formula>AND(($C20&lt;&gt;""),(E$18&lt;&gt;""))</formula>
    </cfRule>
  </conditionalFormatting>
  <conditionalFormatting sqref="U16:W16">
    <cfRule type="containsBlanks" dxfId="238" priority="4">
      <formula>LEN(TRIM(U16))=0</formula>
    </cfRule>
  </conditionalFormatting>
  <conditionalFormatting sqref="M16">
    <cfRule type="containsBlanks" dxfId="237" priority="3">
      <formula>LEN(TRIM(M16))=0</formula>
    </cfRule>
  </conditionalFormatting>
  <conditionalFormatting sqref="U16:X16">
    <cfRule type="expression" dxfId="236" priority="2">
      <formula>$M$16="FIXED SPEED"</formula>
    </cfRule>
  </conditionalFormatting>
  <conditionalFormatting sqref="Z5">
    <cfRule type="containsBlanks" dxfId="235" priority="1">
      <formula>LEN(TRIM(Z5))=0</formula>
    </cfRule>
  </conditionalFormatting>
  <dataValidations count="8">
    <dataValidation type="list" allowBlank="1" showInputMessage="1" showErrorMessage="1" sqref="M16" xr:uid="{31A43417-BDBE-4DB7-94DB-01EDF53F4DDE}">
      <formula1>"VFD SETTING, ECM SETTING, FIXED SPEED"</formula1>
    </dataValidation>
    <dataValidation type="list" allowBlank="1" showInputMessage="1" showErrorMessage="1" sqref="W16:X16" xr:uid="{93F622E5-D00F-4243-9A7F-F9947F4F8CC6}">
      <formula1>"Hz, %"</formula1>
    </dataValidation>
    <dataValidation type="whole" allowBlank="1" showInputMessage="1" showErrorMessage="1" error="This Remarks section is limited to 7." sqref="A33:A41" xr:uid="{D3960975-E40F-4F29-AFB8-D2FF068C67D5}">
      <formula1>1</formula1>
      <formula2>7</formula2>
    </dataValidation>
    <dataValidation type="decimal" operator="lessThanOrEqual" allowBlank="1" showInputMessage="1" showErrorMessage="1" errorTitle="Size Limit" error="Duct size exceeds sheet limit of 66&quot;. Contact Robert!" sqref="B13:D13" xr:uid="{EE6D1D8F-2C98-4CB7-AB90-09294B6E0B42}">
      <formula1>66</formula1>
    </dataValidation>
    <dataValidation allowBlank="1" showInputMessage="1" sqref="AL15:AV15" xr:uid="{5BAB1D2E-D20B-4EC9-849B-6586F30D4134}"/>
    <dataValidation type="list" allowBlank="1" showInputMessage="1" sqref="AP38:AV38" xr:uid="{281E0267-802D-4C9B-8151-2E99CA28167D}">
      <formula1>"N/A"</formula1>
    </dataValidation>
    <dataValidation type="decimal" operator="lessThanOrEqual" allowBlank="1" showInputMessage="1" showErrorMessage="1" error="Duct height exceeds the number of height position points (10) available on this sheet." sqref="H13:J13" xr:uid="{91EF2F4C-FBD8-48EF-B54F-A524D35D58D6}">
      <formula1>120</formula1>
    </dataValidation>
    <dataValidation type="decimal" operator="lessThanOrEqual" allowBlank="1" showInputMessage="1" showErrorMessage="1" errorTitle="Size Limit" error="Duct size exceeds sheet limit of 60&quot;. Contact Robert!" sqref="B14:D14" xr:uid="{1E9147DD-42FA-47FE-B69C-F1D918DFA355}">
      <formula1>60</formula1>
    </dataValidation>
  </dataValidations>
  <printOptions horizontalCentered="1"/>
  <pageMargins left="0.5" right="0.5" top="0.75" bottom="0.25" header="0" footer="0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5967A-E706-42CC-9D84-39C64F8BC82F}">
  <sheetPr codeName="Sheet26">
    <pageSetUpPr fitToPage="1"/>
  </sheetPr>
  <dimension ref="A1:DG55"/>
  <sheetViews>
    <sheetView zoomScaleNormal="100" workbookViewId="0">
      <selection sqref="A1:C1"/>
    </sheetView>
  </sheetViews>
  <sheetFormatPr defaultColWidth="0" defaultRowHeight="14.45" customHeight="1" zeroHeight="1" x14ac:dyDescent="0.25"/>
  <cols>
    <col min="1" max="48" width="2.7109375" style="12" customWidth="1"/>
    <col min="49" max="84" width="2.7109375" customWidth="1"/>
    <col min="85" max="111" width="2.7109375" hidden="1" customWidth="1"/>
    <col min="112" max="16384" width="9.140625" hidden="1"/>
  </cols>
  <sheetData>
    <row r="1" spans="1:84" ht="12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645" t="s">
        <v>159</v>
      </c>
      <c r="AX1" s="645"/>
      <c r="AY1" s="645"/>
      <c r="AZ1" s="645"/>
      <c r="BA1" s="645"/>
      <c r="BB1" s="645"/>
      <c r="BC1" s="645"/>
      <c r="BD1" s="645"/>
      <c r="BE1" s="645"/>
      <c r="BF1" s="645"/>
      <c r="BG1" s="645"/>
      <c r="BH1" s="645"/>
      <c r="BI1" s="645"/>
      <c r="BJ1" s="645"/>
      <c r="BK1" s="645"/>
      <c r="BL1" s="645"/>
      <c r="BM1" s="645"/>
      <c r="BN1" s="645"/>
      <c r="BO1" s="645"/>
      <c r="BP1" s="645"/>
      <c r="BQ1" s="645"/>
      <c r="BR1" s="645"/>
      <c r="BS1" s="645"/>
      <c r="BT1" s="645"/>
      <c r="BU1" s="645"/>
      <c r="BV1" s="645"/>
      <c r="BW1" s="645"/>
      <c r="BX1" s="645"/>
      <c r="BY1" s="645"/>
      <c r="BZ1" s="645"/>
      <c r="CA1" s="645"/>
      <c r="CB1" s="645"/>
      <c r="CC1" s="645"/>
      <c r="CD1" s="645"/>
      <c r="CE1" s="645"/>
      <c r="CF1" s="645"/>
    </row>
    <row r="2" spans="1:84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</row>
    <row r="3" spans="1:84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</row>
    <row r="4" spans="1:84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</row>
    <row r="5" spans="1:84" ht="12.6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847"/>
      <c r="AA5" s="847"/>
      <c r="AB5" s="847"/>
      <c r="AC5" s="847"/>
      <c r="AD5" s="847"/>
      <c r="AE5" s="847"/>
      <c r="AF5" s="847"/>
      <c r="AG5" s="847"/>
      <c r="AH5" s="847"/>
      <c r="AI5" s="847"/>
      <c r="AJ5" s="847"/>
      <c r="AK5" s="847"/>
      <c r="AL5" s="847"/>
      <c r="AM5" s="847"/>
      <c r="AN5" s="847"/>
      <c r="AO5" s="847"/>
      <c r="AP5" s="847"/>
      <c r="AQ5" s="847"/>
      <c r="AR5" s="847"/>
      <c r="AS5" s="847"/>
      <c r="AT5" s="847"/>
      <c r="AU5" s="847"/>
      <c r="AV5" s="84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</row>
    <row r="6" spans="1:84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</row>
    <row r="7" spans="1:84" ht="12" customHeight="1" thickBot="1" x14ac:dyDescent="0.3">
      <c r="A7" s="526" t="s">
        <v>161</v>
      </c>
      <c r="B7" s="526"/>
      <c r="C7" s="526"/>
      <c r="D7" s="526"/>
      <c r="E7" s="526"/>
      <c r="F7" s="527"/>
      <c r="G7" s="527"/>
      <c r="H7" s="527"/>
      <c r="I7" s="527"/>
      <c r="J7" s="527"/>
      <c r="K7" s="527"/>
      <c r="L7" s="527"/>
      <c r="M7" s="527"/>
      <c r="N7" s="527"/>
      <c r="O7" s="527"/>
      <c r="P7" s="527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26" t="s">
        <v>162</v>
      </c>
      <c r="AH7" s="526"/>
      <c r="AI7" s="526"/>
      <c r="AJ7" s="526"/>
      <c r="AK7" s="526"/>
      <c r="AL7" s="527"/>
      <c r="AM7" s="527"/>
      <c r="AN7" s="527"/>
      <c r="AO7" s="527"/>
      <c r="AP7" s="527"/>
      <c r="AQ7" s="527"/>
      <c r="AR7" s="527"/>
      <c r="AS7" s="527"/>
      <c r="AT7" s="527"/>
      <c r="AU7" s="527"/>
      <c r="AV7" s="52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</row>
    <row r="8" spans="1:84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107"/>
      <c r="AX8" s="108"/>
      <c r="AY8" s="678" t="s">
        <v>297</v>
      </c>
      <c r="AZ8" s="679"/>
      <c r="BA8" s="679"/>
      <c r="BB8" s="679"/>
      <c r="BC8" s="679"/>
      <c r="BD8" s="679"/>
      <c r="BE8" s="679"/>
      <c r="BF8" s="680"/>
      <c r="BG8" s="109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  <c r="BT8" s="107"/>
      <c r="BU8" s="107"/>
      <c r="BV8" s="107"/>
      <c r="BW8" s="107"/>
      <c r="BX8" s="107"/>
      <c r="BY8" s="107"/>
      <c r="BZ8" s="107"/>
      <c r="CA8" s="107"/>
      <c r="CB8" s="107"/>
      <c r="CC8" s="107"/>
      <c r="CD8" s="107"/>
      <c r="CE8" s="107"/>
      <c r="CF8" s="107"/>
    </row>
    <row r="9" spans="1:84" ht="12" customHeight="1" thickTop="1" x14ac:dyDescent="0.25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526" t="s">
        <v>164</v>
      </c>
      <c r="AH9" s="526"/>
      <c r="AI9" s="526"/>
      <c r="AJ9" s="526"/>
      <c r="AK9" s="526"/>
      <c r="AL9" s="527"/>
      <c r="AM9" s="527"/>
      <c r="AN9" s="527"/>
      <c r="AO9" s="527"/>
      <c r="AP9" s="527"/>
      <c r="AQ9" s="527"/>
      <c r="AR9" s="527"/>
      <c r="AS9" s="527"/>
      <c r="AT9" s="527"/>
      <c r="AU9" s="527"/>
      <c r="AV9" s="527"/>
      <c r="AW9" s="107"/>
      <c r="AX9" s="110"/>
      <c r="AY9" s="684" t="s">
        <v>298</v>
      </c>
      <c r="AZ9" s="684"/>
      <c r="BA9" s="684"/>
      <c r="BB9" s="684"/>
      <c r="BC9" s="684"/>
      <c r="BD9" s="684"/>
      <c r="BE9" s="685"/>
      <c r="BF9" s="686"/>
      <c r="BG9" s="111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</row>
    <row r="10" spans="1:84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107"/>
      <c r="AX10" s="110"/>
      <c r="AY10" s="669" t="s">
        <v>300</v>
      </c>
      <c r="AZ10" s="669"/>
      <c r="BA10" s="669"/>
      <c r="BB10" s="669"/>
      <c r="BC10" s="669"/>
      <c r="BD10" s="669"/>
      <c r="BE10" s="670"/>
      <c r="BF10" s="671"/>
      <c r="BG10" s="112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</row>
    <row r="11" spans="1:84" ht="12" customHeight="1" thickBot="1" x14ac:dyDescent="0.3">
      <c r="A11" s="314" t="s">
        <v>311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5"/>
      <c r="AJ11" s="315"/>
      <c r="AK11" s="315"/>
      <c r="AL11" s="315"/>
      <c r="AM11" s="315"/>
      <c r="AN11" s="315"/>
      <c r="AO11" s="315"/>
      <c r="AP11" s="315"/>
      <c r="AQ11" s="315"/>
      <c r="AR11" s="315"/>
      <c r="AS11" s="315"/>
      <c r="AT11" s="315"/>
      <c r="AU11" s="315"/>
      <c r="AV11" s="316"/>
      <c r="AW11" s="107"/>
      <c r="AX11" s="113"/>
      <c r="AY11" s="114"/>
      <c r="AZ11" s="114"/>
      <c r="BA11" s="114"/>
      <c r="BB11" s="114"/>
      <c r="BC11" s="114"/>
      <c r="BD11" s="114"/>
      <c r="BE11" s="114"/>
      <c r="BF11" s="114"/>
      <c r="BG11" s="115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</row>
    <row r="12" spans="1:84" ht="12.6" customHeight="1" thickTop="1" thickBot="1" x14ac:dyDescent="0.3">
      <c r="A12" s="752" t="s">
        <v>312</v>
      </c>
      <c r="B12" s="753"/>
      <c r="C12" s="753"/>
      <c r="D12" s="753"/>
      <c r="E12" s="753"/>
      <c r="F12" s="753"/>
      <c r="G12" s="753"/>
      <c r="H12" s="753"/>
      <c r="I12" s="753"/>
      <c r="J12" s="753"/>
      <c r="K12" s="753"/>
      <c r="L12" s="753"/>
      <c r="M12" s="753"/>
      <c r="N12" s="753"/>
      <c r="O12" s="753"/>
      <c r="P12" s="753"/>
      <c r="Q12" s="753" t="s">
        <v>313</v>
      </c>
      <c r="R12" s="753"/>
      <c r="S12" s="753"/>
      <c r="T12" s="753"/>
      <c r="U12" s="753"/>
      <c r="V12" s="753"/>
      <c r="W12" s="753"/>
      <c r="X12" s="753"/>
      <c r="Y12" s="753"/>
      <c r="Z12" s="753"/>
      <c r="AA12" s="753"/>
      <c r="AB12" s="753"/>
      <c r="AC12" s="753"/>
      <c r="AD12" s="753"/>
      <c r="AE12" s="753"/>
      <c r="AF12" s="753"/>
      <c r="AG12" s="753" t="s">
        <v>314</v>
      </c>
      <c r="AH12" s="753"/>
      <c r="AI12" s="753"/>
      <c r="AJ12" s="753"/>
      <c r="AK12" s="753"/>
      <c r="AL12" s="753"/>
      <c r="AM12" s="753"/>
      <c r="AN12" s="753"/>
      <c r="AO12" s="753"/>
      <c r="AP12" s="753"/>
      <c r="AQ12" s="753"/>
      <c r="AR12" s="753"/>
      <c r="AS12" s="753"/>
      <c r="AT12" s="753"/>
      <c r="AU12" s="753"/>
      <c r="AV12" s="779"/>
      <c r="AW12" s="107"/>
      <c r="AX12" s="780" t="s">
        <v>309</v>
      </c>
      <c r="AY12" s="781"/>
      <c r="AZ12" s="781"/>
      <c r="BA12" s="781"/>
      <c r="BB12" s="781"/>
      <c r="BC12" s="781"/>
      <c r="BD12" s="781"/>
      <c r="BE12" s="781"/>
      <c r="BF12" s="781"/>
      <c r="BG12" s="782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  <c r="BT12" s="107"/>
      <c r="BU12" s="107"/>
      <c r="BV12" s="107"/>
      <c r="BW12" s="107"/>
      <c r="BX12" s="107"/>
      <c r="BY12" s="107"/>
      <c r="BZ12" s="107"/>
      <c r="CA12" s="107"/>
      <c r="CB12" s="107"/>
      <c r="CC12" s="107"/>
      <c r="CD12" s="107"/>
      <c r="CE12" s="107"/>
      <c r="CF12" s="107"/>
    </row>
    <row r="13" spans="1:84" ht="12" customHeight="1" thickTop="1" thickBot="1" x14ac:dyDescent="0.3">
      <c r="A13" s="878" t="s">
        <v>315</v>
      </c>
      <c r="B13" s="879"/>
      <c r="C13" s="560"/>
      <c r="D13" s="560"/>
      <c r="E13" s="880" t="s">
        <v>358</v>
      </c>
      <c r="F13" s="880"/>
      <c r="G13" s="880"/>
      <c r="H13" s="881"/>
      <c r="I13" s="773" t="s">
        <v>318</v>
      </c>
      <c r="J13" s="427"/>
      <c r="K13" s="427"/>
      <c r="L13" s="777">
        <f>IFERROR(C13*C13*3.14/144/4,"")</f>
        <v>0</v>
      </c>
      <c r="M13" s="777"/>
      <c r="N13" s="777"/>
      <c r="O13" s="777"/>
      <c r="P13" s="778"/>
      <c r="Q13" s="773" t="s">
        <v>319</v>
      </c>
      <c r="R13" s="427"/>
      <c r="S13" s="427"/>
      <c r="T13" s="771" t="str">
        <f>IFERROR(AB13/L13,"")</f>
        <v/>
      </c>
      <c r="U13" s="771"/>
      <c r="V13" s="771"/>
      <c r="W13" s="771"/>
      <c r="X13" s="772"/>
      <c r="Y13" s="773" t="s">
        <v>56</v>
      </c>
      <c r="Z13" s="427"/>
      <c r="AA13" s="427"/>
      <c r="AB13" s="774"/>
      <c r="AC13" s="774"/>
      <c r="AD13" s="774"/>
      <c r="AE13" s="774"/>
      <c r="AF13" s="775"/>
      <c r="AG13" s="773" t="s">
        <v>319</v>
      </c>
      <c r="AH13" s="427"/>
      <c r="AI13" s="427"/>
      <c r="AJ13" s="771" t="str">
        <f>AP37</f>
        <v/>
      </c>
      <c r="AK13" s="771"/>
      <c r="AL13" s="771"/>
      <c r="AM13" s="771"/>
      <c r="AN13" s="772"/>
      <c r="AO13" s="773" t="s">
        <v>56</v>
      </c>
      <c r="AP13" s="427"/>
      <c r="AQ13" s="427"/>
      <c r="AR13" s="771" t="str">
        <f>AP40</f>
        <v/>
      </c>
      <c r="AS13" s="771"/>
      <c r="AT13" s="771"/>
      <c r="AU13" s="771"/>
      <c r="AV13" s="783"/>
      <c r="AW13" s="107"/>
      <c r="AX13" s="626" t="str">
        <f>IF(AR13="CALC.","",IF(AR13="","",IF(AR13&lt;AB13-(AB13*$BE$10),"Below "&amp;$BE$10*100&amp;"% by "&amp;ROUND(AB13-(AB13*$BE$10)-AR13,0)&amp;" CFM",IF(AR13&gt;AB13+(AB13*$BE$9),"Above "&amp;$BE$9*100&amp;"% by "&amp;ROUND(AR13-AB13-(AB13*$BE$9),0)&amp;" CFM",""))))</f>
        <v/>
      </c>
      <c r="AY13" s="627"/>
      <c r="AZ13" s="627"/>
      <c r="BA13" s="627"/>
      <c r="BB13" s="627"/>
      <c r="BC13" s="627"/>
      <c r="BD13" s="627"/>
      <c r="BE13" s="627"/>
      <c r="BF13" s="627"/>
      <c r="BG13" s="628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  <c r="CE13" s="107"/>
      <c r="CF13" s="107"/>
    </row>
    <row r="14" spans="1:84" ht="12" customHeight="1" thickBot="1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/>
      <c r="CA14" s="107"/>
      <c r="CB14" s="107"/>
      <c r="CC14" s="107"/>
      <c r="CD14" s="107"/>
      <c r="CE14" s="107"/>
      <c r="CF14" s="107"/>
    </row>
    <row r="15" spans="1:84" s="120" customFormat="1" ht="12" customHeight="1" thickBot="1" x14ac:dyDescent="0.3">
      <c r="A15" s="875" t="s">
        <v>324</v>
      </c>
      <c r="B15" s="876"/>
      <c r="C15" s="876"/>
      <c r="D15" s="876"/>
      <c r="E15" s="876"/>
      <c r="F15" s="876"/>
      <c r="G15" s="876"/>
      <c r="H15" s="876"/>
      <c r="I15" s="876"/>
      <c r="J15" s="876"/>
      <c r="K15" s="876"/>
      <c r="L15" s="876"/>
      <c r="M15" s="876"/>
      <c r="N15" s="876"/>
      <c r="O15" s="876"/>
      <c r="P15" s="876"/>
      <c r="Q15" s="876"/>
      <c r="R15" s="877"/>
      <c r="S15" s="42"/>
      <c r="T15" s="338" t="s">
        <v>320</v>
      </c>
      <c r="U15" s="339"/>
      <c r="V15" s="339"/>
      <c r="W15" s="339"/>
      <c r="X15" s="339"/>
      <c r="Y15" s="339"/>
      <c r="Z15" s="339"/>
      <c r="AA15" s="339"/>
      <c r="AB15" s="339"/>
      <c r="AC15" s="339"/>
      <c r="AD15" s="339"/>
      <c r="AE15" s="340"/>
      <c r="AF15" s="42"/>
      <c r="AG15" s="314" t="s">
        <v>321</v>
      </c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  <c r="AS15" s="315"/>
      <c r="AT15" s="315"/>
      <c r="AU15" s="315"/>
      <c r="AV15" s="316"/>
      <c r="AW15" s="44"/>
      <c r="AX15" s="471" t="s">
        <v>160</v>
      </c>
      <c r="AY15" s="472"/>
      <c r="AZ15" s="472"/>
      <c r="BA15" s="472"/>
      <c r="BB15" s="472"/>
      <c r="BC15" s="472"/>
      <c r="BD15" s="472"/>
      <c r="BE15" s="472"/>
      <c r="BF15" s="472"/>
      <c r="BG15" s="472"/>
      <c r="BH15" s="472"/>
      <c r="BI15" s="472"/>
      <c r="BJ15" s="472"/>
      <c r="BK15" s="472"/>
      <c r="BL15" s="473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</row>
    <row r="16" spans="1:84" ht="12.6" customHeight="1" thickTop="1" thickBot="1" x14ac:dyDescent="0.3">
      <c r="A16" s="730" t="s">
        <v>334</v>
      </c>
      <c r="B16" s="731"/>
      <c r="C16" s="731"/>
      <c r="D16" s="731"/>
      <c r="E16" s="731"/>
      <c r="F16" s="731"/>
      <c r="G16" s="762" t="s">
        <v>359</v>
      </c>
      <c r="H16" s="762"/>
      <c r="I16" s="762"/>
      <c r="J16" s="762"/>
      <c r="K16" s="762"/>
      <c r="L16" s="873"/>
      <c r="M16" s="763" t="s">
        <v>360</v>
      </c>
      <c r="N16" s="762"/>
      <c r="O16" s="762"/>
      <c r="P16" s="762"/>
      <c r="Q16" s="762"/>
      <c r="R16" s="764"/>
      <c r="S16" s="42"/>
      <c r="T16" s="765"/>
      <c r="U16" s="766"/>
      <c r="V16" s="766"/>
      <c r="W16" s="766"/>
      <c r="X16" s="766"/>
      <c r="Y16" s="766"/>
      <c r="Z16" s="766"/>
      <c r="AA16" s="766"/>
      <c r="AB16" s="356"/>
      <c r="AC16" s="357"/>
      <c r="AD16" s="322"/>
      <c r="AE16" s="323"/>
      <c r="AF16" s="42"/>
      <c r="AG16" s="767" t="s">
        <v>322</v>
      </c>
      <c r="AH16" s="768"/>
      <c r="AI16" s="768"/>
      <c r="AJ16" s="768"/>
      <c r="AK16" s="768"/>
      <c r="AL16" s="769" t="s">
        <v>347</v>
      </c>
      <c r="AM16" s="769"/>
      <c r="AN16" s="769"/>
      <c r="AO16" s="769"/>
      <c r="AP16" s="769"/>
      <c r="AQ16" s="769"/>
      <c r="AR16" s="769"/>
      <c r="AS16" s="769"/>
      <c r="AT16" s="769"/>
      <c r="AU16" s="769"/>
      <c r="AV16" s="770"/>
      <c r="AW16" s="107"/>
      <c r="AX16" s="324"/>
      <c r="AY16" s="547"/>
      <c r="AZ16" s="547"/>
      <c r="BA16" s="547"/>
      <c r="BB16" s="325"/>
      <c r="BC16" s="548"/>
      <c r="BD16" s="547"/>
      <c r="BE16" s="547"/>
      <c r="BF16" s="547"/>
      <c r="BG16" s="325"/>
      <c r="BH16" s="548"/>
      <c r="BI16" s="547"/>
      <c r="BJ16" s="547"/>
      <c r="BK16" s="547"/>
      <c r="BL16" s="549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7"/>
      <c r="CC16" s="107"/>
      <c r="CD16" s="107"/>
      <c r="CE16" s="107"/>
      <c r="CF16" s="107"/>
    </row>
    <row r="17" spans="1:84" ht="12" customHeight="1" thickBot="1" x14ac:dyDescent="0.3">
      <c r="A17" s="726" t="s">
        <v>306</v>
      </c>
      <c r="B17" s="392"/>
      <c r="C17" s="392"/>
      <c r="D17" s="392" t="s">
        <v>327</v>
      </c>
      <c r="E17" s="392"/>
      <c r="F17" s="392"/>
      <c r="G17" s="871" t="s">
        <v>348</v>
      </c>
      <c r="H17" s="871"/>
      <c r="I17" s="871"/>
      <c r="J17" s="872" t="s">
        <v>349</v>
      </c>
      <c r="K17" s="871"/>
      <c r="L17" s="871"/>
      <c r="M17" s="872" t="s">
        <v>348</v>
      </c>
      <c r="N17" s="871"/>
      <c r="O17" s="871"/>
      <c r="P17" s="872" t="s">
        <v>349</v>
      </c>
      <c r="Q17" s="871"/>
      <c r="R17" s="874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107"/>
      <c r="AX17" s="521"/>
      <c r="AY17" s="522"/>
      <c r="AZ17" s="522"/>
      <c r="BA17" s="522"/>
      <c r="BB17" s="523"/>
      <c r="BC17" s="524"/>
      <c r="BD17" s="522"/>
      <c r="BE17" s="522"/>
      <c r="BF17" s="522"/>
      <c r="BG17" s="523"/>
      <c r="BH17" s="524"/>
      <c r="BI17" s="522"/>
      <c r="BJ17" s="522"/>
      <c r="BK17" s="522"/>
      <c r="BL17" s="525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107"/>
      <c r="CA17" s="107"/>
      <c r="CB17" s="107"/>
      <c r="CC17" s="107"/>
      <c r="CD17" s="107"/>
      <c r="CE17" s="107"/>
      <c r="CF17" s="107"/>
    </row>
    <row r="18" spans="1:84" ht="12.6" customHeight="1" thickTop="1" x14ac:dyDescent="0.25">
      <c r="A18" s="868">
        <v>1</v>
      </c>
      <c r="B18" s="869"/>
      <c r="C18" s="869"/>
      <c r="D18" s="870">
        <f>IF($C$13&lt;=5,$C$13/2,IF(AND($C$13&gt;=6,$C$13&lt;=9),($C$13/6)/2,IF(AND($C$13&gt;=10,$C$13&lt;=12),($C$13/8)/2,IF($C$13&gt;12,($C$13/10)/2,""))))</f>
        <v>0</v>
      </c>
      <c r="E18" s="870"/>
      <c r="F18" s="870"/>
      <c r="G18" s="796"/>
      <c r="H18" s="794"/>
      <c r="I18" s="794"/>
      <c r="J18" s="866" t="str">
        <f>IF(G18="","",IF(C13&lt;=5,(SQRT(G18)*4005)*0.9,SQRT(G18)*4005))</f>
        <v/>
      </c>
      <c r="K18" s="795"/>
      <c r="L18" s="795"/>
      <c r="M18" s="796"/>
      <c r="N18" s="794"/>
      <c r="O18" s="794"/>
      <c r="P18" s="866" t="str">
        <f>IF(M18="","",IF(C13&lt;=5,(SQRT(M18)*4005)*0.9,SQRT(M18)*4005))</f>
        <v/>
      </c>
      <c r="Q18" s="795"/>
      <c r="R18" s="797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107"/>
      <c r="AX18" s="521"/>
      <c r="AY18" s="522"/>
      <c r="AZ18" s="522"/>
      <c r="BA18" s="522"/>
      <c r="BB18" s="523"/>
      <c r="BC18" s="524"/>
      <c r="BD18" s="522"/>
      <c r="BE18" s="522"/>
      <c r="BF18" s="522"/>
      <c r="BG18" s="523"/>
      <c r="BH18" s="524"/>
      <c r="BI18" s="522"/>
      <c r="BJ18" s="522"/>
      <c r="BK18" s="522"/>
      <c r="BL18" s="525"/>
      <c r="BM18" s="107"/>
      <c r="BN18" s="107"/>
      <c r="BO18" s="107"/>
      <c r="BP18" s="107"/>
      <c r="BQ18" s="107"/>
      <c r="BR18" s="107"/>
      <c r="BS18" s="107"/>
      <c r="BT18" s="107"/>
      <c r="BU18" s="107"/>
      <c r="BV18" s="107"/>
      <c r="BW18" s="107"/>
      <c r="BX18" s="107"/>
      <c r="BY18" s="107"/>
      <c r="BZ18" s="107"/>
      <c r="CA18" s="107"/>
      <c r="CB18" s="107"/>
      <c r="CC18" s="107"/>
      <c r="CD18" s="107"/>
      <c r="CE18" s="107"/>
      <c r="CF18" s="107"/>
    </row>
    <row r="19" spans="1:84" ht="12" customHeight="1" x14ac:dyDescent="0.25">
      <c r="A19" s="730">
        <v>2</v>
      </c>
      <c r="B19" s="731"/>
      <c r="C19" s="731"/>
      <c r="D19" s="864">
        <f t="shared" ref="D19:D27" si="0">IF($C$13&lt;=5,$C$13/2,IF(AND($C$13&gt;=6,$C$13&lt;=9),($C$13/6)+D18,IF(AND($C$13&gt;=10,$C$13&lt;=12),($C$13/8)+D18,IF($C$13&gt;12,($C$13/10)+D18,""))))</f>
        <v>0</v>
      </c>
      <c r="E19" s="864"/>
      <c r="F19" s="864"/>
      <c r="G19" s="796"/>
      <c r="H19" s="794"/>
      <c r="I19" s="794"/>
      <c r="J19" s="866" t="str">
        <f t="shared" ref="J19:J27" si="1">IF(G19="","",SQRT(G19)*4005)</f>
        <v/>
      </c>
      <c r="K19" s="795"/>
      <c r="L19" s="795"/>
      <c r="M19" s="796"/>
      <c r="N19" s="794"/>
      <c r="O19" s="794"/>
      <c r="P19" s="866" t="str">
        <f t="shared" ref="P19:P27" si="2">IF(M19="","",SQRT(M19)*4005)</f>
        <v/>
      </c>
      <c r="Q19" s="795"/>
      <c r="R19" s="797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107"/>
      <c r="AX19" s="521"/>
      <c r="AY19" s="522"/>
      <c r="AZ19" s="522"/>
      <c r="BA19" s="522"/>
      <c r="BB19" s="523"/>
      <c r="BC19" s="524"/>
      <c r="BD19" s="522"/>
      <c r="BE19" s="522"/>
      <c r="BF19" s="522"/>
      <c r="BG19" s="523"/>
      <c r="BH19" s="524"/>
      <c r="BI19" s="522"/>
      <c r="BJ19" s="522"/>
      <c r="BK19" s="522"/>
      <c r="BL19" s="525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7"/>
      <c r="CC19" s="107"/>
      <c r="CD19" s="107"/>
      <c r="CE19" s="107"/>
      <c r="CF19" s="107"/>
    </row>
    <row r="20" spans="1:84" ht="12" customHeight="1" x14ac:dyDescent="0.25">
      <c r="A20" s="730">
        <v>3</v>
      </c>
      <c r="B20" s="731"/>
      <c r="C20" s="731"/>
      <c r="D20" s="864">
        <f t="shared" si="0"/>
        <v>0</v>
      </c>
      <c r="E20" s="864"/>
      <c r="F20" s="864"/>
      <c r="G20" s="796"/>
      <c r="H20" s="794"/>
      <c r="I20" s="794"/>
      <c r="J20" s="866" t="str">
        <f t="shared" si="1"/>
        <v/>
      </c>
      <c r="K20" s="795"/>
      <c r="L20" s="795"/>
      <c r="M20" s="796"/>
      <c r="N20" s="794"/>
      <c r="O20" s="794"/>
      <c r="P20" s="866" t="str">
        <f t="shared" si="2"/>
        <v/>
      </c>
      <c r="Q20" s="795"/>
      <c r="R20" s="797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107"/>
      <c r="AX20" s="521"/>
      <c r="AY20" s="522"/>
      <c r="AZ20" s="522"/>
      <c r="BA20" s="522"/>
      <c r="BB20" s="523"/>
      <c r="BC20" s="524"/>
      <c r="BD20" s="522"/>
      <c r="BE20" s="522"/>
      <c r="BF20" s="522"/>
      <c r="BG20" s="523"/>
      <c r="BH20" s="524"/>
      <c r="BI20" s="522"/>
      <c r="BJ20" s="522"/>
      <c r="BK20" s="522"/>
      <c r="BL20" s="525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7"/>
      <c r="CC20" s="107"/>
      <c r="CD20" s="107"/>
      <c r="CE20" s="107"/>
      <c r="CF20" s="107"/>
    </row>
    <row r="21" spans="1:84" ht="12" customHeight="1" thickBot="1" x14ac:dyDescent="0.3">
      <c r="A21" s="730">
        <v>4</v>
      </c>
      <c r="B21" s="731"/>
      <c r="C21" s="731"/>
      <c r="D21" s="864">
        <f t="shared" si="0"/>
        <v>0</v>
      </c>
      <c r="E21" s="864"/>
      <c r="F21" s="864"/>
      <c r="G21" s="796"/>
      <c r="H21" s="794"/>
      <c r="I21" s="794"/>
      <c r="J21" s="866" t="str">
        <f t="shared" si="1"/>
        <v/>
      </c>
      <c r="K21" s="795"/>
      <c r="L21" s="795"/>
      <c r="M21" s="796"/>
      <c r="N21" s="794"/>
      <c r="O21" s="794"/>
      <c r="P21" s="866" t="str">
        <f t="shared" si="2"/>
        <v/>
      </c>
      <c r="Q21" s="795"/>
      <c r="R21" s="797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107"/>
      <c r="AX21" s="528"/>
      <c r="AY21" s="529"/>
      <c r="AZ21" s="529"/>
      <c r="BA21" s="529"/>
      <c r="BB21" s="530"/>
      <c r="BC21" s="531"/>
      <c r="BD21" s="529"/>
      <c r="BE21" s="529"/>
      <c r="BF21" s="529"/>
      <c r="BG21" s="530"/>
      <c r="BH21" s="531"/>
      <c r="BI21" s="529"/>
      <c r="BJ21" s="529"/>
      <c r="BK21" s="529"/>
      <c r="BL21" s="532"/>
      <c r="BM21" s="107"/>
      <c r="BN21" s="107"/>
      <c r="BO21" s="107"/>
      <c r="BP21" s="107"/>
      <c r="BQ21" s="107"/>
      <c r="BR21" s="107"/>
      <c r="BS21" s="107"/>
      <c r="BT21" s="107"/>
      <c r="BU21" s="107"/>
      <c r="BV21" s="107"/>
      <c r="BW21" s="107"/>
      <c r="BX21" s="107"/>
      <c r="BY21" s="107"/>
      <c r="BZ21" s="107"/>
      <c r="CA21" s="107"/>
      <c r="CB21" s="107"/>
      <c r="CC21" s="107"/>
      <c r="CD21" s="107"/>
      <c r="CE21" s="107"/>
      <c r="CF21" s="107"/>
    </row>
    <row r="22" spans="1:84" ht="12" customHeight="1" x14ac:dyDescent="0.25">
      <c r="A22" s="730">
        <v>5</v>
      </c>
      <c r="B22" s="731"/>
      <c r="C22" s="731"/>
      <c r="D22" s="864">
        <f t="shared" si="0"/>
        <v>0</v>
      </c>
      <c r="E22" s="864"/>
      <c r="F22" s="864"/>
      <c r="G22" s="796"/>
      <c r="H22" s="794"/>
      <c r="I22" s="794"/>
      <c r="J22" s="866" t="str">
        <f t="shared" si="1"/>
        <v/>
      </c>
      <c r="K22" s="795"/>
      <c r="L22" s="795"/>
      <c r="M22" s="796"/>
      <c r="N22" s="794"/>
      <c r="O22" s="794"/>
      <c r="P22" s="866" t="str">
        <f t="shared" si="2"/>
        <v/>
      </c>
      <c r="Q22" s="795"/>
      <c r="R22" s="797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7"/>
      <c r="CC22" s="107"/>
      <c r="CD22" s="107"/>
      <c r="CE22" s="107"/>
      <c r="CF22" s="107"/>
    </row>
    <row r="23" spans="1:84" ht="12" customHeight="1" x14ac:dyDescent="0.25">
      <c r="A23" s="730">
        <v>6</v>
      </c>
      <c r="B23" s="731"/>
      <c r="C23" s="731"/>
      <c r="D23" s="864">
        <f t="shared" si="0"/>
        <v>0</v>
      </c>
      <c r="E23" s="864"/>
      <c r="F23" s="864"/>
      <c r="G23" s="865"/>
      <c r="H23" s="409"/>
      <c r="I23" s="409"/>
      <c r="J23" s="866" t="str">
        <f t="shared" si="1"/>
        <v/>
      </c>
      <c r="K23" s="795"/>
      <c r="L23" s="795"/>
      <c r="M23" s="796"/>
      <c r="N23" s="794"/>
      <c r="O23" s="794"/>
      <c r="P23" s="866" t="str">
        <f t="shared" si="2"/>
        <v/>
      </c>
      <c r="Q23" s="795"/>
      <c r="R23" s="797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  <c r="BT23" s="107"/>
      <c r="BU23" s="107"/>
      <c r="BV23" s="107"/>
      <c r="BW23" s="107"/>
      <c r="BX23" s="107"/>
      <c r="BY23" s="107"/>
      <c r="BZ23" s="107"/>
      <c r="CA23" s="107"/>
      <c r="CB23" s="107"/>
      <c r="CC23" s="107"/>
      <c r="CD23" s="107"/>
      <c r="CE23" s="107"/>
      <c r="CF23" s="107"/>
    </row>
    <row r="24" spans="1:84" ht="12" customHeight="1" x14ac:dyDescent="0.25">
      <c r="A24" s="730">
        <v>7</v>
      </c>
      <c r="B24" s="731"/>
      <c r="C24" s="731"/>
      <c r="D24" s="867">
        <f t="shared" si="0"/>
        <v>0</v>
      </c>
      <c r="E24" s="867"/>
      <c r="F24" s="867"/>
      <c r="G24" s="865"/>
      <c r="H24" s="409"/>
      <c r="I24" s="409"/>
      <c r="J24" s="866" t="str">
        <f t="shared" si="1"/>
        <v/>
      </c>
      <c r="K24" s="795"/>
      <c r="L24" s="795"/>
      <c r="M24" s="796"/>
      <c r="N24" s="794"/>
      <c r="O24" s="794"/>
      <c r="P24" s="866" t="str">
        <f t="shared" si="2"/>
        <v/>
      </c>
      <c r="Q24" s="795"/>
      <c r="R24" s="797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7"/>
      <c r="BN24" s="107"/>
      <c r="BO24" s="107"/>
      <c r="BP24" s="107"/>
      <c r="BQ24" s="107"/>
      <c r="BR24" s="107"/>
      <c r="BS24" s="107"/>
      <c r="BT24" s="107"/>
      <c r="BU24" s="107"/>
      <c r="BV24" s="107"/>
      <c r="BW24" s="107"/>
      <c r="BX24" s="107"/>
      <c r="BY24" s="107"/>
      <c r="BZ24" s="107"/>
      <c r="CA24" s="107"/>
      <c r="CB24" s="107"/>
      <c r="CC24" s="107"/>
      <c r="CD24" s="107"/>
      <c r="CE24" s="107"/>
      <c r="CF24" s="107"/>
    </row>
    <row r="25" spans="1:84" ht="12" customHeight="1" x14ac:dyDescent="0.25">
      <c r="A25" s="730">
        <v>8</v>
      </c>
      <c r="B25" s="731"/>
      <c r="C25" s="731"/>
      <c r="D25" s="864">
        <f t="shared" si="0"/>
        <v>0</v>
      </c>
      <c r="E25" s="864"/>
      <c r="F25" s="864"/>
      <c r="G25" s="865"/>
      <c r="H25" s="409"/>
      <c r="I25" s="409"/>
      <c r="J25" s="866" t="str">
        <f t="shared" si="1"/>
        <v/>
      </c>
      <c r="K25" s="795"/>
      <c r="L25" s="795"/>
      <c r="M25" s="796"/>
      <c r="N25" s="794"/>
      <c r="O25" s="794"/>
      <c r="P25" s="866" t="str">
        <f t="shared" si="2"/>
        <v/>
      </c>
      <c r="Q25" s="795"/>
      <c r="R25" s="797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</row>
    <row r="26" spans="1:84" ht="12" customHeight="1" x14ac:dyDescent="0.25">
      <c r="A26" s="730">
        <v>9</v>
      </c>
      <c r="B26" s="731"/>
      <c r="C26" s="731"/>
      <c r="D26" s="864">
        <f t="shared" si="0"/>
        <v>0</v>
      </c>
      <c r="E26" s="864"/>
      <c r="F26" s="864"/>
      <c r="G26" s="865"/>
      <c r="H26" s="409"/>
      <c r="I26" s="409"/>
      <c r="J26" s="866" t="str">
        <f t="shared" si="1"/>
        <v/>
      </c>
      <c r="K26" s="795"/>
      <c r="L26" s="795"/>
      <c r="M26" s="796"/>
      <c r="N26" s="794"/>
      <c r="O26" s="794"/>
      <c r="P26" s="866" t="str">
        <f t="shared" si="2"/>
        <v/>
      </c>
      <c r="Q26" s="795"/>
      <c r="R26" s="797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</row>
    <row r="27" spans="1:84" ht="12" customHeight="1" thickBot="1" x14ac:dyDescent="0.3">
      <c r="A27" s="726">
        <v>10</v>
      </c>
      <c r="B27" s="392"/>
      <c r="C27" s="392"/>
      <c r="D27" s="856">
        <f t="shared" si="0"/>
        <v>0</v>
      </c>
      <c r="E27" s="856"/>
      <c r="F27" s="856"/>
      <c r="G27" s="857"/>
      <c r="H27" s="858"/>
      <c r="I27" s="858"/>
      <c r="J27" s="859" t="str">
        <f t="shared" si="1"/>
        <v/>
      </c>
      <c r="K27" s="860"/>
      <c r="L27" s="860"/>
      <c r="M27" s="861"/>
      <c r="N27" s="802"/>
      <c r="O27" s="802"/>
      <c r="P27" s="862" t="str">
        <f t="shared" si="2"/>
        <v/>
      </c>
      <c r="Q27" s="803"/>
      <c r="R27" s="863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</row>
    <row r="28" spans="1:84" ht="12.6" customHeight="1" thickTop="1" thickBot="1" x14ac:dyDescent="0.3">
      <c r="A28" s="849" t="s">
        <v>310</v>
      </c>
      <c r="B28" s="850"/>
      <c r="C28" s="850"/>
      <c r="D28" s="850"/>
      <c r="E28" s="850"/>
      <c r="F28" s="850"/>
      <c r="G28" s="851" t="s">
        <v>235</v>
      </c>
      <c r="H28" s="852"/>
      <c r="I28" s="852"/>
      <c r="J28" s="853" t="str">
        <f>IF(SUM(J18:L27)&lt;&gt;0,SUM(J18:L27),"")</f>
        <v/>
      </c>
      <c r="K28" s="724"/>
      <c r="L28" s="724"/>
      <c r="M28" s="854" t="s">
        <v>235</v>
      </c>
      <c r="N28" s="852"/>
      <c r="O28" s="852"/>
      <c r="P28" s="853" t="str">
        <f>IF(SUM(P18:R27)&lt;&gt;0,SUM(P18:R27),"")</f>
        <v/>
      </c>
      <c r="Q28" s="724"/>
      <c r="R28" s="855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</row>
    <row r="29" spans="1:84" ht="12" customHeight="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</row>
    <row r="30" spans="1:84" ht="12" customHeight="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</row>
    <row r="31" spans="1:84" ht="12" customHeight="1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</row>
    <row r="32" spans="1:84" ht="12" customHeight="1" thickBot="1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</row>
    <row r="33" spans="1:84" ht="12" customHeight="1" x14ac:dyDescent="0.25">
      <c r="B33" s="42" t="s">
        <v>262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709" t="s">
        <v>335</v>
      </c>
      <c r="AG33" s="710"/>
      <c r="AH33" s="710"/>
      <c r="AI33" s="710"/>
      <c r="AJ33" s="710"/>
      <c r="AK33" s="710"/>
      <c r="AL33" s="710"/>
      <c r="AM33" s="710"/>
      <c r="AN33" s="710"/>
      <c r="AO33" s="710"/>
      <c r="AP33" s="711"/>
      <c r="AQ33" s="712"/>
      <c r="AR33" s="712"/>
      <c r="AS33" s="712"/>
      <c r="AT33" s="713" t="s">
        <v>187</v>
      </c>
      <c r="AU33" s="713"/>
      <c r="AV33" s="714"/>
      <c r="AW33" s="107"/>
      <c r="AX33" s="784" t="s">
        <v>353</v>
      </c>
      <c r="AY33" s="784"/>
      <c r="AZ33" s="784"/>
      <c r="BA33" s="784"/>
      <c r="BB33" s="784"/>
      <c r="BC33" s="784"/>
      <c r="BD33" s="784"/>
      <c r="BE33" s="784"/>
      <c r="BF33" s="784"/>
      <c r="BG33" s="784"/>
      <c r="BH33" s="784"/>
      <c r="BI33" s="784"/>
      <c r="BJ33" s="784"/>
      <c r="BK33" s="784"/>
      <c r="BL33" s="784"/>
      <c r="BM33" s="784"/>
      <c r="BN33" s="784"/>
      <c r="BO33" s="784"/>
      <c r="BP33" s="784"/>
      <c r="BQ33" s="784"/>
      <c r="BR33" s="784"/>
      <c r="BS33" s="784"/>
      <c r="BT33" s="784"/>
      <c r="BU33" s="784"/>
      <c r="BV33" s="784"/>
      <c r="BW33" s="784"/>
      <c r="BX33" s="784"/>
      <c r="BY33" s="784"/>
      <c r="BZ33" s="139"/>
      <c r="CA33" s="107"/>
      <c r="CB33" s="107"/>
      <c r="CC33" s="107"/>
      <c r="CD33" s="107"/>
      <c r="CE33" s="107"/>
      <c r="CF33" s="107"/>
    </row>
    <row r="34" spans="1:84" ht="12" customHeight="1" x14ac:dyDescent="0.25">
      <c r="A34" s="848"/>
      <c r="B34" s="848"/>
      <c r="C34" s="848"/>
      <c r="D34" s="848"/>
      <c r="E34" s="848"/>
      <c r="F34" s="848"/>
      <c r="G34" s="848"/>
      <c r="H34" s="848"/>
      <c r="I34" s="848"/>
      <c r="J34" s="848"/>
      <c r="K34" s="848"/>
      <c r="L34" s="848"/>
      <c r="M34" s="848"/>
      <c r="N34" s="848"/>
      <c r="O34" s="848"/>
      <c r="P34" s="848"/>
      <c r="Q34" s="848"/>
      <c r="R34" s="848"/>
      <c r="S34" s="848"/>
      <c r="T34" s="848"/>
      <c r="U34" s="848"/>
      <c r="V34" s="848"/>
      <c r="W34" s="848"/>
      <c r="X34" s="848"/>
      <c r="Y34" s="848"/>
      <c r="Z34" s="848"/>
      <c r="AA34" s="848"/>
      <c r="AB34" s="848"/>
      <c r="AC34" s="848"/>
      <c r="AD34" s="848"/>
      <c r="AE34" s="42"/>
      <c r="AF34" s="333" t="s">
        <v>336</v>
      </c>
      <c r="AG34" s="334"/>
      <c r="AH34" s="334"/>
      <c r="AI34" s="334"/>
      <c r="AJ34" s="334"/>
      <c r="AK34" s="334"/>
      <c r="AL34" s="334"/>
      <c r="AM34" s="334"/>
      <c r="AN34" s="334"/>
      <c r="AO34" s="334"/>
      <c r="AP34" s="707"/>
      <c r="AQ34" s="708"/>
      <c r="AR34" s="708"/>
      <c r="AS34" s="708"/>
      <c r="AT34" s="407" t="s">
        <v>337</v>
      </c>
      <c r="AU34" s="407"/>
      <c r="AV34" s="701"/>
      <c r="AW34" s="107"/>
      <c r="AX34" s="784"/>
      <c r="AY34" s="784"/>
      <c r="AZ34" s="784"/>
      <c r="BA34" s="784"/>
      <c r="BB34" s="784"/>
      <c r="BC34" s="784"/>
      <c r="BD34" s="784"/>
      <c r="BE34" s="784"/>
      <c r="BF34" s="784"/>
      <c r="BG34" s="784"/>
      <c r="BH34" s="784"/>
      <c r="BI34" s="784"/>
      <c r="BJ34" s="784"/>
      <c r="BK34" s="784"/>
      <c r="BL34" s="784"/>
      <c r="BM34" s="784"/>
      <c r="BN34" s="784"/>
      <c r="BO34" s="784"/>
      <c r="BP34" s="784"/>
      <c r="BQ34" s="784"/>
      <c r="BR34" s="784"/>
      <c r="BS34" s="784"/>
      <c r="BT34" s="784"/>
      <c r="BU34" s="784"/>
      <c r="BV34" s="784"/>
      <c r="BW34" s="784"/>
      <c r="BX34" s="784"/>
      <c r="BY34" s="784"/>
      <c r="BZ34" s="139"/>
      <c r="CA34" s="107"/>
      <c r="CB34" s="107"/>
      <c r="CC34" s="107"/>
      <c r="CD34" s="107"/>
      <c r="CE34" s="107"/>
      <c r="CF34" s="107"/>
    </row>
    <row r="35" spans="1:84" ht="12" customHeight="1" x14ac:dyDescent="0.25">
      <c r="A35" s="848"/>
      <c r="B35" s="848"/>
      <c r="C35" s="848"/>
      <c r="D35" s="848"/>
      <c r="E35" s="848"/>
      <c r="F35" s="848"/>
      <c r="G35" s="848"/>
      <c r="H35" s="848"/>
      <c r="I35" s="848"/>
      <c r="J35" s="848"/>
      <c r="K35" s="848"/>
      <c r="L35" s="848"/>
      <c r="M35" s="848"/>
      <c r="N35" s="848"/>
      <c r="O35" s="848"/>
      <c r="P35" s="848"/>
      <c r="Q35" s="848"/>
      <c r="R35" s="848"/>
      <c r="S35" s="848"/>
      <c r="T35" s="848"/>
      <c r="U35" s="848"/>
      <c r="V35" s="848"/>
      <c r="W35" s="848"/>
      <c r="X35" s="848"/>
      <c r="Y35" s="848"/>
      <c r="Z35" s="848"/>
      <c r="AA35" s="848"/>
      <c r="AB35" s="848"/>
      <c r="AC35" s="848"/>
      <c r="AD35" s="848"/>
      <c r="AE35" s="42"/>
      <c r="AF35" s="333" t="s">
        <v>338</v>
      </c>
      <c r="AG35" s="334"/>
      <c r="AH35" s="334"/>
      <c r="AI35" s="334"/>
      <c r="AJ35" s="334"/>
      <c r="AK35" s="334"/>
      <c r="AL35" s="334"/>
      <c r="AM35" s="334"/>
      <c r="AN35" s="334"/>
      <c r="AO35" s="334"/>
      <c r="AP35" s="705">
        <f>SUM(J28,P28)</f>
        <v>0</v>
      </c>
      <c r="AQ35" s="706"/>
      <c r="AR35" s="706"/>
      <c r="AS35" s="706"/>
      <c r="AT35" s="407" t="s">
        <v>319</v>
      </c>
      <c r="AU35" s="407"/>
      <c r="AV35" s="701"/>
      <c r="AW35" s="107"/>
      <c r="AX35" s="784" t="s">
        <v>354</v>
      </c>
      <c r="AY35" s="784"/>
      <c r="AZ35" s="784"/>
      <c r="BA35" s="784"/>
      <c r="BB35" s="784"/>
      <c r="BC35" s="784"/>
      <c r="BD35" s="784"/>
      <c r="BE35" s="784"/>
      <c r="BF35" s="784"/>
      <c r="BG35" s="784"/>
      <c r="BH35" s="784"/>
      <c r="BI35" s="784"/>
      <c r="BJ35" s="784"/>
      <c r="BK35" s="784"/>
      <c r="BL35" s="784"/>
      <c r="BM35" s="784"/>
      <c r="BN35" s="784"/>
      <c r="BO35" s="784"/>
      <c r="BP35" s="784"/>
      <c r="BQ35" s="784"/>
      <c r="BR35" s="784"/>
      <c r="BS35" s="784"/>
      <c r="BT35" s="784"/>
      <c r="BU35" s="784"/>
      <c r="BV35" s="784"/>
      <c r="BW35" s="784"/>
      <c r="BX35" s="784"/>
      <c r="BY35" s="784"/>
      <c r="BZ35" s="139"/>
      <c r="CA35" s="107"/>
      <c r="CB35" s="107"/>
      <c r="CC35" s="107"/>
      <c r="CD35" s="107"/>
      <c r="CE35" s="107"/>
      <c r="CF35" s="107"/>
    </row>
    <row r="36" spans="1:84" ht="12" customHeight="1" x14ac:dyDescent="0.25">
      <c r="A36" s="848"/>
      <c r="B36" s="848"/>
      <c r="C36" s="848"/>
      <c r="D36" s="848"/>
      <c r="E36" s="848"/>
      <c r="F36" s="848"/>
      <c r="G36" s="848"/>
      <c r="H36" s="848"/>
      <c r="I36" s="848"/>
      <c r="J36" s="848"/>
      <c r="K36" s="848"/>
      <c r="L36" s="848"/>
      <c r="M36" s="848"/>
      <c r="N36" s="848"/>
      <c r="O36" s="848"/>
      <c r="P36" s="848"/>
      <c r="Q36" s="848"/>
      <c r="R36" s="848"/>
      <c r="S36" s="848"/>
      <c r="T36" s="848"/>
      <c r="U36" s="848"/>
      <c r="V36" s="848"/>
      <c r="W36" s="848"/>
      <c r="X36" s="848"/>
      <c r="Y36" s="848"/>
      <c r="Z36" s="848"/>
      <c r="AA36" s="848"/>
      <c r="AB36" s="848"/>
      <c r="AC36" s="848"/>
      <c r="AD36" s="848"/>
      <c r="AE36" s="42"/>
      <c r="AF36" s="333" t="s">
        <v>339</v>
      </c>
      <c r="AG36" s="334"/>
      <c r="AH36" s="334"/>
      <c r="AI36" s="334"/>
      <c r="AJ36" s="334"/>
      <c r="AK36" s="334"/>
      <c r="AL36" s="334"/>
      <c r="AM36" s="334"/>
      <c r="AN36" s="334"/>
      <c r="AO36" s="334"/>
      <c r="AP36" s="705">
        <f>COUNT(G18:I27,M18:O27)</f>
        <v>0</v>
      </c>
      <c r="AQ36" s="706"/>
      <c r="AR36" s="706"/>
      <c r="AS36" s="706"/>
      <c r="AT36" s="407"/>
      <c r="AU36" s="407"/>
      <c r="AV36" s="701"/>
      <c r="AW36" s="107"/>
      <c r="AX36" s="784"/>
      <c r="AY36" s="784"/>
      <c r="AZ36" s="784"/>
      <c r="BA36" s="784"/>
      <c r="BB36" s="784"/>
      <c r="BC36" s="784"/>
      <c r="BD36" s="784"/>
      <c r="BE36" s="784"/>
      <c r="BF36" s="784"/>
      <c r="BG36" s="784"/>
      <c r="BH36" s="784"/>
      <c r="BI36" s="784"/>
      <c r="BJ36" s="784"/>
      <c r="BK36" s="784"/>
      <c r="BL36" s="784"/>
      <c r="BM36" s="784"/>
      <c r="BN36" s="784"/>
      <c r="BO36" s="784"/>
      <c r="BP36" s="784"/>
      <c r="BQ36" s="784"/>
      <c r="BR36" s="784"/>
      <c r="BS36" s="784"/>
      <c r="BT36" s="784"/>
      <c r="BU36" s="784"/>
      <c r="BV36" s="784"/>
      <c r="BW36" s="784"/>
      <c r="BX36" s="784"/>
      <c r="BY36" s="784"/>
      <c r="BZ36" s="139"/>
      <c r="CA36" s="107"/>
      <c r="CB36" s="107"/>
      <c r="CC36" s="107"/>
      <c r="CD36" s="107"/>
      <c r="CE36" s="107"/>
      <c r="CF36" s="107"/>
    </row>
    <row r="37" spans="1:84" ht="12" customHeight="1" x14ac:dyDescent="0.25">
      <c r="A37" s="848"/>
      <c r="B37" s="848"/>
      <c r="C37" s="848"/>
      <c r="D37" s="848"/>
      <c r="E37" s="848"/>
      <c r="F37" s="848"/>
      <c r="G37" s="848"/>
      <c r="H37" s="848"/>
      <c r="I37" s="848"/>
      <c r="J37" s="848"/>
      <c r="K37" s="848"/>
      <c r="L37" s="848"/>
      <c r="M37" s="848"/>
      <c r="N37" s="848"/>
      <c r="O37" s="848"/>
      <c r="P37" s="848"/>
      <c r="Q37" s="848"/>
      <c r="R37" s="848"/>
      <c r="S37" s="848"/>
      <c r="T37" s="848"/>
      <c r="U37" s="848"/>
      <c r="V37" s="848"/>
      <c r="W37" s="848"/>
      <c r="X37" s="848"/>
      <c r="Y37" s="848"/>
      <c r="Z37" s="848"/>
      <c r="AA37" s="848"/>
      <c r="AB37" s="848"/>
      <c r="AC37" s="848"/>
      <c r="AD37" s="848"/>
      <c r="AE37" s="42"/>
      <c r="AF37" s="333" t="s">
        <v>340</v>
      </c>
      <c r="AG37" s="334"/>
      <c r="AH37" s="334"/>
      <c r="AI37" s="334"/>
      <c r="AJ37" s="334"/>
      <c r="AK37" s="334"/>
      <c r="AL37" s="334"/>
      <c r="AM37" s="334"/>
      <c r="AN37" s="334"/>
      <c r="AO37" s="334"/>
      <c r="AP37" s="705" t="str">
        <f>IFERROR(AP35/AP36,"")</f>
        <v/>
      </c>
      <c r="AQ37" s="706"/>
      <c r="AR37" s="706"/>
      <c r="AS37" s="706"/>
      <c r="AT37" s="407" t="s">
        <v>319</v>
      </c>
      <c r="AU37" s="407"/>
      <c r="AV37" s="701"/>
      <c r="AW37" s="107"/>
      <c r="AX37" s="785" t="s">
        <v>355</v>
      </c>
      <c r="AY37" s="785"/>
      <c r="AZ37" s="785"/>
      <c r="BA37" s="785"/>
      <c r="BB37" s="785"/>
      <c r="BC37" s="785"/>
      <c r="BD37" s="785"/>
      <c r="BE37" s="785"/>
      <c r="BF37" s="785"/>
      <c r="BG37" s="785"/>
      <c r="BH37" s="785"/>
      <c r="BI37" s="785"/>
      <c r="BJ37" s="785"/>
      <c r="BK37" s="785"/>
      <c r="BL37" s="785"/>
      <c r="BM37" s="785"/>
      <c r="BN37" s="785"/>
      <c r="BO37" s="785"/>
      <c r="BP37" s="785"/>
      <c r="BQ37" s="785"/>
      <c r="BR37" s="785"/>
      <c r="BS37" s="785"/>
      <c r="BT37" s="785"/>
      <c r="BU37" s="785"/>
      <c r="BV37" s="785"/>
      <c r="BW37" s="785"/>
      <c r="BX37" s="785"/>
      <c r="BY37" s="785"/>
      <c r="BZ37" s="785"/>
      <c r="CA37" s="107"/>
      <c r="CB37" s="107"/>
      <c r="CC37" s="107"/>
      <c r="CD37" s="107"/>
      <c r="CE37" s="107"/>
      <c r="CF37" s="107"/>
    </row>
    <row r="38" spans="1:84" ht="12" customHeight="1" x14ac:dyDescent="0.25">
      <c r="A38" s="848"/>
      <c r="B38" s="848"/>
      <c r="C38" s="848"/>
      <c r="D38" s="848"/>
      <c r="E38" s="848"/>
      <c r="F38" s="848"/>
      <c r="G38" s="848"/>
      <c r="H38" s="848"/>
      <c r="I38" s="848"/>
      <c r="J38" s="848"/>
      <c r="K38" s="848"/>
      <c r="L38" s="848"/>
      <c r="M38" s="848"/>
      <c r="N38" s="848"/>
      <c r="O38" s="848"/>
      <c r="P38" s="848"/>
      <c r="Q38" s="848"/>
      <c r="R38" s="848"/>
      <c r="S38" s="848"/>
      <c r="T38" s="848"/>
      <c r="U38" s="848"/>
      <c r="V38" s="848"/>
      <c r="W38" s="848"/>
      <c r="X38" s="848"/>
      <c r="Y38" s="848"/>
      <c r="Z38" s="848"/>
      <c r="AA38" s="848"/>
      <c r="AB38" s="848"/>
      <c r="AC38" s="848"/>
      <c r="AD38" s="848"/>
      <c r="AE38" s="42"/>
      <c r="AF38" s="406" t="s">
        <v>341</v>
      </c>
      <c r="AG38" s="407"/>
      <c r="AH38" s="407"/>
      <c r="AI38" s="407"/>
      <c r="AJ38" s="407"/>
      <c r="AK38" s="407"/>
      <c r="AL38" s="407"/>
      <c r="AM38" s="407"/>
      <c r="AN38" s="407"/>
      <c r="AO38" s="408"/>
      <c r="AP38" s="474"/>
      <c r="AQ38" s="558"/>
      <c r="AR38" s="558"/>
      <c r="AS38" s="558"/>
      <c r="AT38" s="558"/>
      <c r="AU38" s="558"/>
      <c r="AV38" s="698"/>
      <c r="AW38" s="107"/>
      <c r="AX38" s="139" t="s">
        <v>356</v>
      </c>
      <c r="AY38" s="139"/>
      <c r="AZ38" s="139"/>
      <c r="BA38" s="139"/>
      <c r="BB38" s="139"/>
      <c r="BC38" s="139"/>
      <c r="BD38" s="139"/>
      <c r="BE38" s="139"/>
      <c r="BF38" s="139"/>
      <c r="BG38" s="139"/>
      <c r="BH38" s="139"/>
      <c r="BI38" s="139"/>
      <c r="BJ38" s="139"/>
      <c r="BK38" s="139"/>
      <c r="BL38" s="139"/>
      <c r="BM38" s="139"/>
      <c r="BN38" s="139"/>
      <c r="BO38" s="139"/>
      <c r="BP38" s="139"/>
      <c r="BQ38" s="139"/>
      <c r="BR38" s="139"/>
      <c r="BS38" s="139"/>
      <c r="BT38" s="139"/>
      <c r="BU38" s="139"/>
      <c r="BV38" s="139"/>
      <c r="BW38" s="139"/>
      <c r="BX38" s="139"/>
      <c r="BY38" s="139"/>
      <c r="BZ38" s="139"/>
      <c r="CA38" s="107"/>
      <c r="CB38" s="107"/>
      <c r="CC38" s="107"/>
      <c r="CD38" s="107"/>
      <c r="CE38" s="107"/>
      <c r="CF38" s="107"/>
    </row>
    <row r="39" spans="1:84" ht="12" customHeight="1" x14ac:dyDescent="0.25">
      <c r="A39" s="848"/>
      <c r="B39" s="848"/>
      <c r="C39" s="848"/>
      <c r="D39" s="848"/>
      <c r="E39" s="848"/>
      <c r="F39" s="848"/>
      <c r="G39" s="848"/>
      <c r="H39" s="848"/>
      <c r="I39" s="848"/>
      <c r="J39" s="848"/>
      <c r="K39" s="848"/>
      <c r="L39" s="848"/>
      <c r="M39" s="848"/>
      <c r="N39" s="848"/>
      <c r="O39" s="848"/>
      <c r="P39" s="848"/>
      <c r="Q39" s="848"/>
      <c r="R39" s="848"/>
      <c r="S39" s="848"/>
      <c r="T39" s="848"/>
      <c r="U39" s="848"/>
      <c r="V39" s="848"/>
      <c r="W39" s="848"/>
      <c r="X39" s="848"/>
      <c r="Y39" s="848"/>
      <c r="Z39" s="848"/>
      <c r="AA39" s="848"/>
      <c r="AB39" s="848"/>
      <c r="AC39" s="848"/>
      <c r="AD39" s="848"/>
      <c r="AE39" s="42"/>
      <c r="AF39" s="333" t="s">
        <v>342</v>
      </c>
      <c r="AG39" s="334"/>
      <c r="AH39" s="334"/>
      <c r="AI39" s="334"/>
      <c r="AJ39" s="334"/>
      <c r="AK39" s="334"/>
      <c r="AL39" s="334"/>
      <c r="AM39" s="334"/>
      <c r="AN39" s="334"/>
      <c r="AO39" s="334"/>
      <c r="AP39" s="699">
        <f>IF(OR(AP38&lt;&gt;0,AP38&lt;&gt;""),L13*IF(AP38&lt;&gt;"N/A",AP38,1),L13)</f>
        <v>0</v>
      </c>
      <c r="AQ39" s="700"/>
      <c r="AR39" s="700"/>
      <c r="AS39" s="700"/>
      <c r="AT39" s="407" t="s">
        <v>318</v>
      </c>
      <c r="AU39" s="407"/>
      <c r="AV39" s="701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</row>
    <row r="40" spans="1:84" ht="12" customHeight="1" thickBot="1" x14ac:dyDescent="0.3">
      <c r="A40" s="848"/>
      <c r="B40" s="848"/>
      <c r="C40" s="848"/>
      <c r="D40" s="848"/>
      <c r="E40" s="848"/>
      <c r="F40" s="848"/>
      <c r="G40" s="848"/>
      <c r="H40" s="848"/>
      <c r="I40" s="848"/>
      <c r="J40" s="848"/>
      <c r="K40" s="848"/>
      <c r="L40" s="848"/>
      <c r="M40" s="848"/>
      <c r="N40" s="848"/>
      <c r="O40" s="848"/>
      <c r="P40" s="848"/>
      <c r="Q40" s="848"/>
      <c r="R40" s="848"/>
      <c r="S40" s="848"/>
      <c r="T40" s="848"/>
      <c r="U40" s="848"/>
      <c r="V40" s="848"/>
      <c r="W40" s="848"/>
      <c r="X40" s="848"/>
      <c r="Y40" s="848"/>
      <c r="Z40" s="848"/>
      <c r="AA40" s="848"/>
      <c r="AB40" s="848"/>
      <c r="AC40" s="848"/>
      <c r="AD40" s="848"/>
      <c r="AE40" s="42"/>
      <c r="AF40" s="347" t="s">
        <v>343</v>
      </c>
      <c r="AG40" s="348"/>
      <c r="AH40" s="348"/>
      <c r="AI40" s="348"/>
      <c r="AJ40" s="348"/>
      <c r="AK40" s="348"/>
      <c r="AL40" s="348"/>
      <c r="AM40" s="348"/>
      <c r="AN40" s="348"/>
      <c r="AO40" s="348"/>
      <c r="AP40" s="695" t="str">
        <f>IFERROR(AP39*AP37,"")</f>
        <v/>
      </c>
      <c r="AQ40" s="696"/>
      <c r="AR40" s="696"/>
      <c r="AS40" s="696"/>
      <c r="AT40" s="427" t="s">
        <v>56</v>
      </c>
      <c r="AU40" s="427"/>
      <c r="AV40" s="69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</row>
    <row r="41" spans="1:84" ht="12" customHeight="1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</row>
    <row r="42" spans="1:84" ht="12" customHeight="1" x14ac:dyDescent="0.25">
      <c r="A42" s="690" t="s">
        <v>276</v>
      </c>
      <c r="B42" s="690"/>
      <c r="C42" s="690"/>
      <c r="D42" s="690"/>
      <c r="E42" s="285"/>
      <c r="F42" s="285"/>
      <c r="G42" s="285"/>
      <c r="H42" s="285"/>
      <c r="I42" s="285"/>
      <c r="J42" s="285"/>
      <c r="K42" s="285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690" t="s">
        <v>277</v>
      </c>
      <c r="AE42" s="690"/>
      <c r="AF42" s="690"/>
      <c r="AG42" s="690"/>
      <c r="AH42" s="690"/>
      <c r="AI42" s="286"/>
      <c r="AJ42" s="286"/>
      <c r="AK42" s="286"/>
      <c r="AL42" s="286"/>
      <c r="AM42" s="286"/>
      <c r="AN42" s="286"/>
      <c r="AO42" s="286"/>
      <c r="AP42" s="286"/>
      <c r="AQ42" s="286"/>
      <c r="AR42" s="286"/>
      <c r="AS42" s="286"/>
      <c r="AT42" s="286"/>
      <c r="AU42" s="286"/>
      <c r="AV42" s="286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</row>
    <row r="43" spans="1:84" ht="12.75" hidden="1" customHeight="1" x14ac:dyDescent="0.25"/>
    <row r="44" spans="1:84" ht="12.75" hidden="1" customHeight="1" x14ac:dyDescent="0.25"/>
    <row r="45" spans="1:84" ht="12.75" hidden="1" customHeight="1" x14ac:dyDescent="0.25"/>
    <row r="46" spans="1:84" ht="12.75" hidden="1" customHeight="1" x14ac:dyDescent="0.25"/>
    <row r="47" spans="1:84" ht="12.75" hidden="1" customHeight="1" x14ac:dyDescent="0.25"/>
    <row r="48" spans="1:84" ht="12.75" hidden="1" customHeight="1" x14ac:dyDescent="0.25"/>
    <row r="49" ht="12.75" hidden="1" customHeight="1" x14ac:dyDescent="0.25"/>
    <row r="50" ht="12.75" hidden="1" customHeight="1" x14ac:dyDescent="0.25"/>
    <row r="51" ht="12.75" hidden="1" customHeight="1" x14ac:dyDescent="0.25"/>
    <row r="52" ht="12.75" hidden="1" customHeight="1" x14ac:dyDescent="0.25"/>
    <row r="53" ht="12.75" hidden="1" customHeight="1" x14ac:dyDescent="0.25"/>
    <row r="54" ht="12.75" hidden="1" customHeight="1" x14ac:dyDescent="0.25"/>
    <row r="55" ht="12.75" hidden="1" customHeight="1" x14ac:dyDescent="0.25"/>
  </sheetData>
  <mergeCells count="172">
    <mergeCell ref="AW1:CF1"/>
    <mergeCell ref="Z5:AV5"/>
    <mergeCell ref="A7:E7"/>
    <mergeCell ref="F7:P7"/>
    <mergeCell ref="AG7:AK7"/>
    <mergeCell ref="AL7:AV7"/>
    <mergeCell ref="AY10:BD10"/>
    <mergeCell ref="BE10:BF10"/>
    <mergeCell ref="A11:AV11"/>
    <mergeCell ref="A12:P12"/>
    <mergeCell ref="Q12:AF12"/>
    <mergeCell ref="AG12:AV12"/>
    <mergeCell ref="AX12:BG12"/>
    <mergeCell ref="AY8:BF8"/>
    <mergeCell ref="A9:E9"/>
    <mergeCell ref="F9:P9"/>
    <mergeCell ref="AG9:AK9"/>
    <mergeCell ref="AL9:AV9"/>
    <mergeCell ref="AY9:BD9"/>
    <mergeCell ref="BE9:BF9"/>
    <mergeCell ref="AR13:AV13"/>
    <mergeCell ref="AX13:BG13"/>
    <mergeCell ref="A15:R15"/>
    <mergeCell ref="T15:AE15"/>
    <mergeCell ref="AG15:AV15"/>
    <mergeCell ref="AX15:BL15"/>
    <mergeCell ref="T13:X13"/>
    <mergeCell ref="Y13:AA13"/>
    <mergeCell ref="AB13:AF13"/>
    <mergeCell ref="AG13:AI13"/>
    <mergeCell ref="AJ13:AN13"/>
    <mergeCell ref="AO13:AQ13"/>
    <mergeCell ref="A13:B13"/>
    <mergeCell ref="C13:D13"/>
    <mergeCell ref="E13:H13"/>
    <mergeCell ref="I13:K13"/>
    <mergeCell ref="L13:P13"/>
    <mergeCell ref="Q13:S13"/>
    <mergeCell ref="AG16:AK16"/>
    <mergeCell ref="AL16:AV16"/>
    <mergeCell ref="AX16:BB16"/>
    <mergeCell ref="BC16:BG16"/>
    <mergeCell ref="BH16:BL16"/>
    <mergeCell ref="A17:C17"/>
    <mergeCell ref="D17:F17"/>
    <mergeCell ref="G17:I17"/>
    <mergeCell ref="J17:L17"/>
    <mergeCell ref="M17:O17"/>
    <mergeCell ref="A16:F16"/>
    <mergeCell ref="G16:L16"/>
    <mergeCell ref="M16:R16"/>
    <mergeCell ref="T16:AA16"/>
    <mergeCell ref="AB16:AC16"/>
    <mergeCell ref="AD16:AE16"/>
    <mergeCell ref="P17:R17"/>
    <mergeCell ref="AX17:BB17"/>
    <mergeCell ref="BC17:BG17"/>
    <mergeCell ref="BH17:BL17"/>
    <mergeCell ref="A18:C18"/>
    <mergeCell ref="D18:F18"/>
    <mergeCell ref="G18:I18"/>
    <mergeCell ref="J18:L18"/>
    <mergeCell ref="M18:O18"/>
    <mergeCell ref="P18:R18"/>
    <mergeCell ref="AX18:BB18"/>
    <mergeCell ref="BC18:BG18"/>
    <mergeCell ref="BH18:BL18"/>
    <mergeCell ref="A19:C19"/>
    <mergeCell ref="D19:F19"/>
    <mergeCell ref="G19:I19"/>
    <mergeCell ref="J19:L19"/>
    <mergeCell ref="M19:O19"/>
    <mergeCell ref="P19:R19"/>
    <mergeCell ref="AX19:BB19"/>
    <mergeCell ref="BC19:BG19"/>
    <mergeCell ref="BH19:BL19"/>
    <mergeCell ref="A20:C20"/>
    <mergeCell ref="D20:F20"/>
    <mergeCell ref="G20:I20"/>
    <mergeCell ref="J20:L20"/>
    <mergeCell ref="M20:O20"/>
    <mergeCell ref="P20:R20"/>
    <mergeCell ref="AX20:BB20"/>
    <mergeCell ref="BC20:BG20"/>
    <mergeCell ref="BH20:BL20"/>
    <mergeCell ref="A21:C21"/>
    <mergeCell ref="D21:F21"/>
    <mergeCell ref="G21:I21"/>
    <mergeCell ref="J21:L21"/>
    <mergeCell ref="M21:O21"/>
    <mergeCell ref="P21:R21"/>
    <mergeCell ref="AX21:BB21"/>
    <mergeCell ref="BC21:BG21"/>
    <mergeCell ref="BH21:BL21"/>
    <mergeCell ref="A23:C23"/>
    <mergeCell ref="D23:F23"/>
    <mergeCell ref="G23:I23"/>
    <mergeCell ref="J23:L23"/>
    <mergeCell ref="M23:O23"/>
    <mergeCell ref="P23:R23"/>
    <mergeCell ref="A22:C22"/>
    <mergeCell ref="D22:F22"/>
    <mergeCell ref="G22:I22"/>
    <mergeCell ref="J22:L22"/>
    <mergeCell ref="M22:O22"/>
    <mergeCell ref="P22:R22"/>
    <mergeCell ref="A25:C25"/>
    <mergeCell ref="D25:F25"/>
    <mergeCell ref="G25:I25"/>
    <mergeCell ref="J25:L25"/>
    <mergeCell ref="M25:O25"/>
    <mergeCell ref="P25:R25"/>
    <mergeCell ref="A24:C24"/>
    <mergeCell ref="D24:F24"/>
    <mergeCell ref="G24:I24"/>
    <mergeCell ref="J24:L24"/>
    <mergeCell ref="M24:O24"/>
    <mergeCell ref="P24:R24"/>
    <mergeCell ref="A27:C27"/>
    <mergeCell ref="D27:F27"/>
    <mergeCell ref="G27:I27"/>
    <mergeCell ref="J27:L27"/>
    <mergeCell ref="M27:O27"/>
    <mergeCell ref="P27:R27"/>
    <mergeCell ref="A26:C26"/>
    <mergeCell ref="D26:F26"/>
    <mergeCell ref="G26:I26"/>
    <mergeCell ref="J26:L26"/>
    <mergeCell ref="M26:O26"/>
    <mergeCell ref="P26:R26"/>
    <mergeCell ref="AP33:AS33"/>
    <mergeCell ref="AT33:AV33"/>
    <mergeCell ref="AX33:BY34"/>
    <mergeCell ref="A34:AD34"/>
    <mergeCell ref="AF34:AO34"/>
    <mergeCell ref="AP34:AS34"/>
    <mergeCell ref="AT34:AV34"/>
    <mergeCell ref="A28:F28"/>
    <mergeCell ref="G28:I28"/>
    <mergeCell ref="J28:L28"/>
    <mergeCell ref="M28:O28"/>
    <mergeCell ref="P28:R28"/>
    <mergeCell ref="AF33:AO33"/>
    <mergeCell ref="A37:AD37"/>
    <mergeCell ref="AF37:AO37"/>
    <mergeCell ref="AP37:AS37"/>
    <mergeCell ref="AT37:AV37"/>
    <mergeCell ref="AX37:BZ37"/>
    <mergeCell ref="A38:AD38"/>
    <mergeCell ref="AF38:AO38"/>
    <mergeCell ref="AP38:AV38"/>
    <mergeCell ref="A35:AD35"/>
    <mergeCell ref="AF35:AO35"/>
    <mergeCell ref="AP35:AS35"/>
    <mergeCell ref="AT35:AV35"/>
    <mergeCell ref="AX35:BY36"/>
    <mergeCell ref="A36:AD36"/>
    <mergeCell ref="AF36:AO36"/>
    <mergeCell ref="AP36:AS36"/>
    <mergeCell ref="AT36:AV36"/>
    <mergeCell ref="A42:D42"/>
    <mergeCell ref="E42:K42"/>
    <mergeCell ref="AD42:AH42"/>
    <mergeCell ref="AI42:AV42"/>
    <mergeCell ref="A39:AD39"/>
    <mergeCell ref="AF39:AO39"/>
    <mergeCell ref="AP39:AS39"/>
    <mergeCell ref="AT39:AV39"/>
    <mergeCell ref="A40:AD40"/>
    <mergeCell ref="AF40:AO40"/>
    <mergeCell ref="AP40:AS40"/>
    <mergeCell ref="AT40:AV40"/>
  </mergeCells>
  <conditionalFormatting sqref="AL7:AV7 AL9:AV9 AL16:AV16 AB13:AF13 F9:P9 G18:I27 M18:O27 C13 E42:K42 AI42:AV42 AP33:AS34 F7 Z5">
    <cfRule type="containsBlanks" dxfId="234" priority="15">
      <formula>LEN(TRIM(C5))=0</formula>
    </cfRule>
  </conditionalFormatting>
  <conditionalFormatting sqref="AP38:AV38">
    <cfRule type="containsBlanks" dxfId="233" priority="14">
      <formula>LEN(TRIM(AP38))=0</formula>
    </cfRule>
  </conditionalFormatting>
  <conditionalFormatting sqref="A19:C27 G19:R27">
    <cfRule type="expression" dxfId="232" priority="13">
      <formula>AND(OR($C$13=5,$C$13&lt;5),$C$13&lt;&gt;"")</formula>
    </cfRule>
  </conditionalFormatting>
  <conditionalFormatting sqref="A24:C27 G24:R27">
    <cfRule type="expression" dxfId="231" priority="12">
      <formula>AND($C$13&gt;5,$C$13&lt;10)</formula>
    </cfRule>
  </conditionalFormatting>
  <conditionalFormatting sqref="A26:C27 G26:R27">
    <cfRule type="expression" dxfId="230" priority="11">
      <formula>AND(OR($C$13&gt;10,$C$13=10),OR($C$13&lt;12,$C$13=12))</formula>
    </cfRule>
  </conditionalFormatting>
  <conditionalFormatting sqref="D24:F27">
    <cfRule type="expression" dxfId="229" priority="10">
      <formula>AND(OR($C$13=5,$C$13&lt;5),$C$13&lt;&gt;"")</formula>
    </cfRule>
  </conditionalFormatting>
  <conditionalFormatting sqref="D24:F27">
    <cfRule type="expression" dxfId="228" priority="9">
      <formula>AND($C$13&gt;5,$C$13&lt;10)</formula>
    </cfRule>
  </conditionalFormatting>
  <conditionalFormatting sqref="D26:F27">
    <cfRule type="expression" dxfId="227" priority="8">
      <formula>AND(OR($C$13&gt;10,$C$13=10),OR($C$13&lt;12,$C$13=12))</formula>
    </cfRule>
  </conditionalFormatting>
  <conditionalFormatting sqref="D19:F23">
    <cfRule type="expression" dxfId="226" priority="7">
      <formula>AND(OR($C$13=5,$C$13&lt;5),$C$13&lt;&gt;"")</formula>
    </cfRule>
  </conditionalFormatting>
  <conditionalFormatting sqref="AB16:AD16">
    <cfRule type="containsBlanks" dxfId="225" priority="5">
      <formula>LEN(TRIM(AB16))=0</formula>
    </cfRule>
  </conditionalFormatting>
  <conditionalFormatting sqref="T16">
    <cfRule type="containsBlanks" dxfId="224" priority="6">
      <formula>LEN(TRIM(T16))=0</formula>
    </cfRule>
  </conditionalFormatting>
  <conditionalFormatting sqref="AB16:AE16">
    <cfRule type="expression" dxfId="223" priority="3">
      <formula>$T$16="FIXED SPEED"</formula>
    </cfRule>
    <cfRule type="expression" dxfId="222" priority="4">
      <formula>$X$40="FIXED SPEED"</formula>
    </cfRule>
  </conditionalFormatting>
  <conditionalFormatting sqref="AX13:BG13">
    <cfRule type="notContainsBlanks" dxfId="221" priority="2">
      <formula>LEN(TRIM(AX13))&gt;0</formula>
    </cfRule>
  </conditionalFormatting>
  <conditionalFormatting sqref="BE9:BE10">
    <cfRule type="containsBlanks" dxfId="220" priority="1">
      <formula>LEN(TRIM(BE9))=0</formula>
    </cfRule>
  </conditionalFormatting>
  <dataValidations count="4">
    <dataValidation type="list" allowBlank="1" showInputMessage="1" showErrorMessage="1" sqref="T16" xr:uid="{D5E07CF1-E3E0-47B0-A548-26E16F2307F7}">
      <formula1>"VFD SETTING, ECM SETTING, FIXED SPEED"</formula1>
    </dataValidation>
    <dataValidation type="list" allowBlank="1" showInputMessage="1" showErrorMessage="1" sqref="AD16:AE16" xr:uid="{3476FDA4-D83D-4F1F-ABB0-35C1B1A0CACC}">
      <formula1>"Hz, %"</formula1>
    </dataValidation>
    <dataValidation type="list" allowBlank="1" showInputMessage="1" sqref="AP38:AV38" xr:uid="{33BEEF38-64B0-43C3-9978-557EF4D17056}">
      <formula1>"N/A"</formula1>
    </dataValidation>
    <dataValidation errorStyle="information" operator="greaterThanOrEqual" allowBlank="1" showInputMessage="1" showErrorMessage="1" error="Round ducts 5&quot; or less may be measured using 90% of a single center-line velocity reading in lieu of the 6 point method (NEBB 2015). This is already accounted for in the formulas." sqref="C13:D13" xr:uid="{E9DA84E4-0ADF-4424-875F-14BC04BF28FA}"/>
  </dataValidations>
  <printOptions horizontalCentered="1"/>
  <pageMargins left="0.5" right="0.5" top="0.5" bottom="0.5" header="0" footer="0.25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D3F88-0090-4104-9172-5AF25D3200DD}">
  <sheetPr codeName="Sheet43">
    <pageSetUpPr fitToPage="1"/>
  </sheetPr>
  <dimension ref="A1:DG113"/>
  <sheetViews>
    <sheetView zoomScaleNormal="100" workbookViewId="0">
      <selection sqref="A1:C1"/>
    </sheetView>
  </sheetViews>
  <sheetFormatPr defaultColWidth="0" defaultRowHeight="0" customHeight="1" zeroHeight="1" x14ac:dyDescent="0.25"/>
  <cols>
    <col min="1" max="48" width="2.7109375" style="12" customWidth="1"/>
    <col min="49" max="84" width="2.7109375" customWidth="1"/>
    <col min="85" max="111" width="2.7109375" hidden="1" customWidth="1"/>
    <col min="112" max="16384" width="9.140625" hidden="1"/>
  </cols>
  <sheetData>
    <row r="1" spans="1:84" ht="12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645" t="s">
        <v>159</v>
      </c>
      <c r="AX1" s="645"/>
      <c r="AY1" s="645"/>
      <c r="AZ1" s="645"/>
      <c r="BA1" s="645"/>
      <c r="BB1" s="645"/>
      <c r="BC1" s="645"/>
      <c r="BD1" s="645"/>
      <c r="BE1" s="645"/>
      <c r="BF1" s="645"/>
      <c r="BG1" s="645"/>
      <c r="BH1" s="645"/>
      <c r="BI1" s="645"/>
      <c r="BJ1" s="645"/>
      <c r="BK1" s="645"/>
      <c r="BL1" s="645"/>
      <c r="BM1" s="645"/>
      <c r="BN1" s="645"/>
      <c r="BO1" s="645"/>
      <c r="BP1" s="645"/>
      <c r="BQ1" s="645"/>
      <c r="BR1" s="645"/>
      <c r="BS1" s="645"/>
      <c r="BT1" s="645"/>
      <c r="BU1" s="645"/>
      <c r="BV1" s="645"/>
      <c r="BW1" s="645"/>
      <c r="BX1" s="645"/>
      <c r="BY1" s="645"/>
      <c r="BZ1" s="645"/>
      <c r="CA1" s="645"/>
      <c r="CB1" s="645"/>
      <c r="CC1" s="645"/>
      <c r="CD1" s="645"/>
      <c r="CE1" s="645"/>
      <c r="CF1" s="645"/>
    </row>
    <row r="2" spans="1:84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</row>
    <row r="3" spans="1:84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</row>
    <row r="4" spans="1:84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</row>
    <row r="5" spans="1:84" ht="12.6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847"/>
      <c r="AA5" s="847"/>
      <c r="AB5" s="847"/>
      <c r="AC5" s="847"/>
      <c r="AD5" s="847"/>
      <c r="AE5" s="847"/>
      <c r="AF5" s="847"/>
      <c r="AG5" s="847"/>
      <c r="AH5" s="847"/>
      <c r="AI5" s="847"/>
      <c r="AJ5" s="847"/>
      <c r="AK5" s="847"/>
      <c r="AL5" s="847"/>
      <c r="AM5" s="847"/>
      <c r="AN5" s="847"/>
      <c r="AO5" s="847"/>
      <c r="AP5" s="847"/>
      <c r="AQ5" s="847"/>
      <c r="AR5" s="847"/>
      <c r="AS5" s="847"/>
      <c r="AT5" s="847"/>
      <c r="AU5" s="847"/>
      <c r="AV5" s="84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</row>
    <row r="6" spans="1:84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</row>
    <row r="7" spans="1:84" ht="12" customHeight="1" thickBot="1" x14ac:dyDescent="0.3">
      <c r="A7" s="526" t="s">
        <v>161</v>
      </c>
      <c r="B7" s="526"/>
      <c r="C7" s="526"/>
      <c r="D7" s="526"/>
      <c r="E7" s="526"/>
      <c r="F7" s="527"/>
      <c r="G7" s="527"/>
      <c r="H7" s="527"/>
      <c r="I7" s="527"/>
      <c r="J7" s="527"/>
      <c r="K7" s="527"/>
      <c r="L7" s="527"/>
      <c r="M7" s="527"/>
      <c r="N7" s="527"/>
      <c r="O7" s="527"/>
      <c r="P7" s="527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26" t="s">
        <v>162</v>
      </c>
      <c r="AH7" s="526"/>
      <c r="AI7" s="526"/>
      <c r="AJ7" s="526"/>
      <c r="AK7" s="526"/>
      <c r="AL7" s="527"/>
      <c r="AM7" s="527"/>
      <c r="AN7" s="527"/>
      <c r="AO7" s="527"/>
      <c r="AP7" s="527"/>
      <c r="AQ7" s="527"/>
      <c r="AR7" s="527"/>
      <c r="AS7" s="527"/>
      <c r="AT7" s="527"/>
      <c r="AU7" s="527"/>
      <c r="AV7" s="52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</row>
    <row r="8" spans="1:84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107"/>
      <c r="AX8" s="108"/>
      <c r="AY8" s="678" t="s">
        <v>297</v>
      </c>
      <c r="AZ8" s="679"/>
      <c r="BA8" s="679"/>
      <c r="BB8" s="679"/>
      <c r="BC8" s="679"/>
      <c r="BD8" s="679"/>
      <c r="BE8" s="679"/>
      <c r="BF8" s="680"/>
      <c r="BG8" s="109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  <c r="BT8" s="107"/>
      <c r="BU8" s="107"/>
      <c r="BV8" s="107"/>
      <c r="BW8" s="107"/>
      <c r="BX8" s="107"/>
      <c r="BY8" s="107"/>
      <c r="BZ8" s="107"/>
      <c r="CA8" s="107"/>
      <c r="CB8" s="107"/>
      <c r="CC8" s="107"/>
      <c r="CD8" s="107"/>
      <c r="CE8" s="107"/>
      <c r="CF8" s="107"/>
    </row>
    <row r="9" spans="1:84" ht="12" customHeight="1" thickTop="1" x14ac:dyDescent="0.25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526" t="s">
        <v>164</v>
      </c>
      <c r="AH9" s="526"/>
      <c r="AI9" s="526"/>
      <c r="AJ9" s="526"/>
      <c r="AK9" s="526"/>
      <c r="AL9" s="527"/>
      <c r="AM9" s="527"/>
      <c r="AN9" s="527"/>
      <c r="AO9" s="527"/>
      <c r="AP9" s="527"/>
      <c r="AQ9" s="527"/>
      <c r="AR9" s="527"/>
      <c r="AS9" s="527"/>
      <c r="AT9" s="527"/>
      <c r="AU9" s="527"/>
      <c r="AV9" s="527"/>
      <c r="AW9" s="107"/>
      <c r="AX9" s="110"/>
      <c r="AY9" s="684" t="s">
        <v>298</v>
      </c>
      <c r="AZ9" s="684"/>
      <c r="BA9" s="684"/>
      <c r="BB9" s="684"/>
      <c r="BC9" s="684"/>
      <c r="BD9" s="684"/>
      <c r="BE9" s="685"/>
      <c r="BF9" s="686"/>
      <c r="BG9" s="111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</row>
    <row r="10" spans="1:84" ht="12" customHeight="1" thickBo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107"/>
      <c r="AX10" s="110"/>
      <c r="AY10" s="669" t="s">
        <v>300</v>
      </c>
      <c r="AZ10" s="669"/>
      <c r="BA10" s="669"/>
      <c r="BB10" s="669"/>
      <c r="BC10" s="669"/>
      <c r="BD10" s="669"/>
      <c r="BE10" s="670"/>
      <c r="BF10" s="671"/>
      <c r="BG10" s="112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</row>
    <row r="11" spans="1:84" ht="12" customHeight="1" thickBot="1" x14ac:dyDescent="0.3">
      <c r="A11" s="314" t="s">
        <v>311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5"/>
      <c r="AJ11" s="315"/>
      <c r="AK11" s="315"/>
      <c r="AL11" s="315"/>
      <c r="AM11" s="315"/>
      <c r="AN11" s="315"/>
      <c r="AO11" s="315"/>
      <c r="AP11" s="315"/>
      <c r="AQ11" s="315"/>
      <c r="AR11" s="315"/>
      <c r="AS11" s="315"/>
      <c r="AT11" s="315"/>
      <c r="AU11" s="315"/>
      <c r="AV11" s="316"/>
      <c r="AW11" s="107"/>
      <c r="AX11" s="113"/>
      <c r="AY11" s="114"/>
      <c r="AZ11" s="114"/>
      <c r="BA11" s="114"/>
      <c r="BB11" s="114"/>
      <c r="BC11" s="114"/>
      <c r="BD11" s="114"/>
      <c r="BE11" s="114"/>
      <c r="BF11" s="114"/>
      <c r="BG11" s="115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</row>
    <row r="12" spans="1:84" ht="12.6" customHeight="1" thickTop="1" thickBot="1" x14ac:dyDescent="0.3">
      <c r="A12" s="752" t="s">
        <v>312</v>
      </c>
      <c r="B12" s="753"/>
      <c r="C12" s="753"/>
      <c r="D12" s="753"/>
      <c r="E12" s="753"/>
      <c r="F12" s="753"/>
      <c r="G12" s="753"/>
      <c r="H12" s="753"/>
      <c r="I12" s="753"/>
      <c r="J12" s="753"/>
      <c r="K12" s="753"/>
      <c r="L12" s="753"/>
      <c r="M12" s="753"/>
      <c r="N12" s="753"/>
      <c r="O12" s="753"/>
      <c r="P12" s="753"/>
      <c r="Q12" s="753" t="s">
        <v>313</v>
      </c>
      <c r="R12" s="753"/>
      <c r="S12" s="753"/>
      <c r="T12" s="753"/>
      <c r="U12" s="753"/>
      <c r="V12" s="753"/>
      <c r="W12" s="753"/>
      <c r="X12" s="753"/>
      <c r="Y12" s="753"/>
      <c r="Z12" s="753"/>
      <c r="AA12" s="753"/>
      <c r="AB12" s="753"/>
      <c r="AC12" s="753"/>
      <c r="AD12" s="753"/>
      <c r="AE12" s="753"/>
      <c r="AF12" s="753"/>
      <c r="AG12" s="753" t="s">
        <v>314</v>
      </c>
      <c r="AH12" s="753"/>
      <c r="AI12" s="753"/>
      <c r="AJ12" s="753"/>
      <c r="AK12" s="753"/>
      <c r="AL12" s="753"/>
      <c r="AM12" s="753"/>
      <c r="AN12" s="753"/>
      <c r="AO12" s="753"/>
      <c r="AP12" s="753"/>
      <c r="AQ12" s="753"/>
      <c r="AR12" s="753"/>
      <c r="AS12" s="753"/>
      <c r="AT12" s="753"/>
      <c r="AU12" s="753"/>
      <c r="AV12" s="779"/>
      <c r="AW12" s="107"/>
      <c r="AX12" s="780" t="s">
        <v>309</v>
      </c>
      <c r="AY12" s="781"/>
      <c r="AZ12" s="781"/>
      <c r="BA12" s="781"/>
      <c r="BB12" s="781"/>
      <c r="BC12" s="781"/>
      <c r="BD12" s="781"/>
      <c r="BE12" s="781"/>
      <c r="BF12" s="781"/>
      <c r="BG12" s="782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  <c r="BT12" s="107"/>
      <c r="BU12" s="107"/>
      <c r="BV12" s="107"/>
      <c r="BW12" s="107"/>
      <c r="BX12" s="107"/>
      <c r="BY12" s="107"/>
      <c r="BZ12" s="107"/>
      <c r="CA12" s="107"/>
      <c r="CB12" s="107"/>
      <c r="CC12" s="107"/>
      <c r="CD12" s="107"/>
      <c r="CE12" s="107"/>
      <c r="CF12" s="107"/>
    </row>
    <row r="13" spans="1:84" ht="12" customHeight="1" thickTop="1" thickBot="1" x14ac:dyDescent="0.3">
      <c r="A13" s="878" t="s">
        <v>315</v>
      </c>
      <c r="B13" s="879"/>
      <c r="C13" s="560"/>
      <c r="D13" s="560"/>
      <c r="E13" s="880" t="s">
        <v>358</v>
      </c>
      <c r="F13" s="880"/>
      <c r="G13" s="880"/>
      <c r="H13" s="881"/>
      <c r="I13" s="773" t="s">
        <v>318</v>
      </c>
      <c r="J13" s="427"/>
      <c r="K13" s="427"/>
      <c r="L13" s="777">
        <f>IFERROR(C13*C13*3.14/144/4,"")</f>
        <v>0</v>
      </c>
      <c r="M13" s="777"/>
      <c r="N13" s="777"/>
      <c r="O13" s="777"/>
      <c r="P13" s="778"/>
      <c r="Q13" s="773" t="s">
        <v>319</v>
      </c>
      <c r="R13" s="427"/>
      <c r="S13" s="427"/>
      <c r="T13" s="771" t="str">
        <f>IFERROR(AB13/L13,"")</f>
        <v/>
      </c>
      <c r="U13" s="771"/>
      <c r="V13" s="771"/>
      <c r="W13" s="771"/>
      <c r="X13" s="772"/>
      <c r="Y13" s="773" t="s">
        <v>56</v>
      </c>
      <c r="Z13" s="427"/>
      <c r="AA13" s="427"/>
      <c r="AB13" s="774"/>
      <c r="AC13" s="774"/>
      <c r="AD13" s="774"/>
      <c r="AE13" s="774"/>
      <c r="AF13" s="775"/>
      <c r="AG13" s="773" t="s">
        <v>319</v>
      </c>
      <c r="AH13" s="427"/>
      <c r="AI13" s="427"/>
      <c r="AJ13" s="771" t="str">
        <f>AP37</f>
        <v/>
      </c>
      <c r="AK13" s="771"/>
      <c r="AL13" s="771"/>
      <c r="AM13" s="771"/>
      <c r="AN13" s="772"/>
      <c r="AO13" s="773" t="s">
        <v>56</v>
      </c>
      <c r="AP13" s="427"/>
      <c r="AQ13" s="427"/>
      <c r="AR13" s="771" t="str">
        <f>AP40</f>
        <v/>
      </c>
      <c r="AS13" s="771"/>
      <c r="AT13" s="771"/>
      <c r="AU13" s="771"/>
      <c r="AV13" s="783"/>
      <c r="AW13" s="107"/>
      <c r="AX13" s="626" t="str">
        <f>IF(AR13="CALC.","",IF(AR13="","",IF(AR13&lt;AB13-(AB13*$BE$10),"Below "&amp;$BE$10*100&amp;"% by "&amp;ROUND(AB13-(AB13*$BE$10)-AR13,0)&amp;" CFM",IF(AR13&gt;AB13+(AB13*$BE$9),"Above "&amp;$BE$9*100&amp;"% by "&amp;ROUND(AR13-AB13-(AB13*$BE$9),0)&amp;" CFM",""))))</f>
        <v/>
      </c>
      <c r="AY13" s="627"/>
      <c r="AZ13" s="627"/>
      <c r="BA13" s="627"/>
      <c r="BB13" s="627"/>
      <c r="BC13" s="627"/>
      <c r="BD13" s="627"/>
      <c r="BE13" s="627"/>
      <c r="BF13" s="627"/>
      <c r="BG13" s="628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  <c r="CE13" s="107"/>
      <c r="CF13" s="107"/>
    </row>
    <row r="14" spans="1:84" ht="12" customHeight="1" thickBot="1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/>
      <c r="CA14" s="107"/>
      <c r="CB14" s="107"/>
      <c r="CC14" s="107"/>
      <c r="CD14" s="107"/>
      <c r="CE14" s="107"/>
      <c r="CF14" s="107"/>
    </row>
    <row r="15" spans="1:84" s="120" customFormat="1" ht="12" customHeight="1" thickBot="1" x14ac:dyDescent="0.3">
      <c r="A15" s="875" t="s">
        <v>324</v>
      </c>
      <c r="B15" s="876"/>
      <c r="C15" s="876"/>
      <c r="D15" s="876"/>
      <c r="E15" s="876"/>
      <c r="F15" s="876"/>
      <c r="G15" s="876"/>
      <c r="H15" s="876"/>
      <c r="I15" s="876"/>
      <c r="J15" s="876"/>
      <c r="K15" s="876"/>
      <c r="L15" s="876"/>
      <c r="M15" s="876"/>
      <c r="N15" s="876"/>
      <c r="O15" s="876"/>
      <c r="P15" s="876"/>
      <c r="Q15" s="876"/>
      <c r="R15" s="877"/>
      <c r="S15" s="42"/>
      <c r="T15" s="338" t="s">
        <v>320</v>
      </c>
      <c r="U15" s="339"/>
      <c r="V15" s="339"/>
      <c r="W15" s="339"/>
      <c r="X15" s="339"/>
      <c r="Y15" s="339"/>
      <c r="Z15" s="339"/>
      <c r="AA15" s="339"/>
      <c r="AB15" s="339"/>
      <c r="AC15" s="339"/>
      <c r="AD15" s="339"/>
      <c r="AE15" s="340"/>
      <c r="AF15" s="42"/>
      <c r="AG15" s="314" t="s">
        <v>321</v>
      </c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  <c r="AS15" s="315"/>
      <c r="AT15" s="315"/>
      <c r="AU15" s="315"/>
      <c r="AV15" s="316"/>
      <c r="AW15" s="44"/>
      <c r="AX15" s="471" t="s">
        <v>160</v>
      </c>
      <c r="AY15" s="472"/>
      <c r="AZ15" s="472"/>
      <c r="BA15" s="472"/>
      <c r="BB15" s="472"/>
      <c r="BC15" s="472"/>
      <c r="BD15" s="472"/>
      <c r="BE15" s="472"/>
      <c r="BF15" s="472"/>
      <c r="BG15" s="472"/>
      <c r="BH15" s="472"/>
      <c r="BI15" s="472"/>
      <c r="BJ15" s="472"/>
      <c r="BK15" s="472"/>
      <c r="BL15" s="473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</row>
    <row r="16" spans="1:84" ht="12.6" customHeight="1" thickTop="1" thickBot="1" x14ac:dyDescent="0.3">
      <c r="A16" s="730" t="s">
        <v>334</v>
      </c>
      <c r="B16" s="731"/>
      <c r="C16" s="731"/>
      <c r="D16" s="731"/>
      <c r="E16" s="731"/>
      <c r="F16" s="731"/>
      <c r="G16" s="762" t="s">
        <v>359</v>
      </c>
      <c r="H16" s="762"/>
      <c r="I16" s="762"/>
      <c r="J16" s="762"/>
      <c r="K16" s="762"/>
      <c r="L16" s="873"/>
      <c r="M16" s="763" t="s">
        <v>360</v>
      </c>
      <c r="N16" s="762"/>
      <c r="O16" s="762"/>
      <c r="P16" s="762"/>
      <c r="Q16" s="762"/>
      <c r="R16" s="764"/>
      <c r="S16" s="42"/>
      <c r="T16" s="765"/>
      <c r="U16" s="766"/>
      <c r="V16" s="766"/>
      <c r="W16" s="766"/>
      <c r="X16" s="766"/>
      <c r="Y16" s="766"/>
      <c r="Z16" s="766"/>
      <c r="AA16" s="766"/>
      <c r="AB16" s="356"/>
      <c r="AC16" s="357"/>
      <c r="AD16" s="322"/>
      <c r="AE16" s="323"/>
      <c r="AF16" s="42"/>
      <c r="AG16" s="767" t="s">
        <v>322</v>
      </c>
      <c r="AH16" s="768"/>
      <c r="AI16" s="768"/>
      <c r="AJ16" s="768"/>
      <c r="AK16" s="768"/>
      <c r="AL16" s="890" t="s">
        <v>357</v>
      </c>
      <c r="AM16" s="890"/>
      <c r="AN16" s="890"/>
      <c r="AO16" s="890"/>
      <c r="AP16" s="890"/>
      <c r="AQ16" s="890"/>
      <c r="AR16" s="890"/>
      <c r="AS16" s="890"/>
      <c r="AT16" s="890"/>
      <c r="AU16" s="890"/>
      <c r="AV16" s="891"/>
      <c r="AW16" s="107"/>
      <c r="AX16" s="324"/>
      <c r="AY16" s="547"/>
      <c r="AZ16" s="547"/>
      <c r="BA16" s="547"/>
      <c r="BB16" s="325"/>
      <c r="BC16" s="548"/>
      <c r="BD16" s="547"/>
      <c r="BE16" s="547"/>
      <c r="BF16" s="547"/>
      <c r="BG16" s="325"/>
      <c r="BH16" s="548"/>
      <c r="BI16" s="547"/>
      <c r="BJ16" s="547"/>
      <c r="BK16" s="547"/>
      <c r="BL16" s="549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7"/>
      <c r="CC16" s="107"/>
      <c r="CD16" s="107"/>
      <c r="CE16" s="107"/>
      <c r="CF16" s="107"/>
    </row>
    <row r="17" spans="1:84" ht="12" customHeight="1" thickBot="1" x14ac:dyDescent="0.3">
      <c r="A17" s="726" t="s">
        <v>306</v>
      </c>
      <c r="B17" s="392"/>
      <c r="C17" s="392"/>
      <c r="D17" s="392" t="s">
        <v>327</v>
      </c>
      <c r="E17" s="392"/>
      <c r="F17" s="392"/>
      <c r="G17" s="892" t="s">
        <v>235</v>
      </c>
      <c r="H17" s="871"/>
      <c r="I17" s="871"/>
      <c r="J17" s="872" t="s">
        <v>349</v>
      </c>
      <c r="K17" s="871"/>
      <c r="L17" s="871"/>
      <c r="M17" s="892" t="s">
        <v>235</v>
      </c>
      <c r="N17" s="871"/>
      <c r="O17" s="871"/>
      <c r="P17" s="872" t="s">
        <v>349</v>
      </c>
      <c r="Q17" s="871"/>
      <c r="R17" s="874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107"/>
      <c r="AX17" s="521"/>
      <c r="AY17" s="522"/>
      <c r="AZ17" s="522"/>
      <c r="BA17" s="522"/>
      <c r="BB17" s="523"/>
      <c r="BC17" s="524"/>
      <c r="BD17" s="522"/>
      <c r="BE17" s="522"/>
      <c r="BF17" s="522"/>
      <c r="BG17" s="523"/>
      <c r="BH17" s="524"/>
      <c r="BI17" s="522"/>
      <c r="BJ17" s="522"/>
      <c r="BK17" s="522"/>
      <c r="BL17" s="525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107"/>
      <c r="CA17" s="107"/>
      <c r="CB17" s="107"/>
      <c r="CC17" s="107"/>
      <c r="CD17" s="107"/>
      <c r="CE17" s="107"/>
      <c r="CF17" s="107"/>
    </row>
    <row r="18" spans="1:84" ht="12.6" customHeight="1" thickTop="1" x14ac:dyDescent="0.25">
      <c r="A18" s="868">
        <v>1</v>
      </c>
      <c r="B18" s="869"/>
      <c r="C18" s="869"/>
      <c r="D18" s="870">
        <f>IF($C$13&lt;=5,$C$13/2,IF(AND($C$13&gt;=6,$C$13&lt;=9),($C$13/6)/2,IF(AND($C$13&gt;=10,$C$13&lt;=12),($C$13/8)/2,IF($C$13&gt;12,($C$13/10)/2,""))))</f>
        <v>0</v>
      </c>
      <c r="E18" s="870"/>
      <c r="F18" s="870"/>
      <c r="G18" s="888"/>
      <c r="H18" s="889"/>
      <c r="I18" s="889"/>
      <c r="J18" s="866"/>
      <c r="K18" s="795"/>
      <c r="L18" s="795"/>
      <c r="M18" s="888"/>
      <c r="N18" s="889"/>
      <c r="O18" s="889"/>
      <c r="P18" s="866"/>
      <c r="Q18" s="795"/>
      <c r="R18" s="797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107"/>
      <c r="AX18" s="521"/>
      <c r="AY18" s="522"/>
      <c r="AZ18" s="522"/>
      <c r="BA18" s="522"/>
      <c r="BB18" s="523"/>
      <c r="BC18" s="524"/>
      <c r="BD18" s="522"/>
      <c r="BE18" s="522"/>
      <c r="BF18" s="522"/>
      <c r="BG18" s="523"/>
      <c r="BH18" s="524"/>
      <c r="BI18" s="522"/>
      <c r="BJ18" s="522"/>
      <c r="BK18" s="522"/>
      <c r="BL18" s="525"/>
      <c r="BM18" s="107"/>
      <c r="BN18" s="107"/>
      <c r="BO18" s="107"/>
      <c r="BP18" s="107"/>
      <c r="BQ18" s="107"/>
      <c r="BR18" s="107"/>
      <c r="BS18" s="107"/>
      <c r="BT18" s="107"/>
      <c r="BU18" s="107"/>
      <c r="BV18" s="107"/>
      <c r="BW18" s="107"/>
      <c r="BX18" s="107"/>
      <c r="BY18" s="107"/>
      <c r="BZ18" s="107"/>
      <c r="CA18" s="107"/>
      <c r="CB18" s="107"/>
      <c r="CC18" s="107"/>
      <c r="CD18" s="107"/>
      <c r="CE18" s="107"/>
      <c r="CF18" s="107"/>
    </row>
    <row r="19" spans="1:84" ht="12" customHeight="1" x14ac:dyDescent="0.25">
      <c r="A19" s="730">
        <v>2</v>
      </c>
      <c r="B19" s="731"/>
      <c r="C19" s="731"/>
      <c r="D19" s="864">
        <f>IF($C$13&lt;=5,$C$13/2,IF(AND($C$13&gt;=6,$C$13&lt;=9),($C$13/6)+D18,IF(AND($C$13&gt;=10,$C$13&lt;=12),($C$13/8)+D18,IF($C$13&gt;12,($C$13/10)+D18,""))))</f>
        <v>0</v>
      </c>
      <c r="E19" s="864"/>
      <c r="F19" s="864"/>
      <c r="G19" s="888"/>
      <c r="H19" s="889"/>
      <c r="I19" s="889"/>
      <c r="J19" s="866"/>
      <c r="K19" s="795"/>
      <c r="L19" s="795"/>
      <c r="M19" s="888"/>
      <c r="N19" s="889"/>
      <c r="O19" s="889"/>
      <c r="P19" s="866"/>
      <c r="Q19" s="795"/>
      <c r="R19" s="797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107"/>
      <c r="AX19" s="521"/>
      <c r="AY19" s="522"/>
      <c r="AZ19" s="522"/>
      <c r="BA19" s="522"/>
      <c r="BB19" s="523"/>
      <c r="BC19" s="524"/>
      <c r="BD19" s="522"/>
      <c r="BE19" s="522"/>
      <c r="BF19" s="522"/>
      <c r="BG19" s="523"/>
      <c r="BH19" s="524"/>
      <c r="BI19" s="522"/>
      <c r="BJ19" s="522"/>
      <c r="BK19" s="522"/>
      <c r="BL19" s="525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7"/>
      <c r="CC19" s="107"/>
      <c r="CD19" s="107"/>
      <c r="CE19" s="107"/>
      <c r="CF19" s="107"/>
    </row>
    <row r="20" spans="1:84" ht="12" customHeight="1" x14ac:dyDescent="0.25">
      <c r="A20" s="730">
        <v>3</v>
      </c>
      <c r="B20" s="731"/>
      <c r="C20" s="731"/>
      <c r="D20" s="864">
        <f t="shared" ref="D20:D27" si="0">IF($C$13&lt;=5,$C$13/2,IF(AND($C$13&gt;=6,$C$13&lt;=9),($C$13/6)+D19,IF(AND($C$13&gt;=10,$C$13&lt;=12),($C$13/8)+D19,IF($C$13&gt;12,($C$13/10)+D19,""))))</f>
        <v>0</v>
      </c>
      <c r="E20" s="864"/>
      <c r="F20" s="864"/>
      <c r="G20" s="888"/>
      <c r="H20" s="889"/>
      <c r="I20" s="889"/>
      <c r="J20" s="866"/>
      <c r="K20" s="795"/>
      <c r="L20" s="795"/>
      <c r="M20" s="888"/>
      <c r="N20" s="889"/>
      <c r="O20" s="889"/>
      <c r="P20" s="866"/>
      <c r="Q20" s="795"/>
      <c r="R20" s="797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107"/>
      <c r="AX20" s="521"/>
      <c r="AY20" s="522"/>
      <c r="AZ20" s="522"/>
      <c r="BA20" s="522"/>
      <c r="BB20" s="523"/>
      <c r="BC20" s="524"/>
      <c r="BD20" s="522"/>
      <c r="BE20" s="522"/>
      <c r="BF20" s="522"/>
      <c r="BG20" s="523"/>
      <c r="BH20" s="524"/>
      <c r="BI20" s="522"/>
      <c r="BJ20" s="522"/>
      <c r="BK20" s="522"/>
      <c r="BL20" s="525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7"/>
      <c r="CC20" s="107"/>
      <c r="CD20" s="107"/>
      <c r="CE20" s="107"/>
      <c r="CF20" s="107"/>
    </row>
    <row r="21" spans="1:84" ht="12" customHeight="1" thickBot="1" x14ac:dyDescent="0.3">
      <c r="A21" s="730">
        <v>4</v>
      </c>
      <c r="B21" s="731"/>
      <c r="C21" s="731"/>
      <c r="D21" s="864">
        <f t="shared" si="0"/>
        <v>0</v>
      </c>
      <c r="E21" s="864"/>
      <c r="F21" s="864"/>
      <c r="G21" s="888"/>
      <c r="H21" s="889"/>
      <c r="I21" s="889"/>
      <c r="J21" s="866"/>
      <c r="K21" s="795"/>
      <c r="L21" s="795"/>
      <c r="M21" s="888"/>
      <c r="N21" s="889"/>
      <c r="O21" s="889"/>
      <c r="P21" s="866"/>
      <c r="Q21" s="795"/>
      <c r="R21" s="797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107"/>
      <c r="AX21" s="528"/>
      <c r="AY21" s="529"/>
      <c r="AZ21" s="529"/>
      <c r="BA21" s="529"/>
      <c r="BB21" s="530"/>
      <c r="BC21" s="531"/>
      <c r="BD21" s="529"/>
      <c r="BE21" s="529"/>
      <c r="BF21" s="529"/>
      <c r="BG21" s="530"/>
      <c r="BH21" s="531"/>
      <c r="BI21" s="529"/>
      <c r="BJ21" s="529"/>
      <c r="BK21" s="529"/>
      <c r="BL21" s="532"/>
      <c r="BM21" s="107"/>
      <c r="BN21" s="107"/>
      <c r="BO21" s="107"/>
      <c r="BP21" s="107"/>
      <c r="BQ21" s="107"/>
      <c r="BR21" s="107"/>
      <c r="BS21" s="107"/>
      <c r="BT21" s="107"/>
      <c r="BU21" s="107"/>
      <c r="BV21" s="107"/>
      <c r="BW21" s="107"/>
      <c r="BX21" s="107"/>
      <c r="BY21" s="107"/>
      <c r="BZ21" s="107"/>
      <c r="CA21" s="107"/>
      <c r="CB21" s="107"/>
      <c r="CC21" s="107"/>
      <c r="CD21" s="107"/>
      <c r="CE21" s="107"/>
      <c r="CF21" s="107"/>
    </row>
    <row r="22" spans="1:84" ht="12" customHeight="1" x14ac:dyDescent="0.25">
      <c r="A22" s="730">
        <v>5</v>
      </c>
      <c r="B22" s="731"/>
      <c r="C22" s="731"/>
      <c r="D22" s="864">
        <f t="shared" si="0"/>
        <v>0</v>
      </c>
      <c r="E22" s="864"/>
      <c r="F22" s="864"/>
      <c r="G22" s="888"/>
      <c r="H22" s="889"/>
      <c r="I22" s="889"/>
      <c r="J22" s="866"/>
      <c r="K22" s="795"/>
      <c r="L22" s="795"/>
      <c r="M22" s="888"/>
      <c r="N22" s="889"/>
      <c r="O22" s="889"/>
      <c r="P22" s="866"/>
      <c r="Q22" s="795"/>
      <c r="R22" s="797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7"/>
      <c r="CC22" s="107"/>
      <c r="CD22" s="107"/>
      <c r="CE22" s="107"/>
      <c r="CF22" s="107"/>
    </row>
    <row r="23" spans="1:84" ht="12" customHeight="1" x14ac:dyDescent="0.25">
      <c r="A23" s="730">
        <v>6</v>
      </c>
      <c r="B23" s="731"/>
      <c r="C23" s="731"/>
      <c r="D23" s="864">
        <f t="shared" si="0"/>
        <v>0</v>
      </c>
      <c r="E23" s="864"/>
      <c r="F23" s="864"/>
      <c r="G23" s="886"/>
      <c r="H23" s="887"/>
      <c r="I23" s="887"/>
      <c r="J23" s="866"/>
      <c r="K23" s="795"/>
      <c r="L23" s="795"/>
      <c r="M23" s="888"/>
      <c r="N23" s="889"/>
      <c r="O23" s="889"/>
      <c r="P23" s="866"/>
      <c r="Q23" s="795"/>
      <c r="R23" s="797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  <c r="BT23" s="107"/>
      <c r="BU23" s="107"/>
      <c r="BV23" s="107"/>
      <c r="BW23" s="107"/>
      <c r="BX23" s="107"/>
      <c r="BY23" s="107"/>
      <c r="BZ23" s="107"/>
      <c r="CA23" s="107"/>
      <c r="CB23" s="107"/>
      <c r="CC23" s="107"/>
      <c r="CD23" s="107"/>
      <c r="CE23" s="107"/>
      <c r="CF23" s="107"/>
    </row>
    <row r="24" spans="1:84" ht="12" customHeight="1" x14ac:dyDescent="0.25">
      <c r="A24" s="730">
        <v>7</v>
      </c>
      <c r="B24" s="731"/>
      <c r="C24" s="731"/>
      <c r="D24" s="867">
        <f t="shared" si="0"/>
        <v>0</v>
      </c>
      <c r="E24" s="867"/>
      <c r="F24" s="867"/>
      <c r="G24" s="886"/>
      <c r="H24" s="887"/>
      <c r="I24" s="887"/>
      <c r="J24" s="866"/>
      <c r="K24" s="795"/>
      <c r="L24" s="795"/>
      <c r="M24" s="888"/>
      <c r="N24" s="889"/>
      <c r="O24" s="889"/>
      <c r="P24" s="866"/>
      <c r="Q24" s="795"/>
      <c r="R24" s="797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7"/>
      <c r="BN24" s="107"/>
      <c r="BO24" s="107"/>
      <c r="BP24" s="107"/>
      <c r="BQ24" s="107"/>
      <c r="BR24" s="107"/>
      <c r="BS24" s="107"/>
      <c r="BT24" s="107"/>
      <c r="BU24" s="107"/>
      <c r="BV24" s="107"/>
      <c r="BW24" s="107"/>
      <c r="BX24" s="107"/>
      <c r="BY24" s="107"/>
      <c r="BZ24" s="107"/>
      <c r="CA24" s="107"/>
      <c r="CB24" s="107"/>
      <c r="CC24" s="107"/>
      <c r="CD24" s="107"/>
      <c r="CE24" s="107"/>
      <c r="CF24" s="107"/>
    </row>
    <row r="25" spans="1:84" ht="12" customHeight="1" x14ac:dyDescent="0.25">
      <c r="A25" s="730">
        <v>8</v>
      </c>
      <c r="B25" s="731"/>
      <c r="C25" s="731"/>
      <c r="D25" s="864">
        <f t="shared" si="0"/>
        <v>0</v>
      </c>
      <c r="E25" s="864"/>
      <c r="F25" s="864"/>
      <c r="G25" s="886"/>
      <c r="H25" s="887"/>
      <c r="I25" s="887"/>
      <c r="J25" s="866"/>
      <c r="K25" s="795"/>
      <c r="L25" s="795"/>
      <c r="M25" s="888"/>
      <c r="N25" s="889"/>
      <c r="O25" s="889"/>
      <c r="P25" s="866"/>
      <c r="Q25" s="795"/>
      <c r="R25" s="797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</row>
    <row r="26" spans="1:84" ht="12" customHeight="1" x14ac:dyDescent="0.25">
      <c r="A26" s="730">
        <v>9</v>
      </c>
      <c r="B26" s="731"/>
      <c r="C26" s="731"/>
      <c r="D26" s="864">
        <f t="shared" si="0"/>
        <v>0</v>
      </c>
      <c r="E26" s="864"/>
      <c r="F26" s="864"/>
      <c r="G26" s="886"/>
      <c r="H26" s="887"/>
      <c r="I26" s="887"/>
      <c r="J26" s="866" t="str">
        <f>IF(G26="","",SQRT(G26)*4005)</f>
        <v/>
      </c>
      <c r="K26" s="795"/>
      <c r="L26" s="795"/>
      <c r="M26" s="888"/>
      <c r="N26" s="889"/>
      <c r="O26" s="889"/>
      <c r="P26" s="866" t="str">
        <f>IF(M26="","",SQRT(M26)*4005)</f>
        <v/>
      </c>
      <c r="Q26" s="795"/>
      <c r="R26" s="797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</row>
    <row r="27" spans="1:84" ht="12" customHeight="1" thickBot="1" x14ac:dyDescent="0.3">
      <c r="A27" s="726">
        <v>10</v>
      </c>
      <c r="B27" s="392"/>
      <c r="C27" s="392"/>
      <c r="D27" s="856">
        <f t="shared" si="0"/>
        <v>0</v>
      </c>
      <c r="E27" s="856"/>
      <c r="F27" s="856"/>
      <c r="G27" s="882"/>
      <c r="H27" s="883"/>
      <c r="I27" s="883"/>
      <c r="J27" s="859" t="str">
        <f>IF(G27="","",SQRT(G27)*4005)</f>
        <v/>
      </c>
      <c r="K27" s="860"/>
      <c r="L27" s="860"/>
      <c r="M27" s="884"/>
      <c r="N27" s="885"/>
      <c r="O27" s="885"/>
      <c r="P27" s="862" t="str">
        <f>IF(M27="","",SQRT(M27)*4005)</f>
        <v/>
      </c>
      <c r="Q27" s="803"/>
      <c r="R27" s="863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</row>
    <row r="28" spans="1:84" ht="12.6" customHeight="1" thickTop="1" thickBot="1" x14ac:dyDescent="0.3">
      <c r="A28" s="849" t="s">
        <v>310</v>
      </c>
      <c r="B28" s="850"/>
      <c r="C28" s="850"/>
      <c r="D28" s="850"/>
      <c r="E28" s="850"/>
      <c r="F28" s="850"/>
      <c r="G28" s="851" t="s">
        <v>235</v>
      </c>
      <c r="H28" s="852"/>
      <c r="I28" s="852"/>
      <c r="J28" s="853" t="str">
        <f>IF(SUM(J18:L27)&lt;&gt;0,SUM(J18:L27),"")</f>
        <v/>
      </c>
      <c r="K28" s="724"/>
      <c r="L28" s="724"/>
      <c r="M28" s="854" t="s">
        <v>235</v>
      </c>
      <c r="N28" s="852"/>
      <c r="O28" s="852"/>
      <c r="P28" s="853" t="str">
        <f>IF(SUM(P18:R27)&lt;&gt;0,SUM(P18:R27),"")</f>
        <v/>
      </c>
      <c r="Q28" s="724"/>
      <c r="R28" s="855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</row>
    <row r="29" spans="1:84" ht="12" customHeight="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</row>
    <row r="30" spans="1:84" ht="12" customHeight="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</row>
    <row r="31" spans="1:84" ht="12" customHeight="1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</row>
    <row r="32" spans="1:84" ht="12" customHeight="1" thickBot="1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</row>
    <row r="33" spans="1:84" ht="12" customHeight="1" x14ac:dyDescent="0.25">
      <c r="B33" s="42" t="s">
        <v>262</v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709" t="s">
        <v>335</v>
      </c>
      <c r="AG33" s="710"/>
      <c r="AH33" s="710"/>
      <c r="AI33" s="710"/>
      <c r="AJ33" s="710"/>
      <c r="AK33" s="710"/>
      <c r="AL33" s="710"/>
      <c r="AM33" s="710"/>
      <c r="AN33" s="710"/>
      <c r="AO33" s="710"/>
      <c r="AP33" s="711"/>
      <c r="AQ33" s="712"/>
      <c r="AR33" s="712"/>
      <c r="AS33" s="712"/>
      <c r="AT33" s="713" t="s">
        <v>187</v>
      </c>
      <c r="AU33" s="713"/>
      <c r="AV33" s="714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</row>
    <row r="34" spans="1:84" ht="12" customHeight="1" x14ac:dyDescent="0.25">
      <c r="A34" s="848"/>
      <c r="B34" s="848"/>
      <c r="C34" s="848"/>
      <c r="D34" s="848"/>
      <c r="E34" s="848"/>
      <c r="F34" s="848"/>
      <c r="G34" s="848"/>
      <c r="H34" s="848"/>
      <c r="I34" s="848"/>
      <c r="J34" s="848"/>
      <c r="K34" s="848"/>
      <c r="L34" s="848"/>
      <c r="M34" s="848"/>
      <c r="N34" s="848"/>
      <c r="O34" s="848"/>
      <c r="P34" s="848"/>
      <c r="Q34" s="848"/>
      <c r="R34" s="848"/>
      <c r="S34" s="848"/>
      <c r="T34" s="848"/>
      <c r="U34" s="848"/>
      <c r="V34" s="848"/>
      <c r="W34" s="848"/>
      <c r="X34" s="848"/>
      <c r="Y34" s="848"/>
      <c r="Z34" s="848"/>
      <c r="AA34" s="848"/>
      <c r="AB34" s="848"/>
      <c r="AC34" s="848"/>
      <c r="AD34" s="848"/>
      <c r="AE34" s="42"/>
      <c r="AF34" s="333" t="s">
        <v>336</v>
      </c>
      <c r="AG34" s="334"/>
      <c r="AH34" s="334"/>
      <c r="AI34" s="334"/>
      <c r="AJ34" s="334"/>
      <c r="AK34" s="334"/>
      <c r="AL34" s="334"/>
      <c r="AM34" s="334"/>
      <c r="AN34" s="334"/>
      <c r="AO34" s="334"/>
      <c r="AP34" s="707"/>
      <c r="AQ34" s="708"/>
      <c r="AR34" s="708"/>
      <c r="AS34" s="708"/>
      <c r="AT34" s="407" t="s">
        <v>337</v>
      </c>
      <c r="AU34" s="407"/>
      <c r="AV34" s="701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</row>
    <row r="35" spans="1:84" ht="12" customHeight="1" x14ac:dyDescent="0.25">
      <c r="A35" s="848"/>
      <c r="B35" s="848"/>
      <c r="C35" s="848"/>
      <c r="D35" s="848"/>
      <c r="E35" s="848"/>
      <c r="F35" s="848"/>
      <c r="G35" s="848"/>
      <c r="H35" s="848"/>
      <c r="I35" s="848"/>
      <c r="J35" s="848"/>
      <c r="K35" s="848"/>
      <c r="L35" s="848"/>
      <c r="M35" s="848"/>
      <c r="N35" s="848"/>
      <c r="O35" s="848"/>
      <c r="P35" s="848"/>
      <c r="Q35" s="848"/>
      <c r="R35" s="848"/>
      <c r="S35" s="848"/>
      <c r="T35" s="848"/>
      <c r="U35" s="848"/>
      <c r="V35" s="848"/>
      <c r="W35" s="848"/>
      <c r="X35" s="848"/>
      <c r="Y35" s="848"/>
      <c r="Z35" s="848"/>
      <c r="AA35" s="848"/>
      <c r="AB35" s="848"/>
      <c r="AC35" s="848"/>
      <c r="AD35" s="848"/>
      <c r="AE35" s="42"/>
      <c r="AF35" s="333" t="s">
        <v>338</v>
      </c>
      <c r="AG35" s="334"/>
      <c r="AH35" s="334"/>
      <c r="AI35" s="334"/>
      <c r="AJ35" s="334"/>
      <c r="AK35" s="334"/>
      <c r="AL35" s="334"/>
      <c r="AM35" s="334"/>
      <c r="AN35" s="334"/>
      <c r="AO35" s="334"/>
      <c r="AP35" s="705">
        <f>SUM(J28,P28)</f>
        <v>0</v>
      </c>
      <c r="AQ35" s="706"/>
      <c r="AR35" s="706"/>
      <c r="AS35" s="706"/>
      <c r="AT35" s="407" t="s">
        <v>319</v>
      </c>
      <c r="AU35" s="407"/>
      <c r="AV35" s="701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</row>
    <row r="36" spans="1:84" ht="12" customHeight="1" x14ac:dyDescent="0.25">
      <c r="A36" s="848"/>
      <c r="B36" s="848"/>
      <c r="C36" s="848"/>
      <c r="D36" s="848"/>
      <c r="E36" s="848"/>
      <c r="F36" s="848"/>
      <c r="G36" s="848"/>
      <c r="H36" s="848"/>
      <c r="I36" s="848"/>
      <c r="J36" s="848"/>
      <c r="K36" s="848"/>
      <c r="L36" s="848"/>
      <c r="M36" s="848"/>
      <c r="N36" s="848"/>
      <c r="O36" s="848"/>
      <c r="P36" s="848"/>
      <c r="Q36" s="848"/>
      <c r="R36" s="848"/>
      <c r="S36" s="848"/>
      <c r="T36" s="848"/>
      <c r="U36" s="848"/>
      <c r="V36" s="848"/>
      <c r="W36" s="848"/>
      <c r="X36" s="848"/>
      <c r="Y36" s="848"/>
      <c r="Z36" s="848"/>
      <c r="AA36" s="848"/>
      <c r="AB36" s="848"/>
      <c r="AC36" s="848"/>
      <c r="AD36" s="848"/>
      <c r="AE36" s="42"/>
      <c r="AF36" s="333" t="s">
        <v>339</v>
      </c>
      <c r="AG36" s="334"/>
      <c r="AH36" s="334"/>
      <c r="AI36" s="334"/>
      <c r="AJ36" s="334"/>
      <c r="AK36" s="334"/>
      <c r="AL36" s="334"/>
      <c r="AM36" s="334"/>
      <c r="AN36" s="334"/>
      <c r="AO36" s="334"/>
      <c r="AP36" s="705">
        <f>COUNT(J18:L27,P18:R27)</f>
        <v>0</v>
      </c>
      <c r="AQ36" s="706"/>
      <c r="AR36" s="706"/>
      <c r="AS36" s="706"/>
      <c r="AT36" s="407"/>
      <c r="AU36" s="407"/>
      <c r="AV36" s="701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</row>
    <row r="37" spans="1:84" ht="12" customHeight="1" x14ac:dyDescent="0.25">
      <c r="A37" s="848"/>
      <c r="B37" s="848"/>
      <c r="C37" s="848"/>
      <c r="D37" s="848"/>
      <c r="E37" s="848"/>
      <c r="F37" s="848"/>
      <c r="G37" s="848"/>
      <c r="H37" s="848"/>
      <c r="I37" s="848"/>
      <c r="J37" s="848"/>
      <c r="K37" s="848"/>
      <c r="L37" s="848"/>
      <c r="M37" s="848"/>
      <c r="N37" s="848"/>
      <c r="O37" s="848"/>
      <c r="P37" s="848"/>
      <c r="Q37" s="848"/>
      <c r="R37" s="848"/>
      <c r="S37" s="848"/>
      <c r="T37" s="848"/>
      <c r="U37" s="848"/>
      <c r="V37" s="848"/>
      <c r="W37" s="848"/>
      <c r="X37" s="848"/>
      <c r="Y37" s="848"/>
      <c r="Z37" s="848"/>
      <c r="AA37" s="848"/>
      <c r="AB37" s="848"/>
      <c r="AC37" s="848"/>
      <c r="AD37" s="848"/>
      <c r="AE37" s="42"/>
      <c r="AF37" s="333" t="s">
        <v>340</v>
      </c>
      <c r="AG37" s="334"/>
      <c r="AH37" s="334"/>
      <c r="AI37" s="334"/>
      <c r="AJ37" s="334"/>
      <c r="AK37" s="334"/>
      <c r="AL37" s="334"/>
      <c r="AM37" s="334"/>
      <c r="AN37" s="334"/>
      <c r="AO37" s="334"/>
      <c r="AP37" s="705" t="str">
        <f>IFERROR(AP35/AP36,"")</f>
        <v/>
      </c>
      <c r="AQ37" s="706"/>
      <c r="AR37" s="706"/>
      <c r="AS37" s="706"/>
      <c r="AT37" s="407" t="s">
        <v>319</v>
      </c>
      <c r="AU37" s="407"/>
      <c r="AV37" s="701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</row>
    <row r="38" spans="1:84" ht="12" customHeight="1" x14ac:dyDescent="0.25">
      <c r="A38" s="848"/>
      <c r="B38" s="848"/>
      <c r="C38" s="848"/>
      <c r="D38" s="848"/>
      <c r="E38" s="848"/>
      <c r="F38" s="848"/>
      <c r="G38" s="848"/>
      <c r="H38" s="848"/>
      <c r="I38" s="848"/>
      <c r="J38" s="848"/>
      <c r="K38" s="848"/>
      <c r="L38" s="848"/>
      <c r="M38" s="848"/>
      <c r="N38" s="848"/>
      <c r="O38" s="848"/>
      <c r="P38" s="848"/>
      <c r="Q38" s="848"/>
      <c r="R38" s="848"/>
      <c r="S38" s="848"/>
      <c r="T38" s="848"/>
      <c r="U38" s="848"/>
      <c r="V38" s="848"/>
      <c r="W38" s="848"/>
      <c r="X38" s="848"/>
      <c r="Y38" s="848"/>
      <c r="Z38" s="848"/>
      <c r="AA38" s="848"/>
      <c r="AB38" s="848"/>
      <c r="AC38" s="848"/>
      <c r="AD38" s="848"/>
      <c r="AE38" s="42"/>
      <c r="AF38" s="406" t="s">
        <v>341</v>
      </c>
      <c r="AG38" s="407"/>
      <c r="AH38" s="407"/>
      <c r="AI38" s="407"/>
      <c r="AJ38" s="407"/>
      <c r="AK38" s="407"/>
      <c r="AL38" s="407"/>
      <c r="AM38" s="407"/>
      <c r="AN38" s="407"/>
      <c r="AO38" s="408"/>
      <c r="AP38" s="474"/>
      <c r="AQ38" s="558"/>
      <c r="AR38" s="558"/>
      <c r="AS38" s="558"/>
      <c r="AT38" s="558"/>
      <c r="AU38" s="558"/>
      <c r="AV38" s="698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</row>
    <row r="39" spans="1:84" ht="12" customHeight="1" x14ac:dyDescent="0.25">
      <c r="A39" s="848"/>
      <c r="B39" s="848"/>
      <c r="C39" s="848"/>
      <c r="D39" s="848"/>
      <c r="E39" s="848"/>
      <c r="F39" s="848"/>
      <c r="G39" s="848"/>
      <c r="H39" s="848"/>
      <c r="I39" s="848"/>
      <c r="J39" s="848"/>
      <c r="K39" s="848"/>
      <c r="L39" s="848"/>
      <c r="M39" s="848"/>
      <c r="N39" s="848"/>
      <c r="O39" s="848"/>
      <c r="P39" s="848"/>
      <c r="Q39" s="848"/>
      <c r="R39" s="848"/>
      <c r="S39" s="848"/>
      <c r="T39" s="848"/>
      <c r="U39" s="848"/>
      <c r="V39" s="848"/>
      <c r="W39" s="848"/>
      <c r="X39" s="848"/>
      <c r="Y39" s="848"/>
      <c r="Z39" s="848"/>
      <c r="AA39" s="848"/>
      <c r="AB39" s="848"/>
      <c r="AC39" s="848"/>
      <c r="AD39" s="848"/>
      <c r="AE39" s="42"/>
      <c r="AF39" s="333" t="s">
        <v>342</v>
      </c>
      <c r="AG39" s="334"/>
      <c r="AH39" s="334"/>
      <c r="AI39" s="334"/>
      <c r="AJ39" s="334"/>
      <c r="AK39" s="334"/>
      <c r="AL39" s="334"/>
      <c r="AM39" s="334"/>
      <c r="AN39" s="334"/>
      <c r="AO39" s="334"/>
      <c r="AP39" s="699">
        <f>IF(OR(AP38&lt;&gt;0,AP38&lt;&gt;""),L13*IF(AP38&lt;&gt;"N/A",AP38,1),L13)</f>
        <v>0</v>
      </c>
      <c r="AQ39" s="700"/>
      <c r="AR39" s="700"/>
      <c r="AS39" s="700"/>
      <c r="AT39" s="407" t="s">
        <v>318</v>
      </c>
      <c r="AU39" s="407"/>
      <c r="AV39" s="701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</row>
    <row r="40" spans="1:84" ht="12" customHeight="1" thickBot="1" x14ac:dyDescent="0.3">
      <c r="A40" s="848"/>
      <c r="B40" s="848"/>
      <c r="C40" s="848"/>
      <c r="D40" s="848"/>
      <c r="E40" s="848"/>
      <c r="F40" s="848"/>
      <c r="G40" s="848"/>
      <c r="H40" s="848"/>
      <c r="I40" s="848"/>
      <c r="J40" s="848"/>
      <c r="K40" s="848"/>
      <c r="L40" s="848"/>
      <c r="M40" s="848"/>
      <c r="N40" s="848"/>
      <c r="O40" s="848"/>
      <c r="P40" s="848"/>
      <c r="Q40" s="848"/>
      <c r="R40" s="848"/>
      <c r="S40" s="848"/>
      <c r="T40" s="848"/>
      <c r="U40" s="848"/>
      <c r="V40" s="848"/>
      <c r="W40" s="848"/>
      <c r="X40" s="848"/>
      <c r="Y40" s="848"/>
      <c r="Z40" s="848"/>
      <c r="AA40" s="848"/>
      <c r="AB40" s="848"/>
      <c r="AC40" s="848"/>
      <c r="AD40" s="848"/>
      <c r="AE40" s="42"/>
      <c r="AF40" s="347" t="s">
        <v>343</v>
      </c>
      <c r="AG40" s="348"/>
      <c r="AH40" s="348"/>
      <c r="AI40" s="348"/>
      <c r="AJ40" s="348"/>
      <c r="AK40" s="348"/>
      <c r="AL40" s="348"/>
      <c r="AM40" s="348"/>
      <c r="AN40" s="348"/>
      <c r="AO40" s="348"/>
      <c r="AP40" s="695" t="str">
        <f>IFERROR(AP39*AP37,"")</f>
        <v/>
      </c>
      <c r="AQ40" s="696"/>
      <c r="AR40" s="696"/>
      <c r="AS40" s="696"/>
      <c r="AT40" s="427" t="s">
        <v>56</v>
      </c>
      <c r="AU40" s="427"/>
      <c r="AV40" s="69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</row>
    <row r="41" spans="1:84" ht="12" customHeight="1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</row>
    <row r="42" spans="1:84" ht="12" customHeight="1" x14ac:dyDescent="0.25">
      <c r="A42" s="690" t="s">
        <v>276</v>
      </c>
      <c r="B42" s="690"/>
      <c r="C42" s="690"/>
      <c r="D42" s="690"/>
      <c r="E42" s="285"/>
      <c r="F42" s="285"/>
      <c r="G42" s="285"/>
      <c r="H42" s="285"/>
      <c r="I42" s="285"/>
      <c r="J42" s="285"/>
      <c r="K42" s="285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690" t="s">
        <v>277</v>
      </c>
      <c r="AE42" s="690"/>
      <c r="AF42" s="690"/>
      <c r="AG42" s="690"/>
      <c r="AH42" s="690"/>
      <c r="AI42" s="286"/>
      <c r="AJ42" s="286"/>
      <c r="AK42" s="286"/>
      <c r="AL42" s="286"/>
      <c r="AM42" s="286"/>
      <c r="AN42" s="286"/>
      <c r="AO42" s="286"/>
      <c r="AP42" s="286"/>
      <c r="AQ42" s="286"/>
      <c r="AR42" s="286"/>
      <c r="AS42" s="286"/>
      <c r="AT42" s="286"/>
      <c r="AU42" s="286"/>
      <c r="AV42" s="286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</row>
    <row r="43" spans="1:84" ht="12.75" hidden="1" customHeight="1" x14ac:dyDescent="0.25"/>
    <row r="44" spans="1:84" ht="12.75" hidden="1" customHeight="1" x14ac:dyDescent="0.25"/>
    <row r="45" spans="1:84" ht="12.75" hidden="1" customHeight="1" x14ac:dyDescent="0.25"/>
    <row r="46" spans="1:84" ht="12.75" hidden="1" customHeight="1" x14ac:dyDescent="0.25"/>
    <row r="47" spans="1:84" ht="12.75" hidden="1" customHeight="1" x14ac:dyDescent="0.25"/>
    <row r="48" spans="1:84" ht="12.75" hidden="1" customHeight="1" x14ac:dyDescent="0.25"/>
    <row r="49" ht="12.75" hidden="1" customHeight="1" x14ac:dyDescent="0.25"/>
    <row r="50" ht="12.75" hidden="1" customHeight="1" x14ac:dyDescent="0.25"/>
    <row r="51" ht="12.75" hidden="1" customHeight="1" x14ac:dyDescent="0.25"/>
    <row r="52" ht="12.75" hidden="1" customHeight="1" x14ac:dyDescent="0.25"/>
    <row r="53" ht="12.75" hidden="1" customHeight="1" x14ac:dyDescent="0.25"/>
    <row r="54" ht="12.75" hidden="1" customHeight="1" x14ac:dyDescent="0.25"/>
    <row r="55" ht="12.75" hidden="1" customHeight="1" x14ac:dyDescent="0.25"/>
    <row r="56" ht="14.45" hidden="1" customHeight="1" x14ac:dyDescent="0.25"/>
    <row r="57" ht="14.45" hidden="1" customHeight="1" x14ac:dyDescent="0.25"/>
    <row r="58" ht="14.45" hidden="1" customHeight="1" x14ac:dyDescent="0.25"/>
    <row r="59" ht="14.45" hidden="1" customHeight="1" x14ac:dyDescent="0.25"/>
    <row r="60" ht="14.45" hidden="1" customHeight="1" x14ac:dyDescent="0.25"/>
    <row r="61" ht="14.45" hidden="1" customHeight="1" x14ac:dyDescent="0.25"/>
    <row r="62" ht="14.45" hidden="1" customHeight="1" x14ac:dyDescent="0.25"/>
    <row r="63" ht="14.45" hidden="1" customHeight="1" x14ac:dyDescent="0.25"/>
    <row r="64" ht="14.45" hidden="1" customHeight="1" x14ac:dyDescent="0.25"/>
    <row r="65" ht="14.45" hidden="1" customHeight="1" x14ac:dyDescent="0.25"/>
    <row r="66" ht="14.45" hidden="1" customHeight="1" x14ac:dyDescent="0.25"/>
    <row r="67" ht="14.45" hidden="1" customHeight="1" x14ac:dyDescent="0.25"/>
    <row r="68" ht="14.45" hidden="1" customHeight="1" x14ac:dyDescent="0.25"/>
    <row r="69" ht="14.45" hidden="1" customHeight="1" x14ac:dyDescent="0.25"/>
    <row r="70" ht="14.45" hidden="1" customHeight="1" x14ac:dyDescent="0.25"/>
    <row r="71" ht="14.45" hidden="1" customHeight="1" x14ac:dyDescent="0.25"/>
    <row r="72" ht="14.45" hidden="1" customHeight="1" x14ac:dyDescent="0.25"/>
    <row r="73" ht="14.45" hidden="1" customHeight="1" x14ac:dyDescent="0.25"/>
    <row r="74" ht="14.45" hidden="1" customHeight="1" x14ac:dyDescent="0.25"/>
    <row r="75" ht="14.45" hidden="1" customHeight="1" x14ac:dyDescent="0.25"/>
    <row r="76" ht="14.45" hidden="1" customHeight="1" x14ac:dyDescent="0.25"/>
    <row r="77" ht="14.45" hidden="1" customHeight="1" x14ac:dyDescent="0.25"/>
    <row r="78" ht="14.45" hidden="1" customHeight="1" x14ac:dyDescent="0.25"/>
    <row r="79" ht="14.45" hidden="1" customHeight="1" x14ac:dyDescent="0.25"/>
    <row r="80" ht="14.45" hidden="1" customHeight="1" x14ac:dyDescent="0.25"/>
    <row r="81" ht="14.45" hidden="1" customHeight="1" x14ac:dyDescent="0.25"/>
    <row r="82" ht="14.45" hidden="1" customHeight="1" x14ac:dyDescent="0.25"/>
    <row r="83" ht="14.45" hidden="1" customHeight="1" x14ac:dyDescent="0.25"/>
    <row r="84" ht="14.45" hidden="1" customHeight="1" x14ac:dyDescent="0.25"/>
    <row r="85" ht="14.45" hidden="1" customHeight="1" x14ac:dyDescent="0.25"/>
    <row r="86" ht="14.45" hidden="1" customHeight="1" x14ac:dyDescent="0.25"/>
    <row r="87" ht="14.45" hidden="1" customHeight="1" x14ac:dyDescent="0.25"/>
    <row r="88" ht="14.45" hidden="1" customHeight="1" x14ac:dyDescent="0.25"/>
    <row r="89" ht="14.45" hidden="1" customHeight="1" x14ac:dyDescent="0.25"/>
    <row r="90" ht="14.45" hidden="1" customHeight="1" x14ac:dyDescent="0.25"/>
    <row r="91" ht="14.45" hidden="1" customHeight="1" x14ac:dyDescent="0.25"/>
    <row r="92" ht="14.45" hidden="1" customHeight="1" x14ac:dyDescent="0.25"/>
    <row r="93" ht="14.45" hidden="1" customHeight="1" x14ac:dyDescent="0.25"/>
    <row r="94" ht="14.45" hidden="1" customHeight="1" x14ac:dyDescent="0.25"/>
    <row r="95" ht="14.45" hidden="1" customHeight="1" x14ac:dyDescent="0.25"/>
    <row r="96" ht="14.45" hidden="1" customHeight="1" x14ac:dyDescent="0.25"/>
    <row r="97" ht="14.45" hidden="1" customHeight="1" x14ac:dyDescent="0.25"/>
    <row r="98" ht="14.45" hidden="1" customHeight="1" x14ac:dyDescent="0.25"/>
    <row r="99" ht="14.45" hidden="1" customHeight="1" x14ac:dyDescent="0.25"/>
    <row r="100" ht="14.45" hidden="1" customHeight="1" x14ac:dyDescent="0.25"/>
    <row r="101" ht="14.45" hidden="1" customHeight="1" x14ac:dyDescent="0.25"/>
    <row r="102" ht="14.45" hidden="1" customHeight="1" x14ac:dyDescent="0.25"/>
    <row r="103" ht="14.45" hidden="1" customHeight="1" x14ac:dyDescent="0.25"/>
    <row r="104" ht="14.45" hidden="1" customHeight="1" x14ac:dyDescent="0.25"/>
    <row r="105" ht="14.45" hidden="1" customHeight="1" x14ac:dyDescent="0.25"/>
    <row r="106" ht="14.45" hidden="1" customHeight="1" x14ac:dyDescent="0.25"/>
    <row r="107" ht="14.45" hidden="1" customHeight="1" x14ac:dyDescent="0.25"/>
    <row r="108" ht="14.45" hidden="1" customHeight="1" x14ac:dyDescent="0.25"/>
    <row r="109" ht="14.45" hidden="1" customHeight="1" x14ac:dyDescent="0.25"/>
    <row r="110" ht="14.45" hidden="1" customHeight="1" x14ac:dyDescent="0.25"/>
    <row r="111" ht="14.45" hidden="1" customHeight="1" x14ac:dyDescent="0.25"/>
    <row r="112" ht="14.45" hidden="1" customHeight="1" x14ac:dyDescent="0.25"/>
    <row r="113" ht="14.45" hidden="1" customHeight="1" x14ac:dyDescent="0.25"/>
  </sheetData>
  <mergeCells count="169">
    <mergeCell ref="AW1:CF1"/>
    <mergeCell ref="Z5:AV5"/>
    <mergeCell ref="A7:E7"/>
    <mergeCell ref="F7:P7"/>
    <mergeCell ref="AG7:AK7"/>
    <mergeCell ref="AL7:AV7"/>
    <mergeCell ref="AY10:BD10"/>
    <mergeCell ref="BE10:BF10"/>
    <mergeCell ref="A11:AV11"/>
    <mergeCell ref="A12:P12"/>
    <mergeCell ref="Q12:AF12"/>
    <mergeCell ref="AG12:AV12"/>
    <mergeCell ref="AX12:BG12"/>
    <mergeCell ref="AY8:BF8"/>
    <mergeCell ref="A9:E9"/>
    <mergeCell ref="F9:P9"/>
    <mergeCell ref="AG9:AK9"/>
    <mergeCell ref="AL9:AV9"/>
    <mergeCell ref="AY9:BD9"/>
    <mergeCell ref="BE9:BF9"/>
    <mergeCell ref="AR13:AV13"/>
    <mergeCell ref="AX13:BG13"/>
    <mergeCell ref="A15:R15"/>
    <mergeCell ref="T15:AE15"/>
    <mergeCell ref="AG15:AV15"/>
    <mergeCell ref="AX15:BL15"/>
    <mergeCell ref="T13:X13"/>
    <mergeCell ref="Y13:AA13"/>
    <mergeCell ref="AB13:AF13"/>
    <mergeCell ref="AG13:AI13"/>
    <mergeCell ref="AJ13:AN13"/>
    <mergeCell ref="AO13:AQ13"/>
    <mergeCell ref="A13:B13"/>
    <mergeCell ref="C13:D13"/>
    <mergeCell ref="E13:H13"/>
    <mergeCell ref="I13:K13"/>
    <mergeCell ref="L13:P13"/>
    <mergeCell ref="Q13:S13"/>
    <mergeCell ref="AG16:AK16"/>
    <mergeCell ref="AL16:AV16"/>
    <mergeCell ref="AX16:BB16"/>
    <mergeCell ref="BC16:BG16"/>
    <mergeCell ref="BH16:BL16"/>
    <mergeCell ref="A17:C17"/>
    <mergeCell ref="D17:F17"/>
    <mergeCell ref="G17:I17"/>
    <mergeCell ref="J17:L17"/>
    <mergeCell ref="M17:O17"/>
    <mergeCell ref="A16:F16"/>
    <mergeCell ref="G16:L16"/>
    <mergeCell ref="M16:R16"/>
    <mergeCell ref="T16:AA16"/>
    <mergeCell ref="AB16:AC16"/>
    <mergeCell ref="AD16:AE16"/>
    <mergeCell ref="P17:R17"/>
    <mergeCell ref="AX17:BB17"/>
    <mergeCell ref="BC17:BG17"/>
    <mergeCell ref="BH17:BL17"/>
    <mergeCell ref="A18:C18"/>
    <mergeCell ref="D18:F18"/>
    <mergeCell ref="G18:I18"/>
    <mergeCell ref="J18:L18"/>
    <mergeCell ref="M18:O18"/>
    <mergeCell ref="P18:R18"/>
    <mergeCell ref="AX18:BB18"/>
    <mergeCell ref="BC18:BG18"/>
    <mergeCell ref="BH18:BL18"/>
    <mergeCell ref="A19:C19"/>
    <mergeCell ref="D19:F19"/>
    <mergeCell ref="G19:I19"/>
    <mergeCell ref="J19:L19"/>
    <mergeCell ref="M19:O19"/>
    <mergeCell ref="P19:R19"/>
    <mergeCell ref="AX19:BB19"/>
    <mergeCell ref="BC19:BG19"/>
    <mergeCell ref="BH19:BL19"/>
    <mergeCell ref="A20:C20"/>
    <mergeCell ref="D20:F20"/>
    <mergeCell ref="G20:I20"/>
    <mergeCell ref="J20:L20"/>
    <mergeCell ref="M20:O20"/>
    <mergeCell ref="P20:R20"/>
    <mergeCell ref="AX20:BB20"/>
    <mergeCell ref="BC20:BG20"/>
    <mergeCell ref="BH20:BL20"/>
    <mergeCell ref="A21:C21"/>
    <mergeCell ref="D21:F21"/>
    <mergeCell ref="G21:I21"/>
    <mergeCell ref="J21:L21"/>
    <mergeCell ref="M21:O21"/>
    <mergeCell ref="P21:R21"/>
    <mergeCell ref="AX21:BB21"/>
    <mergeCell ref="BC21:BG21"/>
    <mergeCell ref="BH21:BL21"/>
    <mergeCell ref="A23:C23"/>
    <mergeCell ref="D23:F23"/>
    <mergeCell ref="G23:I23"/>
    <mergeCell ref="J23:L23"/>
    <mergeCell ref="M23:O23"/>
    <mergeCell ref="P23:R23"/>
    <mergeCell ref="A22:C22"/>
    <mergeCell ref="D22:F22"/>
    <mergeCell ref="G22:I22"/>
    <mergeCell ref="J22:L22"/>
    <mergeCell ref="M22:O22"/>
    <mergeCell ref="P22:R22"/>
    <mergeCell ref="A25:C25"/>
    <mergeCell ref="D25:F25"/>
    <mergeCell ref="G25:I25"/>
    <mergeCell ref="J25:L25"/>
    <mergeCell ref="M25:O25"/>
    <mergeCell ref="P25:R25"/>
    <mergeCell ref="A24:C24"/>
    <mergeCell ref="D24:F24"/>
    <mergeCell ref="G24:I24"/>
    <mergeCell ref="J24:L24"/>
    <mergeCell ref="M24:O24"/>
    <mergeCell ref="P24:R24"/>
    <mergeCell ref="A27:C27"/>
    <mergeCell ref="D27:F27"/>
    <mergeCell ref="G27:I27"/>
    <mergeCell ref="J27:L27"/>
    <mergeCell ref="M27:O27"/>
    <mergeCell ref="P27:R27"/>
    <mergeCell ref="A26:C26"/>
    <mergeCell ref="D26:F26"/>
    <mergeCell ref="G26:I26"/>
    <mergeCell ref="J26:L26"/>
    <mergeCell ref="M26:O26"/>
    <mergeCell ref="P26:R26"/>
    <mergeCell ref="AP33:AS33"/>
    <mergeCell ref="AT33:AV33"/>
    <mergeCell ref="A34:AD34"/>
    <mergeCell ref="AF34:AO34"/>
    <mergeCell ref="AP34:AS34"/>
    <mergeCell ref="AT34:AV34"/>
    <mergeCell ref="A28:F28"/>
    <mergeCell ref="G28:I28"/>
    <mergeCell ref="J28:L28"/>
    <mergeCell ref="M28:O28"/>
    <mergeCell ref="P28:R28"/>
    <mergeCell ref="AF33:AO33"/>
    <mergeCell ref="A37:AD37"/>
    <mergeCell ref="AF37:AO37"/>
    <mergeCell ref="AP37:AS37"/>
    <mergeCell ref="AT37:AV37"/>
    <mergeCell ref="A38:AD38"/>
    <mergeCell ref="AF38:AO38"/>
    <mergeCell ref="AP38:AV38"/>
    <mergeCell ref="A35:AD35"/>
    <mergeCell ref="AF35:AO35"/>
    <mergeCell ref="AP35:AS35"/>
    <mergeCell ref="AT35:AV35"/>
    <mergeCell ref="A36:AD36"/>
    <mergeCell ref="AF36:AO36"/>
    <mergeCell ref="AP36:AS36"/>
    <mergeCell ref="AT36:AV36"/>
    <mergeCell ref="A42:D42"/>
    <mergeCell ref="E42:K42"/>
    <mergeCell ref="AD42:AH42"/>
    <mergeCell ref="AI42:AV42"/>
    <mergeCell ref="A39:AD39"/>
    <mergeCell ref="AF39:AO39"/>
    <mergeCell ref="AP39:AS39"/>
    <mergeCell ref="AT39:AV39"/>
    <mergeCell ref="A40:AD40"/>
    <mergeCell ref="AF40:AO40"/>
    <mergeCell ref="AP40:AS40"/>
    <mergeCell ref="AT40:AV40"/>
  </mergeCells>
  <conditionalFormatting sqref="F7 F9 Z5 AL7 AL9 AB13 AP33:AP34 AI42 E42">
    <cfRule type="containsBlanks" dxfId="219" priority="16">
      <formula>LEN(TRIM(E5))=0</formula>
    </cfRule>
  </conditionalFormatting>
  <conditionalFormatting sqref="AP38:AV38">
    <cfRule type="containsBlanks" dxfId="218" priority="15">
      <formula>LEN(TRIM(AP38))=0</formula>
    </cfRule>
  </conditionalFormatting>
  <conditionalFormatting sqref="A19:C27 G19:R27">
    <cfRule type="expression" dxfId="217" priority="13">
      <formula>AND(OR($C$13=5,$C$13&lt;5),$C$13&lt;&gt;"")</formula>
    </cfRule>
  </conditionalFormatting>
  <conditionalFormatting sqref="A24:C27 G24:R27">
    <cfRule type="expression" dxfId="216" priority="12">
      <formula>AND($C$13&gt;5,$C$13&lt;10)</formula>
    </cfRule>
  </conditionalFormatting>
  <conditionalFormatting sqref="A26:C27 G26:R27">
    <cfRule type="expression" dxfId="215" priority="1">
      <formula>AND(OR($C$13&gt;10,$C$13=10),OR($C$13&lt;12,$C$13=12))</formula>
    </cfRule>
  </conditionalFormatting>
  <conditionalFormatting sqref="D24:F27">
    <cfRule type="expression" dxfId="214" priority="11">
      <formula>AND(OR($C$13=5,$C$13&lt;5),$C$13&lt;&gt;"")</formula>
    </cfRule>
  </conditionalFormatting>
  <conditionalFormatting sqref="D24:F27">
    <cfRule type="expression" dxfId="213" priority="10">
      <formula>AND($C$13&gt;5,$C$13&lt;10)</formula>
    </cfRule>
  </conditionalFormatting>
  <conditionalFormatting sqref="D26:F27">
    <cfRule type="expression" dxfId="212" priority="9">
      <formula>AND(OR($C$13&gt;10,$C$13=10),OR($C$13&lt;12,$C$13=12))</formula>
    </cfRule>
  </conditionalFormatting>
  <conditionalFormatting sqref="D19:F23">
    <cfRule type="expression" dxfId="211" priority="8">
      <formula>AND(OR($C$13=5,$C$13&lt;5),$C$13&lt;&gt;"")</formula>
    </cfRule>
  </conditionalFormatting>
  <conditionalFormatting sqref="AB16:AD16">
    <cfRule type="containsBlanks" dxfId="210" priority="6">
      <formula>LEN(TRIM(AB16))=0</formula>
    </cfRule>
  </conditionalFormatting>
  <conditionalFormatting sqref="T16">
    <cfRule type="containsBlanks" dxfId="209" priority="7">
      <formula>LEN(TRIM(T16))=0</formula>
    </cfRule>
  </conditionalFormatting>
  <conditionalFormatting sqref="AB16:AE16">
    <cfRule type="expression" dxfId="208" priority="4">
      <formula>$T$16="FIXED SPEED"</formula>
    </cfRule>
    <cfRule type="expression" dxfId="207" priority="5">
      <formula>$X$40="FIXED SPEED"</formula>
    </cfRule>
  </conditionalFormatting>
  <conditionalFormatting sqref="AX13:BG13">
    <cfRule type="notContainsBlanks" dxfId="206" priority="3">
      <formula>LEN(TRIM(AX13))&gt;0</formula>
    </cfRule>
  </conditionalFormatting>
  <conditionalFormatting sqref="BE9:BE10">
    <cfRule type="containsBlanks" dxfId="205" priority="2">
      <formula>LEN(TRIM(BE9))=0</formula>
    </cfRule>
  </conditionalFormatting>
  <conditionalFormatting sqref="G18:I27 M18:O27">
    <cfRule type="containsBlanks" dxfId="204" priority="14">
      <formula>LEN(TRIM(G18))=0</formula>
    </cfRule>
  </conditionalFormatting>
  <dataValidations count="5">
    <dataValidation type="list" allowBlank="1" showInputMessage="1" showErrorMessage="1" sqref="T16" xr:uid="{F8C4A3E7-35ED-47B6-AFAA-04CC531E8767}">
      <formula1>"VFD SETTING, ECM SETTING, FIXED SPEED"</formula1>
    </dataValidation>
    <dataValidation type="list" allowBlank="1" showInputMessage="1" showErrorMessage="1" sqref="AD16:AE16" xr:uid="{55325CFD-712F-4802-8B0A-99ACC1AD9FA7}">
      <formula1>"Hz, %"</formula1>
    </dataValidation>
    <dataValidation type="list" allowBlank="1" showInputMessage="1" sqref="AP38:AV38" xr:uid="{3E599CE4-2885-4DCE-9917-D4C0B2543C4D}">
      <formula1>"N/A"</formula1>
    </dataValidation>
    <dataValidation errorStyle="information" operator="greaterThanOrEqual" allowBlank="1" showInputMessage="1" showErrorMessage="1" error="Round ducts 5&quot; or less may be measured using 90% of a single center-line velocity reading in lieu of the 6 point method (NEBB 2015). This is already accounted for in the formulas." sqref="C13:D13" xr:uid="{E1DB6DE9-19EF-4E42-A7CF-D4D45F0941C3}"/>
    <dataValidation type="list" showDropDown="1" showInputMessage="1" showErrorMessage="1" sqref="AL16:AV16" xr:uid="{67A35251-2F58-4098-95AB-56F7A322846E}">
      <formula1>"Air Data Multimeter - Air Foil, Air Data Multimeter - Pitot Tube"</formula1>
    </dataValidation>
  </dataValidations>
  <printOptions horizontalCentered="1"/>
  <pageMargins left="0.5" right="0.5" top="0.5" bottom="0.5" header="0" footer="0.25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87EAA-518C-48CA-B40F-501CB65465E8}">
  <sheetPr codeName="Sheet6">
    <pageSetUpPr fitToPage="1"/>
  </sheetPr>
  <dimension ref="A1:DG113"/>
  <sheetViews>
    <sheetView zoomScaleNormal="100" workbookViewId="0">
      <selection activeCell="H21" sqref="H21:J21"/>
    </sheetView>
  </sheetViews>
  <sheetFormatPr defaultColWidth="0" defaultRowHeight="0" customHeight="1" zeroHeight="1" x14ac:dyDescent="0.25"/>
  <cols>
    <col min="1" max="48" width="2.7109375" style="12" customWidth="1"/>
    <col min="49" max="84" width="2.7109375" customWidth="1"/>
    <col min="85" max="111" width="2.7109375" hidden="1" customWidth="1"/>
    <col min="112" max="16384" width="9.140625" hidden="1"/>
  </cols>
  <sheetData>
    <row r="1" spans="1:84" ht="12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546" t="s">
        <v>159</v>
      </c>
      <c r="AX1" s="546"/>
      <c r="AY1" s="546"/>
      <c r="AZ1" s="546"/>
      <c r="BA1" s="546"/>
      <c r="BB1" s="546"/>
      <c r="BC1" s="546"/>
      <c r="BD1" s="546"/>
      <c r="BE1" s="546"/>
      <c r="BF1" s="546"/>
      <c r="BG1" s="546"/>
      <c r="BH1" s="546"/>
      <c r="BI1" s="546"/>
      <c r="BJ1" s="546"/>
      <c r="BK1" s="546"/>
      <c r="BL1" s="546"/>
      <c r="BM1" s="546"/>
      <c r="BN1" s="546"/>
      <c r="BO1" s="546"/>
      <c r="BP1" s="546"/>
      <c r="BQ1" s="546"/>
      <c r="BR1" s="546"/>
      <c r="BS1" s="546"/>
      <c r="BT1" s="546"/>
      <c r="BU1" s="546"/>
      <c r="BV1" s="546"/>
      <c r="BW1" s="546"/>
      <c r="BX1" s="546"/>
      <c r="BY1" s="546"/>
      <c r="BZ1" s="546"/>
      <c r="CA1" s="546"/>
      <c r="CB1" s="546"/>
      <c r="CC1" s="546"/>
      <c r="CD1" s="546"/>
      <c r="CE1" s="546"/>
      <c r="CF1" s="546"/>
    </row>
    <row r="2" spans="1:84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</row>
    <row r="3" spans="1:84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</row>
    <row r="4" spans="1:84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</row>
    <row r="5" spans="1:84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550" t="s">
        <v>361</v>
      </c>
      <c r="AA5" s="550"/>
      <c r="AB5" s="550"/>
      <c r="AC5" s="550"/>
      <c r="AD5" s="550"/>
      <c r="AE5" s="550"/>
      <c r="AF5" s="550"/>
      <c r="AG5" s="550"/>
      <c r="AH5" s="550"/>
      <c r="AI5" s="550"/>
      <c r="AJ5" s="550"/>
      <c r="AK5" s="550"/>
      <c r="AL5" s="550"/>
      <c r="AM5" s="550"/>
      <c r="AN5" s="550"/>
      <c r="AO5" s="550"/>
      <c r="AP5" s="550"/>
      <c r="AQ5" s="550"/>
      <c r="AR5" s="550"/>
      <c r="AS5" s="550"/>
      <c r="AT5" s="550"/>
      <c r="AU5" s="550"/>
      <c r="AV5" s="550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</row>
    <row r="6" spans="1:84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</row>
    <row r="7" spans="1:84" ht="12" customHeight="1" x14ac:dyDescent="0.25">
      <c r="A7" s="526" t="s">
        <v>161</v>
      </c>
      <c r="B7" s="526"/>
      <c r="C7" s="526"/>
      <c r="D7" s="526"/>
      <c r="E7" s="526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26" t="s">
        <v>162</v>
      </c>
      <c r="AH7" s="526"/>
      <c r="AI7" s="526"/>
      <c r="AJ7" s="526"/>
      <c r="AK7" s="526"/>
      <c r="AL7" s="527"/>
      <c r="AM7" s="527"/>
      <c r="AN7" s="527"/>
      <c r="AO7" s="527"/>
      <c r="AP7" s="527"/>
      <c r="AQ7" s="527"/>
      <c r="AR7" s="527"/>
      <c r="AS7" s="527"/>
      <c r="AT7" s="527"/>
      <c r="AU7" s="527"/>
      <c r="AV7" s="527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</row>
    <row r="8" spans="1:84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4"/>
      <c r="AX8" s="107"/>
      <c r="AY8" s="141"/>
      <c r="AZ8" s="141"/>
      <c r="BA8" s="141"/>
      <c r="BB8" s="141"/>
      <c r="BC8" s="141"/>
      <c r="BD8" s="141"/>
      <c r="BE8" s="141"/>
      <c r="BF8" s="141"/>
      <c r="BG8" s="107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</row>
    <row r="9" spans="1:84" ht="12" customHeight="1" thickBot="1" x14ac:dyDescent="0.3">
      <c r="A9" s="314" t="s">
        <v>362</v>
      </c>
      <c r="B9" s="315"/>
      <c r="C9" s="315"/>
      <c r="D9" s="315"/>
      <c r="E9" s="315"/>
      <c r="F9" s="315"/>
      <c r="G9" s="315"/>
      <c r="H9" s="315"/>
      <c r="I9" s="315"/>
      <c r="J9" s="315"/>
      <c r="K9" s="315"/>
      <c r="L9" s="315"/>
      <c r="M9" s="315"/>
      <c r="N9" s="315"/>
      <c r="O9" s="315"/>
      <c r="P9" s="315"/>
      <c r="Q9" s="315"/>
      <c r="R9" s="315"/>
      <c r="S9" s="315"/>
      <c r="T9" s="315"/>
      <c r="U9" s="315"/>
      <c r="V9" s="315"/>
      <c r="W9" s="315"/>
      <c r="X9" s="315"/>
      <c r="Y9" s="315"/>
      <c r="Z9" s="315"/>
      <c r="AA9" s="315"/>
      <c r="AB9" s="315"/>
      <c r="AC9" s="315"/>
      <c r="AD9" s="315"/>
      <c r="AE9" s="315"/>
      <c r="AF9" s="315"/>
      <c r="AG9" s="315"/>
      <c r="AH9" s="315"/>
      <c r="AI9" s="315"/>
      <c r="AJ9" s="315"/>
      <c r="AK9" s="315"/>
      <c r="AL9" s="315"/>
      <c r="AM9" s="315"/>
      <c r="AN9" s="315"/>
      <c r="AO9" s="315"/>
      <c r="AP9" s="315"/>
      <c r="AQ9" s="315"/>
      <c r="AR9" s="315"/>
      <c r="AS9" s="315"/>
      <c r="AT9" s="315"/>
      <c r="AU9" s="315"/>
      <c r="AV9" s="316"/>
      <c r="AW9" s="44"/>
      <c r="AX9" s="471" t="s">
        <v>160</v>
      </c>
      <c r="AY9" s="472"/>
      <c r="AZ9" s="472"/>
      <c r="BA9" s="472"/>
      <c r="BB9" s="472"/>
      <c r="BC9" s="472"/>
      <c r="BD9" s="472"/>
      <c r="BE9" s="472"/>
      <c r="BF9" s="472"/>
      <c r="BG9" s="472"/>
      <c r="BH9" s="472"/>
      <c r="BI9" s="472"/>
      <c r="BJ9" s="472"/>
      <c r="BK9" s="472"/>
      <c r="BL9" s="473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</row>
    <row r="10" spans="1:84" ht="12.75" customHeight="1" thickTop="1" x14ac:dyDescent="0.25">
      <c r="A10" s="904" t="s">
        <v>363</v>
      </c>
      <c r="B10" s="905"/>
      <c r="C10" s="905"/>
      <c r="D10" s="905"/>
      <c r="E10" s="905"/>
      <c r="F10" s="905"/>
      <c r="G10" s="905"/>
      <c r="H10" s="907" t="s">
        <v>364</v>
      </c>
      <c r="I10" s="908"/>
      <c r="J10" s="908"/>
      <c r="K10" s="908"/>
      <c r="L10" s="908"/>
      <c r="M10" s="908"/>
      <c r="N10" s="908"/>
      <c r="O10" s="908"/>
      <c r="P10" s="908"/>
      <c r="Q10" s="908"/>
      <c r="R10" s="908"/>
      <c r="S10" s="909"/>
      <c r="T10" s="907" t="s">
        <v>365</v>
      </c>
      <c r="U10" s="908"/>
      <c r="V10" s="908"/>
      <c r="W10" s="908"/>
      <c r="X10" s="908"/>
      <c r="Y10" s="909"/>
      <c r="Z10" s="908" t="s">
        <v>366</v>
      </c>
      <c r="AA10" s="908"/>
      <c r="AB10" s="908"/>
      <c r="AC10" s="908"/>
      <c r="AD10" s="908"/>
      <c r="AE10" s="909"/>
      <c r="AF10" s="250" t="s">
        <v>367</v>
      </c>
      <c r="AG10" s="250"/>
      <c r="AH10" s="250"/>
      <c r="AI10" s="250"/>
      <c r="AJ10" s="250"/>
      <c r="AK10" s="250"/>
      <c r="AL10" s="250"/>
      <c r="AM10" s="250"/>
      <c r="AN10" s="250"/>
      <c r="AO10" s="250"/>
      <c r="AP10" s="250"/>
      <c r="AQ10" s="250"/>
      <c r="AR10" s="250"/>
      <c r="AS10" s="905" t="s">
        <v>262</v>
      </c>
      <c r="AT10" s="905"/>
      <c r="AU10" s="905"/>
      <c r="AV10" s="910"/>
      <c r="AW10" s="44"/>
      <c r="AX10" s="324"/>
      <c r="AY10" s="547"/>
      <c r="AZ10" s="547"/>
      <c r="BA10" s="547"/>
      <c r="BB10" s="325"/>
      <c r="BC10" s="548"/>
      <c r="BD10" s="547"/>
      <c r="BE10" s="547"/>
      <c r="BF10" s="547"/>
      <c r="BG10" s="325"/>
      <c r="BH10" s="548"/>
      <c r="BI10" s="547"/>
      <c r="BJ10" s="547"/>
      <c r="BK10" s="547"/>
      <c r="BL10" s="549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</row>
    <row r="11" spans="1:84" ht="12" customHeight="1" x14ac:dyDescent="0.25">
      <c r="A11" s="906"/>
      <c r="B11" s="903"/>
      <c r="C11" s="903"/>
      <c r="D11" s="903"/>
      <c r="E11" s="903"/>
      <c r="F11" s="903"/>
      <c r="G11" s="903"/>
      <c r="H11" s="903" t="s">
        <v>368</v>
      </c>
      <c r="I11" s="903"/>
      <c r="J11" s="903"/>
      <c r="K11" s="903" t="s">
        <v>369</v>
      </c>
      <c r="L11" s="903"/>
      <c r="M11" s="903"/>
      <c r="N11" s="903" t="s">
        <v>370</v>
      </c>
      <c r="O11" s="903"/>
      <c r="P11" s="903"/>
      <c r="Q11" s="903" t="s">
        <v>371</v>
      </c>
      <c r="R11" s="903"/>
      <c r="S11" s="903"/>
      <c r="T11" s="903" t="s">
        <v>372</v>
      </c>
      <c r="U11" s="903"/>
      <c r="V11" s="903"/>
      <c r="W11" s="903" t="s">
        <v>373</v>
      </c>
      <c r="X11" s="903"/>
      <c r="Y11" s="903"/>
      <c r="Z11" s="902" t="s">
        <v>374</v>
      </c>
      <c r="AA11" s="902"/>
      <c r="AB11" s="902"/>
      <c r="AC11" s="902" t="s">
        <v>375</v>
      </c>
      <c r="AD11" s="902"/>
      <c r="AE11" s="902"/>
      <c r="AF11" s="902" t="s">
        <v>376</v>
      </c>
      <c r="AG11" s="902"/>
      <c r="AH11" s="902"/>
      <c r="AI11" s="902"/>
      <c r="AJ11" s="903" t="s">
        <v>377</v>
      </c>
      <c r="AK11" s="903"/>
      <c r="AL11" s="903"/>
      <c r="AM11" s="903" t="s">
        <v>378</v>
      </c>
      <c r="AN11" s="903"/>
      <c r="AO11" s="903"/>
      <c r="AP11" s="903"/>
      <c r="AQ11" s="903"/>
      <c r="AR11" s="903"/>
      <c r="AS11" s="903"/>
      <c r="AT11" s="903"/>
      <c r="AU11" s="903"/>
      <c r="AV11" s="911"/>
      <c r="AW11" s="44"/>
      <c r="AX11" s="521"/>
      <c r="AY11" s="522"/>
      <c r="AZ11" s="522"/>
      <c r="BA11" s="522"/>
      <c r="BB11" s="523"/>
      <c r="BC11" s="524"/>
      <c r="BD11" s="522"/>
      <c r="BE11" s="522"/>
      <c r="BF11" s="522"/>
      <c r="BG11" s="523"/>
      <c r="BH11" s="524"/>
      <c r="BI11" s="522"/>
      <c r="BJ11" s="522"/>
      <c r="BK11" s="522"/>
      <c r="BL11" s="525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</row>
    <row r="12" spans="1:84" ht="12" customHeight="1" x14ac:dyDescent="0.25">
      <c r="A12" s="906"/>
      <c r="B12" s="903"/>
      <c r="C12" s="903"/>
      <c r="D12" s="903"/>
      <c r="E12" s="903"/>
      <c r="F12" s="903"/>
      <c r="G12" s="903"/>
      <c r="H12" s="903"/>
      <c r="I12" s="903"/>
      <c r="J12" s="903"/>
      <c r="K12" s="903"/>
      <c r="L12" s="903"/>
      <c r="M12" s="903"/>
      <c r="N12" s="903"/>
      <c r="O12" s="903"/>
      <c r="P12" s="903"/>
      <c r="Q12" s="903"/>
      <c r="R12" s="903"/>
      <c r="S12" s="903"/>
      <c r="T12" s="903"/>
      <c r="U12" s="903"/>
      <c r="V12" s="903"/>
      <c r="W12" s="903"/>
      <c r="X12" s="903"/>
      <c r="Y12" s="903"/>
      <c r="Z12" s="902"/>
      <c r="AA12" s="902"/>
      <c r="AB12" s="902"/>
      <c r="AC12" s="902"/>
      <c r="AD12" s="902"/>
      <c r="AE12" s="902"/>
      <c r="AF12" s="902"/>
      <c r="AG12" s="902"/>
      <c r="AH12" s="902"/>
      <c r="AI12" s="902"/>
      <c r="AJ12" s="903"/>
      <c r="AK12" s="903"/>
      <c r="AL12" s="903"/>
      <c r="AM12" s="903"/>
      <c r="AN12" s="903"/>
      <c r="AO12" s="903"/>
      <c r="AP12" s="903"/>
      <c r="AQ12" s="903"/>
      <c r="AR12" s="903"/>
      <c r="AS12" s="903"/>
      <c r="AT12" s="903"/>
      <c r="AU12" s="903"/>
      <c r="AV12" s="911"/>
      <c r="AW12" s="44"/>
      <c r="AX12" s="521"/>
      <c r="AY12" s="522"/>
      <c r="AZ12" s="522"/>
      <c r="BA12" s="522"/>
      <c r="BB12" s="523"/>
      <c r="BC12" s="524"/>
      <c r="BD12" s="522"/>
      <c r="BE12" s="522"/>
      <c r="BF12" s="522"/>
      <c r="BG12" s="523"/>
      <c r="BH12" s="524"/>
      <c r="BI12" s="522"/>
      <c r="BJ12" s="522"/>
      <c r="BK12" s="522"/>
      <c r="BL12" s="525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</row>
    <row r="13" spans="1:84" ht="12" customHeight="1" x14ac:dyDescent="0.25">
      <c r="A13" s="900"/>
      <c r="B13" s="513"/>
      <c r="C13" s="513"/>
      <c r="D13" s="513"/>
      <c r="E13" s="513"/>
      <c r="F13" s="513"/>
      <c r="G13" s="513"/>
      <c r="H13" s="899"/>
      <c r="I13" s="899"/>
      <c r="J13" s="899"/>
      <c r="K13" s="899"/>
      <c r="L13" s="899"/>
      <c r="M13" s="899"/>
      <c r="N13" s="899"/>
      <c r="O13" s="899"/>
      <c r="P13" s="899"/>
      <c r="Q13" s="899"/>
      <c r="R13" s="899"/>
      <c r="S13" s="899"/>
      <c r="T13" s="899"/>
      <c r="U13" s="899"/>
      <c r="V13" s="899"/>
      <c r="W13" s="899"/>
      <c r="X13" s="899"/>
      <c r="Y13" s="899"/>
      <c r="Z13" s="899"/>
      <c r="AA13" s="899"/>
      <c r="AB13" s="899"/>
      <c r="AC13" s="899"/>
      <c r="AD13" s="899"/>
      <c r="AE13" s="899"/>
      <c r="AF13" s="513"/>
      <c r="AG13" s="513"/>
      <c r="AH13" s="513"/>
      <c r="AI13" s="513"/>
      <c r="AJ13" s="513"/>
      <c r="AK13" s="513"/>
      <c r="AL13" s="513"/>
      <c r="AM13" s="513"/>
      <c r="AN13" s="513"/>
      <c r="AO13" s="513"/>
      <c r="AP13" s="513"/>
      <c r="AQ13" s="513"/>
      <c r="AR13" s="513"/>
      <c r="AS13" s="400"/>
      <c r="AT13" s="400"/>
      <c r="AU13" s="400"/>
      <c r="AV13" s="401"/>
      <c r="AW13" s="44"/>
      <c r="AX13" s="521"/>
      <c r="AY13" s="522"/>
      <c r="AZ13" s="522"/>
      <c r="BA13" s="522"/>
      <c r="BB13" s="523"/>
      <c r="BC13" s="524"/>
      <c r="BD13" s="522"/>
      <c r="BE13" s="522"/>
      <c r="BF13" s="522"/>
      <c r="BG13" s="523"/>
      <c r="BH13" s="524"/>
      <c r="BI13" s="522"/>
      <c r="BJ13" s="522"/>
      <c r="BK13" s="522"/>
      <c r="BL13" s="525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</row>
    <row r="14" spans="1:84" ht="12" customHeight="1" x14ac:dyDescent="0.25">
      <c r="A14" s="900"/>
      <c r="B14" s="513"/>
      <c r="C14" s="513"/>
      <c r="D14" s="513"/>
      <c r="E14" s="513"/>
      <c r="F14" s="513"/>
      <c r="G14" s="513"/>
      <c r="H14" s="899"/>
      <c r="I14" s="899"/>
      <c r="J14" s="899"/>
      <c r="K14" s="899"/>
      <c r="L14" s="899"/>
      <c r="M14" s="899"/>
      <c r="N14" s="899"/>
      <c r="O14" s="899"/>
      <c r="P14" s="899"/>
      <c r="Q14" s="899"/>
      <c r="R14" s="899"/>
      <c r="S14" s="899"/>
      <c r="T14" s="899"/>
      <c r="U14" s="899"/>
      <c r="V14" s="899"/>
      <c r="W14" s="899"/>
      <c r="X14" s="899"/>
      <c r="Y14" s="899"/>
      <c r="Z14" s="899"/>
      <c r="AA14" s="899"/>
      <c r="AB14" s="899"/>
      <c r="AC14" s="899"/>
      <c r="AD14" s="899"/>
      <c r="AE14" s="899"/>
      <c r="AF14" s="513"/>
      <c r="AG14" s="513"/>
      <c r="AH14" s="513"/>
      <c r="AI14" s="513"/>
      <c r="AJ14" s="513"/>
      <c r="AK14" s="513"/>
      <c r="AL14" s="513"/>
      <c r="AM14" s="513"/>
      <c r="AN14" s="513"/>
      <c r="AO14" s="513"/>
      <c r="AP14" s="513"/>
      <c r="AQ14" s="513"/>
      <c r="AR14" s="513"/>
      <c r="AS14" s="400"/>
      <c r="AT14" s="400"/>
      <c r="AU14" s="400"/>
      <c r="AV14" s="401"/>
      <c r="AW14" s="44"/>
      <c r="AX14" s="521"/>
      <c r="AY14" s="522"/>
      <c r="AZ14" s="522"/>
      <c r="BA14" s="522"/>
      <c r="BB14" s="523"/>
      <c r="BC14" s="524"/>
      <c r="BD14" s="522"/>
      <c r="BE14" s="522"/>
      <c r="BF14" s="522"/>
      <c r="BG14" s="523"/>
      <c r="BH14" s="524"/>
      <c r="BI14" s="522"/>
      <c r="BJ14" s="522"/>
      <c r="BK14" s="522"/>
      <c r="BL14" s="525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</row>
    <row r="15" spans="1:84" s="120" customFormat="1" ht="12" customHeight="1" thickBot="1" x14ac:dyDescent="0.3">
      <c r="A15" s="900"/>
      <c r="B15" s="513"/>
      <c r="C15" s="513"/>
      <c r="D15" s="513"/>
      <c r="E15" s="513"/>
      <c r="F15" s="513"/>
      <c r="G15" s="513"/>
      <c r="H15" s="899"/>
      <c r="I15" s="899"/>
      <c r="J15" s="899"/>
      <c r="K15" s="899"/>
      <c r="L15" s="899"/>
      <c r="M15" s="899"/>
      <c r="N15" s="899"/>
      <c r="O15" s="899"/>
      <c r="P15" s="899"/>
      <c r="Q15" s="899"/>
      <c r="R15" s="899"/>
      <c r="S15" s="899"/>
      <c r="T15" s="899"/>
      <c r="U15" s="899"/>
      <c r="V15" s="899"/>
      <c r="W15" s="899"/>
      <c r="X15" s="899"/>
      <c r="Y15" s="899"/>
      <c r="Z15" s="899"/>
      <c r="AA15" s="899"/>
      <c r="AB15" s="899"/>
      <c r="AC15" s="899"/>
      <c r="AD15" s="899"/>
      <c r="AE15" s="899"/>
      <c r="AF15" s="513"/>
      <c r="AG15" s="513"/>
      <c r="AH15" s="513"/>
      <c r="AI15" s="513"/>
      <c r="AJ15" s="513"/>
      <c r="AK15" s="513"/>
      <c r="AL15" s="513"/>
      <c r="AM15" s="513"/>
      <c r="AN15" s="513"/>
      <c r="AO15" s="513"/>
      <c r="AP15" s="513"/>
      <c r="AQ15" s="513"/>
      <c r="AR15" s="513"/>
      <c r="AS15" s="400"/>
      <c r="AT15" s="400"/>
      <c r="AU15" s="400"/>
      <c r="AV15" s="401"/>
      <c r="AW15" s="44"/>
      <c r="AX15" s="528"/>
      <c r="AY15" s="529"/>
      <c r="AZ15" s="529"/>
      <c r="BA15" s="529"/>
      <c r="BB15" s="530"/>
      <c r="BC15" s="531"/>
      <c r="BD15" s="529"/>
      <c r="BE15" s="529"/>
      <c r="BF15" s="529"/>
      <c r="BG15" s="530"/>
      <c r="BH15" s="531"/>
      <c r="BI15" s="529"/>
      <c r="BJ15" s="529"/>
      <c r="BK15" s="529"/>
      <c r="BL15" s="532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</row>
    <row r="16" spans="1:84" ht="12" customHeight="1" x14ac:dyDescent="0.25">
      <c r="A16" s="900"/>
      <c r="B16" s="513"/>
      <c r="C16" s="513"/>
      <c r="D16" s="513"/>
      <c r="E16" s="513"/>
      <c r="F16" s="513"/>
      <c r="G16" s="513"/>
      <c r="H16" s="899"/>
      <c r="I16" s="899"/>
      <c r="J16" s="899"/>
      <c r="K16" s="899"/>
      <c r="L16" s="899"/>
      <c r="M16" s="899"/>
      <c r="N16" s="899"/>
      <c r="O16" s="899"/>
      <c r="P16" s="899"/>
      <c r="Q16" s="899"/>
      <c r="R16" s="899"/>
      <c r="S16" s="899"/>
      <c r="T16" s="899"/>
      <c r="U16" s="899"/>
      <c r="V16" s="899"/>
      <c r="W16" s="899"/>
      <c r="X16" s="899"/>
      <c r="Y16" s="899"/>
      <c r="Z16" s="899"/>
      <c r="AA16" s="899"/>
      <c r="AB16" s="899"/>
      <c r="AC16" s="899"/>
      <c r="AD16" s="899"/>
      <c r="AE16" s="899"/>
      <c r="AF16" s="513"/>
      <c r="AG16" s="513"/>
      <c r="AH16" s="513"/>
      <c r="AI16" s="513"/>
      <c r="AJ16" s="513"/>
      <c r="AK16" s="513"/>
      <c r="AL16" s="513"/>
      <c r="AM16" s="513"/>
      <c r="AN16" s="513"/>
      <c r="AO16" s="513"/>
      <c r="AP16" s="513"/>
      <c r="AQ16" s="513"/>
      <c r="AR16" s="513"/>
      <c r="AS16" s="400"/>
      <c r="AT16" s="400"/>
      <c r="AU16" s="400"/>
      <c r="AV16" s="401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</row>
    <row r="17" spans="1:84" ht="12" customHeight="1" x14ac:dyDescent="0.25">
      <c r="A17" s="900"/>
      <c r="B17" s="513"/>
      <c r="C17" s="513"/>
      <c r="D17" s="513"/>
      <c r="E17" s="513"/>
      <c r="F17" s="513"/>
      <c r="G17" s="513"/>
      <c r="H17" s="899"/>
      <c r="I17" s="899"/>
      <c r="J17" s="899"/>
      <c r="K17" s="899"/>
      <c r="L17" s="899"/>
      <c r="M17" s="899"/>
      <c r="N17" s="899"/>
      <c r="O17" s="899"/>
      <c r="P17" s="899"/>
      <c r="Q17" s="899"/>
      <c r="R17" s="899"/>
      <c r="S17" s="899"/>
      <c r="T17" s="899"/>
      <c r="U17" s="899"/>
      <c r="V17" s="899"/>
      <c r="W17" s="899"/>
      <c r="X17" s="899"/>
      <c r="Y17" s="899"/>
      <c r="Z17" s="899"/>
      <c r="AA17" s="899"/>
      <c r="AB17" s="899"/>
      <c r="AC17" s="899"/>
      <c r="AD17" s="899"/>
      <c r="AE17" s="899"/>
      <c r="AF17" s="513"/>
      <c r="AG17" s="513"/>
      <c r="AH17" s="513"/>
      <c r="AI17" s="513"/>
      <c r="AJ17" s="513"/>
      <c r="AK17" s="513"/>
      <c r="AL17" s="513"/>
      <c r="AM17" s="513"/>
      <c r="AN17" s="513"/>
      <c r="AO17" s="513"/>
      <c r="AP17" s="513"/>
      <c r="AQ17" s="513"/>
      <c r="AR17" s="513"/>
      <c r="AS17" s="400"/>
      <c r="AT17" s="400"/>
      <c r="AU17" s="400"/>
      <c r="AV17" s="401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</row>
    <row r="18" spans="1:84" ht="12" customHeight="1" x14ac:dyDescent="0.25">
      <c r="A18" s="900"/>
      <c r="B18" s="513"/>
      <c r="C18" s="513"/>
      <c r="D18" s="513"/>
      <c r="E18" s="513"/>
      <c r="F18" s="513"/>
      <c r="G18" s="513"/>
      <c r="H18" s="899"/>
      <c r="I18" s="899"/>
      <c r="J18" s="899"/>
      <c r="K18" s="899"/>
      <c r="L18" s="899"/>
      <c r="M18" s="899"/>
      <c r="N18" s="899"/>
      <c r="O18" s="899"/>
      <c r="P18" s="899"/>
      <c r="Q18" s="899"/>
      <c r="R18" s="899"/>
      <c r="S18" s="899"/>
      <c r="T18" s="899"/>
      <c r="U18" s="899"/>
      <c r="V18" s="899"/>
      <c r="W18" s="899"/>
      <c r="X18" s="899"/>
      <c r="Y18" s="899"/>
      <c r="Z18" s="899"/>
      <c r="AA18" s="899"/>
      <c r="AB18" s="899"/>
      <c r="AC18" s="899"/>
      <c r="AD18" s="899"/>
      <c r="AE18" s="899"/>
      <c r="AF18" s="513"/>
      <c r="AG18" s="513"/>
      <c r="AH18" s="513"/>
      <c r="AI18" s="513"/>
      <c r="AJ18" s="513"/>
      <c r="AK18" s="513"/>
      <c r="AL18" s="513"/>
      <c r="AM18" s="513"/>
      <c r="AN18" s="513"/>
      <c r="AO18" s="513"/>
      <c r="AP18" s="513"/>
      <c r="AQ18" s="513"/>
      <c r="AR18" s="513"/>
      <c r="AS18" s="400"/>
      <c r="AT18" s="400"/>
      <c r="AU18" s="400"/>
      <c r="AV18" s="401"/>
      <c r="AW18" s="44"/>
      <c r="AX18" s="142"/>
      <c r="AY18" s="142"/>
      <c r="AZ18" s="142"/>
      <c r="BA18" s="142"/>
      <c r="BB18" s="142"/>
      <c r="BC18" s="142"/>
      <c r="BD18" s="142"/>
      <c r="BE18" s="142"/>
      <c r="BF18" s="142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</row>
    <row r="19" spans="1:84" ht="12" customHeight="1" x14ac:dyDescent="0.25">
      <c r="A19" s="900"/>
      <c r="B19" s="513"/>
      <c r="C19" s="513"/>
      <c r="D19" s="513"/>
      <c r="E19" s="513"/>
      <c r="F19" s="513"/>
      <c r="G19" s="513"/>
      <c r="H19" s="899"/>
      <c r="I19" s="899"/>
      <c r="J19" s="899"/>
      <c r="K19" s="899"/>
      <c r="L19" s="899"/>
      <c r="M19" s="899"/>
      <c r="N19" s="899"/>
      <c r="O19" s="899"/>
      <c r="P19" s="899"/>
      <c r="Q19" s="899"/>
      <c r="R19" s="899"/>
      <c r="S19" s="899"/>
      <c r="T19" s="899"/>
      <c r="U19" s="899"/>
      <c r="V19" s="899"/>
      <c r="W19" s="899"/>
      <c r="X19" s="899"/>
      <c r="Y19" s="899"/>
      <c r="Z19" s="899"/>
      <c r="AA19" s="899"/>
      <c r="AB19" s="899"/>
      <c r="AC19" s="899"/>
      <c r="AD19" s="899"/>
      <c r="AE19" s="899"/>
      <c r="AF19" s="513"/>
      <c r="AG19" s="513"/>
      <c r="AH19" s="513"/>
      <c r="AI19" s="513"/>
      <c r="AJ19" s="513"/>
      <c r="AK19" s="513"/>
      <c r="AL19" s="513"/>
      <c r="AM19" s="513"/>
      <c r="AN19" s="513"/>
      <c r="AO19" s="513"/>
      <c r="AP19" s="513"/>
      <c r="AQ19" s="513"/>
      <c r="AR19" s="513"/>
      <c r="AS19" s="400"/>
      <c r="AT19" s="400"/>
      <c r="AU19" s="400"/>
      <c r="AV19" s="401"/>
      <c r="AW19" s="44"/>
      <c r="AX19" s="142"/>
      <c r="AY19" s="142"/>
      <c r="AZ19" s="142"/>
      <c r="BA19" s="142"/>
      <c r="BB19" s="142"/>
      <c r="BC19" s="142"/>
      <c r="BD19" s="142"/>
      <c r="BE19" s="142"/>
      <c r="BF19" s="142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</row>
    <row r="20" spans="1:84" ht="12" customHeight="1" x14ac:dyDescent="0.25">
      <c r="A20" s="900"/>
      <c r="B20" s="513"/>
      <c r="C20" s="513"/>
      <c r="D20" s="513"/>
      <c r="E20" s="513"/>
      <c r="F20" s="513"/>
      <c r="G20" s="513"/>
      <c r="H20" s="899"/>
      <c r="I20" s="899"/>
      <c r="J20" s="899"/>
      <c r="K20" s="899"/>
      <c r="L20" s="899"/>
      <c r="M20" s="899"/>
      <c r="N20" s="899"/>
      <c r="O20" s="899"/>
      <c r="P20" s="899"/>
      <c r="Q20" s="899"/>
      <c r="R20" s="899"/>
      <c r="S20" s="899"/>
      <c r="T20" s="899"/>
      <c r="U20" s="899"/>
      <c r="V20" s="899"/>
      <c r="W20" s="899"/>
      <c r="X20" s="899"/>
      <c r="Y20" s="899"/>
      <c r="Z20" s="899"/>
      <c r="AA20" s="899"/>
      <c r="AB20" s="899"/>
      <c r="AC20" s="899"/>
      <c r="AD20" s="899"/>
      <c r="AE20" s="899"/>
      <c r="AF20" s="513"/>
      <c r="AG20" s="513"/>
      <c r="AH20" s="513"/>
      <c r="AI20" s="513"/>
      <c r="AJ20" s="513"/>
      <c r="AK20" s="513"/>
      <c r="AL20" s="513"/>
      <c r="AM20" s="513"/>
      <c r="AN20" s="513"/>
      <c r="AO20" s="513"/>
      <c r="AP20" s="513"/>
      <c r="AQ20" s="513"/>
      <c r="AR20" s="513"/>
      <c r="AS20" s="400"/>
      <c r="AT20" s="400"/>
      <c r="AU20" s="400"/>
      <c r="AV20" s="401"/>
      <c r="AW20" s="44"/>
      <c r="AX20" s="44"/>
      <c r="AY20" s="44"/>
      <c r="AZ20" s="44"/>
      <c r="BA20" s="44"/>
      <c r="BB20" s="44"/>
      <c r="BC20" s="44"/>
      <c r="BD20" s="96"/>
      <c r="BE20" s="96"/>
      <c r="BF20" s="96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</row>
    <row r="21" spans="1:84" ht="12" customHeight="1" x14ac:dyDescent="0.25">
      <c r="A21" s="900"/>
      <c r="B21" s="513"/>
      <c r="C21" s="513"/>
      <c r="D21" s="513"/>
      <c r="E21" s="513"/>
      <c r="F21" s="513"/>
      <c r="G21" s="513"/>
      <c r="H21" s="899"/>
      <c r="I21" s="899"/>
      <c r="J21" s="899"/>
      <c r="K21" s="899"/>
      <c r="L21" s="899"/>
      <c r="M21" s="899"/>
      <c r="N21" s="899"/>
      <c r="O21" s="899"/>
      <c r="P21" s="899"/>
      <c r="Q21" s="899"/>
      <c r="R21" s="899"/>
      <c r="S21" s="899"/>
      <c r="T21" s="899"/>
      <c r="U21" s="899"/>
      <c r="V21" s="899"/>
      <c r="W21" s="899"/>
      <c r="X21" s="899"/>
      <c r="Y21" s="899"/>
      <c r="Z21" s="899"/>
      <c r="AA21" s="899"/>
      <c r="AB21" s="899"/>
      <c r="AC21" s="899"/>
      <c r="AD21" s="899"/>
      <c r="AE21" s="899"/>
      <c r="AF21" s="513"/>
      <c r="AG21" s="513"/>
      <c r="AH21" s="513"/>
      <c r="AI21" s="513"/>
      <c r="AJ21" s="513"/>
      <c r="AK21" s="513"/>
      <c r="AL21" s="513"/>
      <c r="AM21" s="513"/>
      <c r="AN21" s="513"/>
      <c r="AO21" s="513"/>
      <c r="AP21" s="513"/>
      <c r="AQ21" s="513"/>
      <c r="AR21" s="513"/>
      <c r="AS21" s="400"/>
      <c r="AT21" s="400"/>
      <c r="AU21" s="400"/>
      <c r="AV21" s="401"/>
      <c r="AW21" s="44"/>
      <c r="AX21" s="44"/>
      <c r="AY21" s="44"/>
      <c r="AZ21" s="44"/>
      <c r="BA21" s="44"/>
      <c r="BB21" s="44"/>
      <c r="BC21" s="44"/>
      <c r="BD21" s="143"/>
      <c r="BE21" s="143"/>
      <c r="BF21" s="143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</row>
    <row r="22" spans="1:84" ht="12" customHeight="1" x14ac:dyDescent="0.25">
      <c r="A22" s="900"/>
      <c r="B22" s="513"/>
      <c r="C22" s="513"/>
      <c r="D22" s="513"/>
      <c r="E22" s="513"/>
      <c r="F22" s="513"/>
      <c r="G22" s="513"/>
      <c r="H22" s="899"/>
      <c r="I22" s="899"/>
      <c r="J22" s="899"/>
      <c r="K22" s="899"/>
      <c r="L22" s="899"/>
      <c r="M22" s="899"/>
      <c r="N22" s="899"/>
      <c r="O22" s="899"/>
      <c r="P22" s="899"/>
      <c r="Q22" s="899"/>
      <c r="R22" s="899"/>
      <c r="S22" s="899"/>
      <c r="T22" s="899"/>
      <c r="U22" s="899"/>
      <c r="V22" s="899"/>
      <c r="W22" s="899"/>
      <c r="X22" s="899"/>
      <c r="Y22" s="899"/>
      <c r="Z22" s="899"/>
      <c r="AA22" s="899"/>
      <c r="AB22" s="899"/>
      <c r="AC22" s="899"/>
      <c r="AD22" s="899"/>
      <c r="AE22" s="899"/>
      <c r="AF22" s="513"/>
      <c r="AG22" s="513"/>
      <c r="AH22" s="513"/>
      <c r="AI22" s="513"/>
      <c r="AJ22" s="513"/>
      <c r="AK22" s="513"/>
      <c r="AL22" s="513"/>
      <c r="AM22" s="513"/>
      <c r="AN22" s="513"/>
      <c r="AO22" s="513"/>
      <c r="AP22" s="513"/>
      <c r="AQ22" s="513"/>
      <c r="AR22" s="513"/>
      <c r="AS22" s="400"/>
      <c r="AT22" s="400"/>
      <c r="AU22" s="400"/>
      <c r="AV22" s="401"/>
      <c r="AW22" s="44"/>
      <c r="AX22" s="44"/>
      <c r="AY22" s="44"/>
      <c r="AZ22" s="44"/>
      <c r="BA22" s="44"/>
      <c r="BB22" s="44"/>
      <c r="BC22" s="44"/>
      <c r="BD22" s="144"/>
      <c r="BE22" s="144"/>
      <c r="BF22" s="1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</row>
    <row r="23" spans="1:84" ht="12" customHeight="1" x14ac:dyDescent="0.25">
      <c r="A23" s="900"/>
      <c r="B23" s="513"/>
      <c r="C23" s="513"/>
      <c r="D23" s="513"/>
      <c r="E23" s="513"/>
      <c r="F23" s="513"/>
      <c r="G23" s="513"/>
      <c r="H23" s="899"/>
      <c r="I23" s="899"/>
      <c r="J23" s="899"/>
      <c r="K23" s="899"/>
      <c r="L23" s="899"/>
      <c r="M23" s="899"/>
      <c r="N23" s="899"/>
      <c r="O23" s="899"/>
      <c r="P23" s="899"/>
      <c r="Q23" s="899"/>
      <c r="R23" s="899"/>
      <c r="S23" s="899"/>
      <c r="T23" s="899"/>
      <c r="U23" s="899"/>
      <c r="V23" s="899"/>
      <c r="W23" s="899"/>
      <c r="X23" s="899"/>
      <c r="Y23" s="899"/>
      <c r="Z23" s="899"/>
      <c r="AA23" s="899"/>
      <c r="AB23" s="899"/>
      <c r="AC23" s="899"/>
      <c r="AD23" s="899"/>
      <c r="AE23" s="899"/>
      <c r="AF23" s="513"/>
      <c r="AG23" s="513"/>
      <c r="AH23" s="513"/>
      <c r="AI23" s="513"/>
      <c r="AJ23" s="513"/>
      <c r="AK23" s="513"/>
      <c r="AL23" s="513"/>
      <c r="AM23" s="513"/>
      <c r="AN23" s="513"/>
      <c r="AO23" s="513"/>
      <c r="AP23" s="513"/>
      <c r="AQ23" s="513"/>
      <c r="AR23" s="513"/>
      <c r="AS23" s="400"/>
      <c r="AT23" s="400"/>
      <c r="AU23" s="400"/>
      <c r="AV23" s="401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</row>
    <row r="24" spans="1:84" ht="12" customHeight="1" x14ac:dyDescent="0.25">
      <c r="A24" s="900"/>
      <c r="B24" s="513"/>
      <c r="C24" s="513"/>
      <c r="D24" s="513"/>
      <c r="E24" s="513"/>
      <c r="F24" s="513"/>
      <c r="G24" s="513"/>
      <c r="H24" s="899"/>
      <c r="I24" s="899"/>
      <c r="J24" s="899"/>
      <c r="K24" s="899"/>
      <c r="L24" s="899"/>
      <c r="M24" s="899"/>
      <c r="N24" s="899"/>
      <c r="O24" s="899"/>
      <c r="P24" s="899"/>
      <c r="Q24" s="899"/>
      <c r="R24" s="899"/>
      <c r="S24" s="899"/>
      <c r="T24" s="899"/>
      <c r="U24" s="899"/>
      <c r="V24" s="899"/>
      <c r="W24" s="899"/>
      <c r="X24" s="899"/>
      <c r="Y24" s="899"/>
      <c r="Z24" s="899"/>
      <c r="AA24" s="899"/>
      <c r="AB24" s="899"/>
      <c r="AC24" s="899"/>
      <c r="AD24" s="899"/>
      <c r="AE24" s="899"/>
      <c r="AF24" s="513"/>
      <c r="AG24" s="513"/>
      <c r="AH24" s="513"/>
      <c r="AI24" s="513"/>
      <c r="AJ24" s="513"/>
      <c r="AK24" s="513"/>
      <c r="AL24" s="513"/>
      <c r="AM24" s="513"/>
      <c r="AN24" s="513"/>
      <c r="AO24" s="513"/>
      <c r="AP24" s="513"/>
      <c r="AQ24" s="513"/>
      <c r="AR24" s="513"/>
      <c r="AS24" s="400"/>
      <c r="AT24" s="400"/>
      <c r="AU24" s="400"/>
      <c r="AV24" s="401"/>
      <c r="AW24" s="44"/>
      <c r="AX24" s="142"/>
      <c r="AY24" s="142"/>
      <c r="AZ24" s="142"/>
      <c r="BA24" s="142"/>
      <c r="BB24" s="142"/>
      <c r="BC24" s="142"/>
      <c r="BD24" s="142"/>
      <c r="BE24" s="142"/>
      <c r="BF24" s="142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</row>
    <row r="25" spans="1:84" ht="12" customHeight="1" x14ac:dyDescent="0.25">
      <c r="A25" s="900"/>
      <c r="B25" s="513"/>
      <c r="C25" s="513"/>
      <c r="D25" s="513"/>
      <c r="E25" s="513"/>
      <c r="F25" s="513"/>
      <c r="G25" s="513"/>
      <c r="H25" s="899"/>
      <c r="I25" s="899"/>
      <c r="J25" s="899"/>
      <c r="K25" s="899"/>
      <c r="L25" s="899"/>
      <c r="M25" s="899"/>
      <c r="N25" s="899"/>
      <c r="O25" s="899"/>
      <c r="P25" s="899"/>
      <c r="Q25" s="899"/>
      <c r="R25" s="899"/>
      <c r="S25" s="899"/>
      <c r="T25" s="899"/>
      <c r="U25" s="899"/>
      <c r="V25" s="899"/>
      <c r="W25" s="899"/>
      <c r="X25" s="899"/>
      <c r="Y25" s="899"/>
      <c r="Z25" s="899"/>
      <c r="AA25" s="899"/>
      <c r="AB25" s="899"/>
      <c r="AC25" s="899"/>
      <c r="AD25" s="899"/>
      <c r="AE25" s="899"/>
      <c r="AF25" s="513"/>
      <c r="AG25" s="513"/>
      <c r="AH25" s="513"/>
      <c r="AI25" s="513"/>
      <c r="AJ25" s="513"/>
      <c r="AK25" s="513"/>
      <c r="AL25" s="513"/>
      <c r="AM25" s="513"/>
      <c r="AN25" s="513"/>
      <c r="AO25" s="513"/>
      <c r="AP25" s="513"/>
      <c r="AQ25" s="513"/>
      <c r="AR25" s="513"/>
      <c r="AS25" s="400"/>
      <c r="AT25" s="400"/>
      <c r="AU25" s="400"/>
      <c r="AV25" s="401"/>
      <c r="AW25" s="44"/>
      <c r="AX25" s="142"/>
      <c r="AY25" s="142"/>
      <c r="AZ25" s="142"/>
      <c r="BA25" s="142"/>
      <c r="BB25" s="142"/>
      <c r="BC25" s="142"/>
      <c r="BD25" s="142"/>
      <c r="BE25" s="142"/>
      <c r="BF25" s="142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</row>
    <row r="26" spans="1:84" ht="12" customHeight="1" x14ac:dyDescent="0.25">
      <c r="A26" s="900"/>
      <c r="B26" s="513"/>
      <c r="C26" s="513"/>
      <c r="D26" s="513"/>
      <c r="E26" s="513"/>
      <c r="F26" s="513"/>
      <c r="G26" s="513"/>
      <c r="H26" s="899"/>
      <c r="I26" s="899"/>
      <c r="J26" s="899"/>
      <c r="K26" s="899"/>
      <c r="L26" s="899"/>
      <c r="M26" s="899"/>
      <c r="N26" s="899"/>
      <c r="O26" s="899"/>
      <c r="P26" s="899"/>
      <c r="Q26" s="899"/>
      <c r="R26" s="899"/>
      <c r="S26" s="899"/>
      <c r="T26" s="899"/>
      <c r="U26" s="899"/>
      <c r="V26" s="899"/>
      <c r="W26" s="899"/>
      <c r="X26" s="899"/>
      <c r="Y26" s="899"/>
      <c r="Z26" s="899"/>
      <c r="AA26" s="899"/>
      <c r="AB26" s="899"/>
      <c r="AC26" s="899"/>
      <c r="AD26" s="899"/>
      <c r="AE26" s="899"/>
      <c r="AF26" s="513"/>
      <c r="AG26" s="513"/>
      <c r="AH26" s="513"/>
      <c r="AI26" s="513"/>
      <c r="AJ26" s="513"/>
      <c r="AK26" s="513"/>
      <c r="AL26" s="513"/>
      <c r="AM26" s="513"/>
      <c r="AN26" s="513"/>
      <c r="AO26" s="513"/>
      <c r="AP26" s="513"/>
      <c r="AQ26" s="513"/>
      <c r="AR26" s="513"/>
      <c r="AS26" s="400"/>
      <c r="AT26" s="400"/>
      <c r="AU26" s="400"/>
      <c r="AV26" s="401"/>
      <c r="AW26" s="44"/>
      <c r="AX26" s="44"/>
      <c r="AY26" s="44"/>
      <c r="AZ26" s="44"/>
      <c r="BA26" s="44"/>
      <c r="BB26" s="44"/>
      <c r="BC26" s="44"/>
      <c r="BD26" s="96"/>
      <c r="BE26" s="96"/>
      <c r="BF26" s="96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</row>
    <row r="27" spans="1:84" ht="12" customHeight="1" x14ac:dyDescent="0.25">
      <c r="A27" s="900"/>
      <c r="B27" s="513"/>
      <c r="C27" s="513"/>
      <c r="D27" s="513"/>
      <c r="E27" s="513"/>
      <c r="F27" s="513"/>
      <c r="G27" s="513"/>
      <c r="H27" s="899"/>
      <c r="I27" s="899"/>
      <c r="J27" s="899"/>
      <c r="K27" s="899"/>
      <c r="L27" s="899"/>
      <c r="M27" s="899"/>
      <c r="N27" s="899"/>
      <c r="O27" s="899"/>
      <c r="P27" s="899"/>
      <c r="Q27" s="899"/>
      <c r="R27" s="899"/>
      <c r="S27" s="899"/>
      <c r="T27" s="899"/>
      <c r="U27" s="899"/>
      <c r="V27" s="899"/>
      <c r="W27" s="899"/>
      <c r="X27" s="899"/>
      <c r="Y27" s="899"/>
      <c r="Z27" s="899"/>
      <c r="AA27" s="899"/>
      <c r="AB27" s="899"/>
      <c r="AC27" s="901"/>
      <c r="AD27" s="899"/>
      <c r="AE27" s="899"/>
      <c r="AF27" s="513"/>
      <c r="AG27" s="513"/>
      <c r="AH27" s="513"/>
      <c r="AI27" s="513"/>
      <c r="AJ27" s="513"/>
      <c r="AK27" s="513"/>
      <c r="AL27" s="513"/>
      <c r="AM27" s="513"/>
      <c r="AN27" s="513"/>
      <c r="AO27" s="513"/>
      <c r="AP27" s="513"/>
      <c r="AQ27" s="513"/>
      <c r="AR27" s="513"/>
      <c r="AS27" s="400"/>
      <c r="AT27" s="400"/>
      <c r="AU27" s="400"/>
      <c r="AV27" s="401"/>
      <c r="AW27" s="44"/>
      <c r="AX27" s="44"/>
      <c r="AY27" s="44"/>
      <c r="AZ27" s="44"/>
      <c r="BA27" s="44"/>
      <c r="BB27" s="44"/>
      <c r="BC27" s="44"/>
      <c r="BD27" s="143"/>
      <c r="BE27" s="143"/>
      <c r="BF27" s="143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</row>
    <row r="28" spans="1:84" ht="12" customHeight="1" x14ac:dyDescent="0.25">
      <c r="A28" s="900"/>
      <c r="B28" s="513"/>
      <c r="C28" s="513"/>
      <c r="D28" s="513"/>
      <c r="E28" s="513"/>
      <c r="F28" s="513"/>
      <c r="G28" s="513"/>
      <c r="H28" s="899"/>
      <c r="I28" s="899"/>
      <c r="J28" s="899"/>
      <c r="K28" s="899"/>
      <c r="L28" s="899"/>
      <c r="M28" s="899"/>
      <c r="N28" s="899"/>
      <c r="O28" s="899"/>
      <c r="P28" s="899"/>
      <c r="Q28" s="899"/>
      <c r="R28" s="899"/>
      <c r="S28" s="899"/>
      <c r="T28" s="899"/>
      <c r="U28" s="899"/>
      <c r="V28" s="899"/>
      <c r="W28" s="899"/>
      <c r="X28" s="899"/>
      <c r="Y28" s="899"/>
      <c r="Z28" s="899"/>
      <c r="AA28" s="899"/>
      <c r="AB28" s="899"/>
      <c r="AC28" s="899"/>
      <c r="AD28" s="899"/>
      <c r="AE28" s="899"/>
      <c r="AF28" s="513"/>
      <c r="AG28" s="513"/>
      <c r="AH28" s="513"/>
      <c r="AI28" s="513"/>
      <c r="AJ28" s="513"/>
      <c r="AK28" s="513"/>
      <c r="AL28" s="513"/>
      <c r="AM28" s="513"/>
      <c r="AN28" s="513"/>
      <c r="AO28" s="513"/>
      <c r="AP28" s="513"/>
      <c r="AQ28" s="513"/>
      <c r="AR28" s="513"/>
      <c r="AS28" s="400"/>
      <c r="AT28" s="400"/>
      <c r="AU28" s="400"/>
      <c r="AV28" s="401"/>
      <c r="AW28" s="44"/>
      <c r="AX28" s="44"/>
      <c r="AY28" s="44"/>
      <c r="AZ28" s="44"/>
      <c r="BA28" s="44"/>
      <c r="BB28" s="44"/>
      <c r="BC28" s="44"/>
      <c r="BD28" s="144"/>
      <c r="BE28" s="144"/>
      <c r="BF28" s="1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</row>
    <row r="29" spans="1:84" ht="12" customHeight="1" x14ac:dyDescent="0.25">
      <c r="A29" s="900"/>
      <c r="B29" s="513"/>
      <c r="C29" s="513"/>
      <c r="D29" s="513"/>
      <c r="E29" s="513"/>
      <c r="F29" s="513"/>
      <c r="G29" s="513"/>
      <c r="H29" s="899"/>
      <c r="I29" s="899"/>
      <c r="J29" s="899"/>
      <c r="K29" s="899"/>
      <c r="L29" s="899"/>
      <c r="M29" s="899"/>
      <c r="N29" s="899"/>
      <c r="O29" s="899"/>
      <c r="P29" s="899"/>
      <c r="Q29" s="899"/>
      <c r="R29" s="899"/>
      <c r="S29" s="899"/>
      <c r="T29" s="899"/>
      <c r="U29" s="899"/>
      <c r="V29" s="899"/>
      <c r="W29" s="899"/>
      <c r="X29" s="899"/>
      <c r="Y29" s="899"/>
      <c r="Z29" s="899"/>
      <c r="AA29" s="899"/>
      <c r="AB29" s="899"/>
      <c r="AC29" s="899"/>
      <c r="AD29" s="899"/>
      <c r="AE29" s="899"/>
      <c r="AF29" s="513"/>
      <c r="AG29" s="513"/>
      <c r="AH29" s="513"/>
      <c r="AI29" s="513"/>
      <c r="AJ29" s="513"/>
      <c r="AK29" s="513"/>
      <c r="AL29" s="513"/>
      <c r="AM29" s="513"/>
      <c r="AN29" s="513"/>
      <c r="AO29" s="513"/>
      <c r="AP29" s="513"/>
      <c r="AQ29" s="513"/>
      <c r="AR29" s="513"/>
      <c r="AS29" s="400"/>
      <c r="AT29" s="400"/>
      <c r="AU29" s="400"/>
      <c r="AV29" s="401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</row>
    <row r="30" spans="1:84" ht="12" customHeight="1" x14ac:dyDescent="0.25">
      <c r="A30" s="900"/>
      <c r="B30" s="513"/>
      <c r="C30" s="513"/>
      <c r="D30" s="513"/>
      <c r="E30" s="513"/>
      <c r="F30" s="513"/>
      <c r="G30" s="513"/>
      <c r="H30" s="899"/>
      <c r="I30" s="899"/>
      <c r="J30" s="899"/>
      <c r="K30" s="899"/>
      <c r="L30" s="899"/>
      <c r="M30" s="899"/>
      <c r="N30" s="899"/>
      <c r="O30" s="899"/>
      <c r="P30" s="899"/>
      <c r="Q30" s="899"/>
      <c r="R30" s="899"/>
      <c r="S30" s="899"/>
      <c r="T30" s="899"/>
      <c r="U30" s="899"/>
      <c r="V30" s="899"/>
      <c r="W30" s="899"/>
      <c r="X30" s="899"/>
      <c r="Y30" s="899"/>
      <c r="Z30" s="899"/>
      <c r="AA30" s="899"/>
      <c r="AB30" s="899"/>
      <c r="AC30" s="899"/>
      <c r="AD30" s="899"/>
      <c r="AE30" s="899"/>
      <c r="AF30" s="513"/>
      <c r="AG30" s="513"/>
      <c r="AH30" s="513"/>
      <c r="AI30" s="513"/>
      <c r="AJ30" s="513"/>
      <c r="AK30" s="513"/>
      <c r="AL30" s="513"/>
      <c r="AM30" s="513"/>
      <c r="AN30" s="513"/>
      <c r="AO30" s="513"/>
      <c r="AP30" s="513"/>
      <c r="AQ30" s="513"/>
      <c r="AR30" s="513"/>
      <c r="AS30" s="400"/>
      <c r="AT30" s="400"/>
      <c r="AU30" s="400"/>
      <c r="AV30" s="401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</row>
    <row r="31" spans="1:84" ht="12" customHeight="1" x14ac:dyDescent="0.25">
      <c r="A31" s="900"/>
      <c r="B31" s="513"/>
      <c r="C31" s="513"/>
      <c r="D31" s="513"/>
      <c r="E31" s="513"/>
      <c r="F31" s="513"/>
      <c r="G31" s="513"/>
      <c r="H31" s="899"/>
      <c r="I31" s="899"/>
      <c r="J31" s="899"/>
      <c r="K31" s="899"/>
      <c r="L31" s="899"/>
      <c r="M31" s="899"/>
      <c r="N31" s="899"/>
      <c r="O31" s="899"/>
      <c r="P31" s="899"/>
      <c r="Q31" s="899"/>
      <c r="R31" s="899"/>
      <c r="S31" s="899"/>
      <c r="T31" s="899"/>
      <c r="U31" s="899"/>
      <c r="V31" s="899"/>
      <c r="W31" s="899"/>
      <c r="X31" s="899"/>
      <c r="Y31" s="899"/>
      <c r="Z31" s="899"/>
      <c r="AA31" s="899"/>
      <c r="AB31" s="899"/>
      <c r="AC31" s="899"/>
      <c r="AD31" s="899"/>
      <c r="AE31" s="899"/>
      <c r="AF31" s="513"/>
      <c r="AG31" s="513"/>
      <c r="AH31" s="513"/>
      <c r="AI31" s="513"/>
      <c r="AJ31" s="513"/>
      <c r="AK31" s="513"/>
      <c r="AL31" s="513"/>
      <c r="AM31" s="513"/>
      <c r="AN31" s="513"/>
      <c r="AO31" s="513"/>
      <c r="AP31" s="513"/>
      <c r="AQ31" s="513"/>
      <c r="AR31" s="513"/>
      <c r="AS31" s="400"/>
      <c r="AT31" s="400"/>
      <c r="AU31" s="400"/>
      <c r="AV31" s="401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</row>
    <row r="32" spans="1:84" ht="12" customHeight="1" x14ac:dyDescent="0.25">
      <c r="A32" s="900"/>
      <c r="B32" s="513"/>
      <c r="C32" s="513"/>
      <c r="D32" s="513"/>
      <c r="E32" s="513"/>
      <c r="F32" s="513"/>
      <c r="G32" s="513"/>
      <c r="H32" s="899"/>
      <c r="I32" s="899"/>
      <c r="J32" s="899"/>
      <c r="K32" s="899"/>
      <c r="L32" s="899"/>
      <c r="M32" s="899"/>
      <c r="N32" s="899"/>
      <c r="O32" s="899"/>
      <c r="P32" s="899"/>
      <c r="Q32" s="899"/>
      <c r="R32" s="899"/>
      <c r="S32" s="899"/>
      <c r="T32" s="899"/>
      <c r="U32" s="899"/>
      <c r="V32" s="899"/>
      <c r="W32" s="899"/>
      <c r="X32" s="899"/>
      <c r="Y32" s="899"/>
      <c r="Z32" s="899"/>
      <c r="AA32" s="899"/>
      <c r="AB32" s="899"/>
      <c r="AC32" s="899"/>
      <c r="AD32" s="899"/>
      <c r="AE32" s="899"/>
      <c r="AF32" s="513"/>
      <c r="AG32" s="513"/>
      <c r="AH32" s="513"/>
      <c r="AI32" s="513"/>
      <c r="AJ32" s="513"/>
      <c r="AK32" s="513"/>
      <c r="AL32" s="513"/>
      <c r="AM32" s="513"/>
      <c r="AN32" s="513"/>
      <c r="AO32" s="513"/>
      <c r="AP32" s="513"/>
      <c r="AQ32" s="513"/>
      <c r="AR32" s="513"/>
      <c r="AS32" s="400"/>
      <c r="AT32" s="400"/>
      <c r="AU32" s="400"/>
      <c r="AV32" s="401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</row>
    <row r="33" spans="1:84" ht="12" customHeight="1" thickBot="1" x14ac:dyDescent="0.3">
      <c r="A33" s="895" t="s">
        <v>379</v>
      </c>
      <c r="B33" s="896"/>
      <c r="C33" s="896"/>
      <c r="D33" s="896"/>
      <c r="E33" s="896"/>
      <c r="F33" s="896"/>
      <c r="G33" s="897"/>
      <c r="H33" s="898">
        <f>SUM(H13:J32)</f>
        <v>0</v>
      </c>
      <c r="I33" s="771"/>
      <c r="J33" s="772"/>
      <c r="K33" s="350">
        <f>SUM(K13:M32)</f>
        <v>0</v>
      </c>
      <c r="L33" s="350"/>
      <c r="M33" s="350"/>
      <c r="N33" s="350">
        <f>SUM(N13:P32)</f>
        <v>0</v>
      </c>
      <c r="O33" s="350"/>
      <c r="P33" s="350"/>
      <c r="Q33" s="350">
        <f>SUM(Q13:S32)</f>
        <v>0</v>
      </c>
      <c r="R33" s="350"/>
      <c r="S33" s="350"/>
      <c r="T33" s="350">
        <f>SUM(T13:V32)</f>
        <v>0</v>
      </c>
      <c r="U33" s="350"/>
      <c r="V33" s="350"/>
      <c r="W33" s="350">
        <f>SUM(W13:Y32)</f>
        <v>0</v>
      </c>
      <c r="X33" s="350"/>
      <c r="Y33" s="350"/>
      <c r="Z33" s="350">
        <f>SUM(Z13:AB32)</f>
        <v>0</v>
      </c>
      <c r="AA33" s="350"/>
      <c r="AB33" s="350"/>
      <c r="AC33" s="350">
        <f>SUM(AC13:AE32)</f>
        <v>0</v>
      </c>
      <c r="AD33" s="350"/>
      <c r="AE33" s="350"/>
      <c r="AF33" s="893"/>
      <c r="AG33" s="893"/>
      <c r="AH33" s="893"/>
      <c r="AI33" s="893"/>
      <c r="AJ33" s="893"/>
      <c r="AK33" s="893"/>
      <c r="AL33" s="893"/>
      <c r="AM33" s="893"/>
      <c r="AN33" s="893"/>
      <c r="AO33" s="893"/>
      <c r="AP33" s="893"/>
      <c r="AQ33" s="893"/>
      <c r="AR33" s="893"/>
      <c r="AS33" s="893"/>
      <c r="AT33" s="893"/>
      <c r="AU33" s="893"/>
      <c r="AV33" s="89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</row>
    <row r="34" spans="1:84" ht="12" customHeight="1" x14ac:dyDescent="0.25">
      <c r="A34" s="71"/>
      <c r="B34" s="145"/>
      <c r="C34" s="71"/>
      <c r="D34" s="71"/>
      <c r="E34" s="71"/>
      <c r="F34" s="71"/>
      <c r="G34" s="71"/>
      <c r="H34" s="146">
        <f>SUM(H13:J32)</f>
        <v>0</v>
      </c>
      <c r="I34" s="71"/>
      <c r="J34" s="71"/>
      <c r="K34" s="146">
        <f>SUM(K13:M32)</f>
        <v>0</v>
      </c>
      <c r="L34" s="71"/>
      <c r="M34" s="71"/>
      <c r="N34" s="146">
        <f>SUM(N13:P32)</f>
        <v>0</v>
      </c>
      <c r="O34" s="71"/>
      <c r="P34" s="71"/>
      <c r="Q34" s="146">
        <f>SUM(Q13:S32)</f>
        <v>0</v>
      </c>
      <c r="R34" s="71"/>
      <c r="S34" s="71"/>
      <c r="T34" s="146">
        <f>SUM(T13:V32)</f>
        <v>0</v>
      </c>
      <c r="U34" s="71"/>
      <c r="V34" s="71"/>
      <c r="W34" s="146">
        <f>SUM(W13:Y32)</f>
        <v>0</v>
      </c>
      <c r="X34" s="71"/>
      <c r="Y34" s="71"/>
      <c r="Z34" s="146">
        <f>SUM(Z13:AB32)</f>
        <v>0</v>
      </c>
      <c r="AA34" s="71"/>
      <c r="AB34" s="71"/>
      <c r="AC34" s="146">
        <f>SUM(AC13:AE32)</f>
        <v>0</v>
      </c>
      <c r="AD34" s="71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70"/>
      <c r="AQ34" s="70"/>
      <c r="AR34" s="70"/>
      <c r="AS34" s="70"/>
      <c r="AT34" s="42"/>
      <c r="AU34" s="42"/>
      <c r="AV34" s="42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</row>
    <row r="35" spans="1:84" ht="12" customHeight="1" x14ac:dyDescent="0.25">
      <c r="A35" s="71"/>
      <c r="B35" s="117" t="s">
        <v>262</v>
      </c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69"/>
      <c r="AQ35" s="69"/>
      <c r="AR35" s="69"/>
      <c r="AS35" s="69"/>
      <c r="AT35" s="42"/>
      <c r="AU35" s="42"/>
      <c r="AV35" s="42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</row>
    <row r="36" spans="1:84" ht="12" customHeight="1" x14ac:dyDescent="0.25">
      <c r="A36" s="84"/>
      <c r="B36" s="281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  <c r="AF36" s="281"/>
      <c r="AG36" s="281"/>
      <c r="AH36" s="281"/>
      <c r="AI36" s="281"/>
      <c r="AJ36" s="281"/>
      <c r="AK36" s="281"/>
      <c r="AL36" s="281"/>
      <c r="AM36" s="281"/>
      <c r="AN36" s="281"/>
      <c r="AO36" s="281"/>
      <c r="AP36" s="281"/>
      <c r="AQ36" s="281"/>
      <c r="AR36" s="281"/>
      <c r="AS36" s="281"/>
      <c r="AT36" s="281"/>
      <c r="AU36" s="281"/>
      <c r="AV36" s="281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</row>
    <row r="37" spans="1:84" ht="12" customHeight="1" x14ac:dyDescent="0.25">
      <c r="A37" s="84"/>
      <c r="B37" s="281"/>
      <c r="C37" s="281"/>
      <c r="D37" s="281"/>
      <c r="E37" s="281"/>
      <c r="F37" s="281"/>
      <c r="G37" s="281"/>
      <c r="H37" s="281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  <c r="AF37" s="281"/>
      <c r="AG37" s="281"/>
      <c r="AH37" s="281"/>
      <c r="AI37" s="281"/>
      <c r="AJ37" s="281"/>
      <c r="AK37" s="281"/>
      <c r="AL37" s="281"/>
      <c r="AM37" s="281"/>
      <c r="AN37" s="281"/>
      <c r="AO37" s="281"/>
      <c r="AP37" s="281"/>
      <c r="AQ37" s="281"/>
      <c r="AR37" s="281"/>
      <c r="AS37" s="281"/>
      <c r="AT37" s="281"/>
      <c r="AU37" s="281"/>
      <c r="AV37" s="281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</row>
    <row r="38" spans="1:84" ht="12" customHeight="1" x14ac:dyDescent="0.25">
      <c r="A38" s="84"/>
      <c r="B38" s="281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  <c r="AF38" s="281"/>
      <c r="AG38" s="281"/>
      <c r="AH38" s="281"/>
      <c r="AI38" s="281"/>
      <c r="AJ38" s="281"/>
      <c r="AK38" s="281"/>
      <c r="AL38" s="281"/>
      <c r="AM38" s="281"/>
      <c r="AN38" s="281"/>
      <c r="AO38" s="281"/>
      <c r="AP38" s="281"/>
      <c r="AQ38" s="281"/>
      <c r="AR38" s="281"/>
      <c r="AS38" s="281"/>
      <c r="AT38" s="281"/>
      <c r="AU38" s="281"/>
      <c r="AV38" s="281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</row>
    <row r="39" spans="1:84" ht="12" customHeight="1" x14ac:dyDescent="0.25">
      <c r="A39" s="84"/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  <c r="AF39" s="281"/>
      <c r="AG39" s="281"/>
      <c r="AH39" s="281"/>
      <c r="AI39" s="281"/>
      <c r="AJ39" s="281"/>
      <c r="AK39" s="281"/>
      <c r="AL39" s="281"/>
      <c r="AM39" s="281"/>
      <c r="AN39" s="281"/>
      <c r="AO39" s="281"/>
      <c r="AP39" s="281"/>
      <c r="AQ39" s="281"/>
      <c r="AR39" s="281"/>
      <c r="AS39" s="281"/>
      <c r="AT39" s="281"/>
      <c r="AU39" s="281"/>
      <c r="AV39" s="281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</row>
    <row r="40" spans="1:84" ht="12" customHeight="1" x14ac:dyDescent="0.25">
      <c r="A40" s="84"/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  <c r="AF40" s="281"/>
      <c r="AG40" s="281"/>
      <c r="AH40" s="281"/>
      <c r="AI40" s="281"/>
      <c r="AJ40" s="281"/>
      <c r="AK40" s="281"/>
      <c r="AL40" s="281"/>
      <c r="AM40" s="281"/>
      <c r="AN40" s="281"/>
      <c r="AO40" s="281"/>
      <c r="AP40" s="281"/>
      <c r="AQ40" s="281"/>
      <c r="AR40" s="281"/>
      <c r="AS40" s="281"/>
      <c r="AT40" s="281"/>
      <c r="AU40" s="281"/>
      <c r="AV40" s="281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</row>
    <row r="41" spans="1:84" ht="12" customHeight="1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</row>
    <row r="42" spans="1:84" ht="12" customHeight="1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</row>
    <row r="43" spans="1:84" ht="12.75" hidden="1" customHeight="1" x14ac:dyDescent="0.25"/>
    <row r="44" spans="1:84" ht="12.75" hidden="1" customHeight="1" x14ac:dyDescent="0.25"/>
    <row r="45" spans="1:84" ht="12.75" hidden="1" customHeight="1" x14ac:dyDescent="0.25"/>
    <row r="46" spans="1:84" ht="12.75" hidden="1" customHeight="1" x14ac:dyDescent="0.25"/>
    <row r="47" spans="1:84" ht="12.75" hidden="1" customHeight="1" x14ac:dyDescent="0.25"/>
    <row r="48" spans="1:84" ht="12.75" hidden="1" customHeight="1" x14ac:dyDescent="0.25"/>
    <row r="49" ht="12.75" hidden="1" customHeight="1" x14ac:dyDescent="0.25"/>
    <row r="50" ht="12.75" hidden="1" customHeight="1" x14ac:dyDescent="0.25"/>
    <row r="51" ht="12.75" hidden="1" customHeight="1" x14ac:dyDescent="0.25"/>
    <row r="52" ht="12.75" hidden="1" customHeight="1" x14ac:dyDescent="0.25"/>
    <row r="53" ht="12.75" hidden="1" customHeight="1" x14ac:dyDescent="0.25"/>
    <row r="54" ht="12.75" hidden="1" customHeight="1" x14ac:dyDescent="0.25"/>
    <row r="55" ht="12.7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  <row r="59" ht="15" hidden="1" customHeight="1" x14ac:dyDescent="0.25"/>
    <row r="60" ht="15" hidden="1" customHeight="1" x14ac:dyDescent="0.25"/>
    <row r="61" ht="15" hidden="1" customHeight="1" x14ac:dyDescent="0.25"/>
    <row r="62" ht="15" hidden="1" customHeight="1" x14ac:dyDescent="0.25"/>
    <row r="63" ht="15" hidden="1" customHeight="1" x14ac:dyDescent="0.25"/>
    <row r="64" ht="15" hidden="1" customHeight="1" x14ac:dyDescent="0.25"/>
    <row r="65" ht="15" hidden="1" customHeight="1" x14ac:dyDescent="0.25"/>
    <row r="66" ht="15" hidden="1" customHeight="1" x14ac:dyDescent="0.25"/>
    <row r="67" ht="15" hidden="1" customHeight="1" x14ac:dyDescent="0.25"/>
    <row r="68" ht="15" hidden="1" customHeight="1" x14ac:dyDescent="0.25"/>
    <row r="69" ht="15" hidden="1" customHeight="1" x14ac:dyDescent="0.25"/>
    <row r="70" ht="15" hidden="1" customHeight="1" x14ac:dyDescent="0.25"/>
    <row r="71" ht="15" hidden="1" customHeight="1" x14ac:dyDescent="0.25"/>
    <row r="72" ht="15" hidden="1" customHeight="1" x14ac:dyDescent="0.25"/>
    <row r="73" ht="15" hidden="1" customHeight="1" x14ac:dyDescent="0.25"/>
    <row r="74" ht="15" hidden="1" customHeight="1" x14ac:dyDescent="0.25"/>
    <row r="75" ht="15" hidden="1" customHeight="1" x14ac:dyDescent="0.25"/>
    <row r="76" ht="15" hidden="1" customHeight="1" x14ac:dyDescent="0.25"/>
    <row r="77" ht="15" hidden="1" customHeight="1" x14ac:dyDescent="0.25"/>
    <row r="78" ht="15" hidden="1" customHeight="1" x14ac:dyDescent="0.25"/>
    <row r="79" ht="15" hidden="1" customHeight="1" x14ac:dyDescent="0.25"/>
    <row r="80" ht="15" hidden="1" customHeight="1" x14ac:dyDescent="0.25"/>
    <row r="81" ht="15" hidden="1" customHeight="1" x14ac:dyDescent="0.25"/>
    <row r="82" ht="15" hidden="1" customHeight="1" x14ac:dyDescent="0.25"/>
    <row r="83" ht="15" hidden="1" customHeight="1" x14ac:dyDescent="0.25"/>
    <row r="84" ht="15" hidden="1" customHeight="1" x14ac:dyDescent="0.25"/>
    <row r="85" ht="15" hidden="1" customHeight="1" x14ac:dyDescent="0.25"/>
    <row r="86" ht="15" hidden="1" customHeight="1" x14ac:dyDescent="0.25"/>
    <row r="87" ht="15" hidden="1" customHeight="1" x14ac:dyDescent="0.25"/>
    <row r="88" ht="15" hidden="1" customHeight="1" x14ac:dyDescent="0.25"/>
    <row r="89" ht="15" hidden="1" customHeight="1" x14ac:dyDescent="0.25"/>
    <row r="90" ht="15" hidden="1" customHeight="1" x14ac:dyDescent="0.25"/>
    <row r="91" ht="15" hidden="1" customHeight="1" x14ac:dyDescent="0.25"/>
    <row r="92" ht="15" hidden="1" customHeight="1" x14ac:dyDescent="0.25"/>
    <row r="93" ht="15" hidden="1" customHeight="1" x14ac:dyDescent="0.25"/>
    <row r="94" ht="15" hidden="1" customHeight="1" x14ac:dyDescent="0.25"/>
    <row r="95" ht="15" hidden="1" customHeight="1" x14ac:dyDescent="0.25"/>
    <row r="96" ht="15" hidden="1" customHeight="1" x14ac:dyDescent="0.25"/>
    <row r="97" ht="15" hidden="1" customHeight="1" x14ac:dyDescent="0.25"/>
    <row r="98" ht="15" hidden="1" customHeight="1" x14ac:dyDescent="0.25"/>
    <row r="99" ht="15" hidden="1" customHeight="1" x14ac:dyDescent="0.25"/>
    <row r="100" ht="15" hidden="1" customHeight="1" x14ac:dyDescent="0.25"/>
    <row r="101" ht="15" hidden="1" customHeight="1" x14ac:dyDescent="0.25"/>
    <row r="102" ht="15" hidden="1" customHeight="1" x14ac:dyDescent="0.25"/>
    <row r="103" ht="15" hidden="1" customHeight="1" x14ac:dyDescent="0.25"/>
    <row r="104" ht="15" hidden="1" customHeight="1" x14ac:dyDescent="0.25"/>
    <row r="105" ht="15" hidden="1" customHeight="1" x14ac:dyDescent="0.25"/>
    <row r="106" ht="15" hidden="1" customHeight="1" x14ac:dyDescent="0.25"/>
    <row r="107" ht="15" hidden="1" customHeight="1" x14ac:dyDescent="0.25"/>
    <row r="108" ht="15" hidden="1" customHeight="1" x14ac:dyDescent="0.25"/>
    <row r="109" ht="15" hidden="1" customHeight="1" x14ac:dyDescent="0.25"/>
    <row r="110" ht="15" hidden="1" customHeight="1" x14ac:dyDescent="0.25"/>
    <row r="111" ht="15" hidden="1" customHeight="1" x14ac:dyDescent="0.25"/>
    <row r="112" ht="15" hidden="1" customHeight="1" x14ac:dyDescent="0.25"/>
    <row r="113" ht="15" hidden="1" customHeight="1" x14ac:dyDescent="0.25"/>
  </sheetData>
  <mergeCells count="318">
    <mergeCell ref="AW1:CF1"/>
    <mergeCell ref="Z5:AV5"/>
    <mergeCell ref="A7:E7"/>
    <mergeCell ref="F7:P7"/>
    <mergeCell ref="AG7:AK7"/>
    <mergeCell ref="AL7:AV7"/>
    <mergeCell ref="A9:AV9"/>
    <mergeCell ref="AX9:BL9"/>
    <mergeCell ref="A10:G12"/>
    <mergeCell ref="H10:S10"/>
    <mergeCell ref="T10:Y10"/>
    <mergeCell ref="Z10:AE10"/>
    <mergeCell ref="AF10:AR10"/>
    <mergeCell ref="AS10:AV12"/>
    <mergeCell ref="AX10:BB10"/>
    <mergeCell ref="BC10:BG10"/>
    <mergeCell ref="H11:J12"/>
    <mergeCell ref="K11:M12"/>
    <mergeCell ref="N11:P12"/>
    <mergeCell ref="Q11:S12"/>
    <mergeCell ref="T11:V12"/>
    <mergeCell ref="W11:Y12"/>
    <mergeCell ref="Z11:AB12"/>
    <mergeCell ref="AC11:AE12"/>
    <mergeCell ref="Q13:S13"/>
    <mergeCell ref="T13:V13"/>
    <mergeCell ref="AS14:AV14"/>
    <mergeCell ref="AF11:AI12"/>
    <mergeCell ref="AJ11:AL12"/>
    <mergeCell ref="AM11:AR12"/>
    <mergeCell ref="AX11:BB11"/>
    <mergeCell ref="BC11:BG11"/>
    <mergeCell ref="BH11:BL11"/>
    <mergeCell ref="AX12:BB12"/>
    <mergeCell ref="BC12:BG12"/>
    <mergeCell ref="BH12:BL12"/>
    <mergeCell ref="AF15:AI15"/>
    <mergeCell ref="AJ15:AL15"/>
    <mergeCell ref="AM15:AR15"/>
    <mergeCell ref="BH10:BL10"/>
    <mergeCell ref="AS13:AV13"/>
    <mergeCell ref="AX13:BB13"/>
    <mergeCell ref="BC13:BG13"/>
    <mergeCell ref="BH13:BL13"/>
    <mergeCell ref="A14:G14"/>
    <mergeCell ref="H14:J14"/>
    <mergeCell ref="K14:M14"/>
    <mergeCell ref="N14:P14"/>
    <mergeCell ref="Q14:S14"/>
    <mergeCell ref="T14:V14"/>
    <mergeCell ref="W13:Y13"/>
    <mergeCell ref="Z13:AB13"/>
    <mergeCell ref="AC13:AE13"/>
    <mergeCell ref="AF13:AI13"/>
    <mergeCell ref="AJ13:AL13"/>
    <mergeCell ref="AM13:AR13"/>
    <mergeCell ref="A13:G13"/>
    <mergeCell ref="H13:J13"/>
    <mergeCell ref="K13:M13"/>
    <mergeCell ref="N13:P13"/>
    <mergeCell ref="Q16:S16"/>
    <mergeCell ref="T16:V16"/>
    <mergeCell ref="W15:Y15"/>
    <mergeCell ref="Z15:AB15"/>
    <mergeCell ref="AC15:AE15"/>
    <mergeCell ref="AX14:BB14"/>
    <mergeCell ref="BC14:BG14"/>
    <mergeCell ref="BH14:BL14"/>
    <mergeCell ref="A15:G15"/>
    <mergeCell ref="H15:J15"/>
    <mergeCell ref="K15:M15"/>
    <mergeCell ref="N15:P15"/>
    <mergeCell ref="Q15:S15"/>
    <mergeCell ref="T15:V15"/>
    <mergeCell ref="W14:Y14"/>
    <mergeCell ref="Z14:AB14"/>
    <mergeCell ref="AC14:AE14"/>
    <mergeCell ref="AF14:AI14"/>
    <mergeCell ref="AJ14:AL14"/>
    <mergeCell ref="AM14:AR14"/>
    <mergeCell ref="AS15:AV15"/>
    <mergeCell ref="AX15:BB15"/>
    <mergeCell ref="BC15:BG15"/>
    <mergeCell ref="BH15:BL15"/>
    <mergeCell ref="AS16:AV16"/>
    <mergeCell ref="A17:G17"/>
    <mergeCell ref="H17:J17"/>
    <mergeCell ref="K17:M17"/>
    <mergeCell ref="N17:P17"/>
    <mergeCell ref="Q17:S17"/>
    <mergeCell ref="T17:V17"/>
    <mergeCell ref="W17:Y17"/>
    <mergeCell ref="Z17:AB17"/>
    <mergeCell ref="AC17:AE17"/>
    <mergeCell ref="W16:Y16"/>
    <mergeCell ref="Z16:AB16"/>
    <mergeCell ref="AC16:AE16"/>
    <mergeCell ref="AF16:AI16"/>
    <mergeCell ref="AJ16:AL16"/>
    <mergeCell ref="AM16:AR16"/>
    <mergeCell ref="AF17:AI17"/>
    <mergeCell ref="AJ17:AL17"/>
    <mergeCell ref="AM17:AR17"/>
    <mergeCell ref="AS17:AV17"/>
    <mergeCell ref="A16:G16"/>
    <mergeCell ref="H16:J16"/>
    <mergeCell ref="K16:M16"/>
    <mergeCell ref="N16:P16"/>
    <mergeCell ref="A18:G18"/>
    <mergeCell ref="H18:J18"/>
    <mergeCell ref="K18:M18"/>
    <mergeCell ref="N18:P18"/>
    <mergeCell ref="Q18:S18"/>
    <mergeCell ref="T18:V18"/>
    <mergeCell ref="AS18:AV18"/>
    <mergeCell ref="A19:G19"/>
    <mergeCell ref="H19:J19"/>
    <mergeCell ref="K19:M19"/>
    <mergeCell ref="N19:P19"/>
    <mergeCell ref="Q19:S19"/>
    <mergeCell ref="T19:V19"/>
    <mergeCell ref="W19:Y19"/>
    <mergeCell ref="Z19:AB19"/>
    <mergeCell ref="AC19:AE19"/>
    <mergeCell ref="W18:Y18"/>
    <mergeCell ref="Z18:AB18"/>
    <mergeCell ref="AC18:AE18"/>
    <mergeCell ref="AF18:AI18"/>
    <mergeCell ref="AJ18:AL18"/>
    <mergeCell ref="AM18:AR18"/>
    <mergeCell ref="AF19:AI19"/>
    <mergeCell ref="AJ19:AL19"/>
    <mergeCell ref="Z21:AB21"/>
    <mergeCell ref="AC21:AE21"/>
    <mergeCell ref="AM19:AR19"/>
    <mergeCell ref="AS19:AV19"/>
    <mergeCell ref="A20:G20"/>
    <mergeCell ref="H20:J20"/>
    <mergeCell ref="K20:M20"/>
    <mergeCell ref="N20:P20"/>
    <mergeCell ref="Q20:S20"/>
    <mergeCell ref="T20:V20"/>
    <mergeCell ref="AS20:AV20"/>
    <mergeCell ref="W20:Y20"/>
    <mergeCell ref="Z20:AB20"/>
    <mergeCell ref="AC20:AE20"/>
    <mergeCell ref="AF20:AI20"/>
    <mergeCell ref="AJ20:AL20"/>
    <mergeCell ref="AM20:AR20"/>
    <mergeCell ref="AF21:AI21"/>
    <mergeCell ref="AJ21:AL21"/>
    <mergeCell ref="AM21:AR21"/>
    <mergeCell ref="AS21:AV21"/>
    <mergeCell ref="A21:G21"/>
    <mergeCell ref="H21:J21"/>
    <mergeCell ref="K21:M21"/>
    <mergeCell ref="A22:G22"/>
    <mergeCell ref="H22:J22"/>
    <mergeCell ref="K22:M22"/>
    <mergeCell ref="N22:P22"/>
    <mergeCell ref="Q22:S22"/>
    <mergeCell ref="T22:V22"/>
    <mergeCell ref="AS22:AV22"/>
    <mergeCell ref="W22:Y22"/>
    <mergeCell ref="Z22:AB22"/>
    <mergeCell ref="AC22:AE22"/>
    <mergeCell ref="AF22:AI22"/>
    <mergeCell ref="AJ22:AL22"/>
    <mergeCell ref="AM22:AR22"/>
    <mergeCell ref="N21:P21"/>
    <mergeCell ref="Q21:S21"/>
    <mergeCell ref="T21:V21"/>
    <mergeCell ref="W21:Y21"/>
    <mergeCell ref="AS23:AV23"/>
    <mergeCell ref="A24:G24"/>
    <mergeCell ref="H24:J24"/>
    <mergeCell ref="K24:M24"/>
    <mergeCell ref="N24:P24"/>
    <mergeCell ref="Q24:S24"/>
    <mergeCell ref="T24:V24"/>
    <mergeCell ref="AS24:AV24"/>
    <mergeCell ref="W24:Y24"/>
    <mergeCell ref="Z24:AB24"/>
    <mergeCell ref="AC24:AE24"/>
    <mergeCell ref="AF24:AI24"/>
    <mergeCell ref="AJ24:AL24"/>
    <mergeCell ref="AM24:AR24"/>
    <mergeCell ref="A23:G23"/>
    <mergeCell ref="H23:J23"/>
    <mergeCell ref="K23:M23"/>
    <mergeCell ref="N23:P23"/>
    <mergeCell ref="Q23:S23"/>
    <mergeCell ref="T23:V23"/>
    <mergeCell ref="AF23:AI23"/>
    <mergeCell ref="AJ23:AL23"/>
    <mergeCell ref="AM23:AR23"/>
    <mergeCell ref="T27:V27"/>
    <mergeCell ref="W27:Y27"/>
    <mergeCell ref="Z27:AB27"/>
    <mergeCell ref="AC27:AE27"/>
    <mergeCell ref="AF25:AI25"/>
    <mergeCell ref="AJ25:AL25"/>
    <mergeCell ref="AM25:AR25"/>
    <mergeCell ref="W23:Y23"/>
    <mergeCell ref="Z23:AB23"/>
    <mergeCell ref="AC23:AE23"/>
    <mergeCell ref="T25:V25"/>
    <mergeCell ref="W25:Y25"/>
    <mergeCell ref="Z25:AB25"/>
    <mergeCell ref="AC25:AE25"/>
    <mergeCell ref="AS25:AV25"/>
    <mergeCell ref="A26:G26"/>
    <mergeCell ref="H26:J26"/>
    <mergeCell ref="K26:M26"/>
    <mergeCell ref="N26:P26"/>
    <mergeCell ref="Q26:S26"/>
    <mergeCell ref="T26:V26"/>
    <mergeCell ref="AS26:AV26"/>
    <mergeCell ref="W26:Y26"/>
    <mergeCell ref="Z26:AB26"/>
    <mergeCell ref="AC26:AE26"/>
    <mergeCell ref="AF26:AI26"/>
    <mergeCell ref="AJ26:AL26"/>
    <mergeCell ref="AM26:AR26"/>
    <mergeCell ref="A25:G25"/>
    <mergeCell ref="H25:J25"/>
    <mergeCell ref="K25:M25"/>
    <mergeCell ref="N25:P25"/>
    <mergeCell ref="Q25:S25"/>
    <mergeCell ref="Z29:AB29"/>
    <mergeCell ref="AC29:AE29"/>
    <mergeCell ref="AF27:AI27"/>
    <mergeCell ref="AJ27:AL27"/>
    <mergeCell ref="AM27:AR27"/>
    <mergeCell ref="AS27:AV27"/>
    <mergeCell ref="A28:G28"/>
    <mergeCell ref="H28:J28"/>
    <mergeCell ref="K28:M28"/>
    <mergeCell ref="N28:P28"/>
    <mergeCell ref="Q28:S28"/>
    <mergeCell ref="T28:V28"/>
    <mergeCell ref="AS28:AV28"/>
    <mergeCell ref="W28:Y28"/>
    <mergeCell ref="Z28:AB28"/>
    <mergeCell ref="AC28:AE28"/>
    <mergeCell ref="AF28:AI28"/>
    <mergeCell ref="AJ28:AL28"/>
    <mergeCell ref="AM28:AR28"/>
    <mergeCell ref="A27:G27"/>
    <mergeCell ref="H27:J27"/>
    <mergeCell ref="K27:M27"/>
    <mergeCell ref="N27:P27"/>
    <mergeCell ref="Q27:S27"/>
    <mergeCell ref="AF29:AI29"/>
    <mergeCell ref="AJ29:AL29"/>
    <mergeCell ref="AM29:AR29"/>
    <mergeCell ref="AS29:AV29"/>
    <mergeCell ref="A30:G30"/>
    <mergeCell ref="H30:J30"/>
    <mergeCell ref="K30:M30"/>
    <mergeCell ref="N30:P30"/>
    <mergeCell ref="Q30:S30"/>
    <mergeCell ref="T30:V30"/>
    <mergeCell ref="AS30:AV30"/>
    <mergeCell ref="W30:Y30"/>
    <mergeCell ref="Z30:AB30"/>
    <mergeCell ref="AC30:AE30"/>
    <mergeCell ref="AF30:AI30"/>
    <mergeCell ref="AJ30:AL30"/>
    <mergeCell ref="AM30:AR30"/>
    <mergeCell ref="A29:G29"/>
    <mergeCell ref="H29:J29"/>
    <mergeCell ref="K29:M29"/>
    <mergeCell ref="N29:P29"/>
    <mergeCell ref="Q29:S29"/>
    <mergeCell ref="T29:V29"/>
    <mergeCell ref="W29:Y29"/>
    <mergeCell ref="AF31:AI31"/>
    <mergeCell ref="AJ31:AL31"/>
    <mergeCell ref="AM31:AR31"/>
    <mergeCell ref="AS31:AV31"/>
    <mergeCell ref="A32:G32"/>
    <mergeCell ref="H32:J32"/>
    <mergeCell ref="K32:M32"/>
    <mergeCell ref="N32:P32"/>
    <mergeCell ref="Q32:S32"/>
    <mergeCell ref="T32:V32"/>
    <mergeCell ref="A31:G31"/>
    <mergeCell ref="H31:J31"/>
    <mergeCell ref="K31:M31"/>
    <mergeCell ref="N31:P31"/>
    <mergeCell ref="Q31:S31"/>
    <mergeCell ref="T31:V31"/>
    <mergeCell ref="W31:Y31"/>
    <mergeCell ref="Z31:AB31"/>
    <mergeCell ref="AC31:AE31"/>
    <mergeCell ref="AF33:AV33"/>
    <mergeCell ref="B36:AV36"/>
    <mergeCell ref="B37:AV37"/>
    <mergeCell ref="B38:AV38"/>
    <mergeCell ref="B39:AV39"/>
    <mergeCell ref="B40:AV40"/>
    <mergeCell ref="AS32:AV32"/>
    <mergeCell ref="A33:G33"/>
    <mergeCell ref="H33:J33"/>
    <mergeCell ref="K33:M33"/>
    <mergeCell ref="N33:P33"/>
    <mergeCell ref="Q33:S33"/>
    <mergeCell ref="T33:V33"/>
    <mergeCell ref="W33:Y33"/>
    <mergeCell ref="Z33:AB33"/>
    <mergeCell ref="AC33:AE33"/>
    <mergeCell ref="W32:Y32"/>
    <mergeCell ref="Z32:AB32"/>
    <mergeCell ref="AC32:AE32"/>
    <mergeCell ref="AF32:AI32"/>
    <mergeCell ref="AJ32:AL32"/>
    <mergeCell ref="AM32:AR32"/>
  </mergeCells>
  <conditionalFormatting sqref="F7:P7 AL7:AV7">
    <cfRule type="containsBlanks" dxfId="203" priority="5">
      <formula>LEN(TRIM(F7))=0</formula>
    </cfRule>
  </conditionalFormatting>
  <conditionalFormatting sqref="A13:AR32">
    <cfRule type="notContainsBlanks" dxfId="202" priority="3">
      <formula>LEN(TRIM(A13))&gt;0</formula>
    </cfRule>
    <cfRule type="expression" dxfId="201" priority="4">
      <formula>NOT(ISBLANK($A13))</formula>
    </cfRule>
  </conditionalFormatting>
  <conditionalFormatting sqref="H33:AE33">
    <cfRule type="cellIs" dxfId="200" priority="1" operator="between">
      <formula>0</formula>
      <formula>0</formula>
    </cfRule>
    <cfRule type="containsText" dxfId="199" priority="2" operator="containsText" text="CALC.">
      <formula>NOT(ISERROR(SEARCH("CALC.",H33)))</formula>
    </cfRule>
  </conditionalFormatting>
  <dataValidations count="1">
    <dataValidation type="whole" allowBlank="1" showInputMessage="1" showErrorMessage="1" error="This Remarks section is limited to 5." sqref="A36:A40" xr:uid="{DB442964-ADB5-40F9-A1AD-A9DBEF4044D8}">
      <formula1>1</formula1>
      <formula2>5</formula2>
    </dataValidation>
  </dataValidations>
  <printOptions horizontalCentered="1"/>
  <pageMargins left="0.5" right="0.5" top="0.5" bottom="0.5" header="0" footer="0.25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8C433-C259-43A0-B696-EF9FFE1A2D2F}">
  <sheetPr codeName="Sheet12">
    <pageSetUpPr fitToPage="1"/>
  </sheetPr>
  <dimension ref="A1:DB62"/>
  <sheetViews>
    <sheetView zoomScaleNormal="100" workbookViewId="0">
      <selection activeCell="W23" sqref="W23"/>
    </sheetView>
  </sheetViews>
  <sheetFormatPr defaultColWidth="0" defaultRowHeight="0" customHeight="1" zeroHeight="1" x14ac:dyDescent="0.2"/>
  <cols>
    <col min="1" max="106" width="2.7109375" style="12" customWidth="1"/>
    <col min="107" max="16384" width="9.140625" style="12" hidden="1"/>
  </cols>
  <sheetData>
    <row r="1" spans="1:106" ht="12" customHeight="1" x14ac:dyDescent="0.2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57" t="s">
        <v>159</v>
      </c>
      <c r="AK1" s="957"/>
      <c r="AL1" s="957"/>
      <c r="AM1" s="957"/>
      <c r="AN1" s="957"/>
      <c r="AO1" s="957"/>
      <c r="AP1" s="957"/>
      <c r="AQ1" s="957"/>
      <c r="AR1" s="957"/>
      <c r="AS1" s="957"/>
      <c r="AT1" s="957"/>
      <c r="AU1" s="957"/>
      <c r="AV1" s="957"/>
      <c r="AW1" s="957"/>
      <c r="AX1" s="957"/>
      <c r="AY1" s="957"/>
      <c r="AZ1" s="957"/>
      <c r="BA1" s="957"/>
      <c r="BB1" s="957"/>
      <c r="BC1" s="957"/>
      <c r="BD1" s="957"/>
      <c r="BE1" s="957"/>
      <c r="BF1" s="957"/>
      <c r="BG1" s="957"/>
      <c r="BH1" s="957"/>
      <c r="BI1" s="957"/>
      <c r="BJ1" s="957"/>
      <c r="BK1" s="957"/>
      <c r="BL1" s="957"/>
      <c r="BM1" s="957"/>
      <c r="BN1" s="957"/>
      <c r="BO1" s="957"/>
      <c r="BP1" s="957"/>
      <c r="BQ1" s="957"/>
      <c r="BR1" s="957"/>
      <c r="BS1" s="957"/>
      <c r="BT1" s="957"/>
      <c r="BU1" s="957"/>
      <c r="BV1" s="957"/>
      <c r="BW1" s="957"/>
      <c r="BX1" s="957"/>
      <c r="BY1" s="957"/>
      <c r="BZ1" s="957"/>
      <c r="CA1" s="957"/>
      <c r="CB1" s="957"/>
      <c r="CC1" s="957"/>
      <c r="CD1" s="957"/>
      <c r="CE1" s="957"/>
      <c r="CF1" s="957"/>
      <c r="CG1" s="957"/>
      <c r="CH1" s="957"/>
      <c r="CI1" s="957"/>
      <c r="CJ1" s="957"/>
      <c r="CK1" s="957"/>
      <c r="CL1" s="957"/>
      <c r="CM1" s="957"/>
      <c r="CN1" s="957"/>
      <c r="CO1" s="957"/>
      <c r="CP1" s="957"/>
      <c r="CQ1" s="957"/>
      <c r="CR1" s="957"/>
      <c r="CS1" s="957"/>
      <c r="CT1" s="957"/>
      <c r="CU1" s="957"/>
      <c r="CV1" s="957"/>
      <c r="CW1" s="957"/>
      <c r="CX1" s="957"/>
      <c r="CY1" s="957"/>
      <c r="CZ1" s="957"/>
      <c r="DA1" s="957"/>
      <c r="DB1" s="957"/>
    </row>
    <row r="2" spans="1:106" ht="12" customHeight="1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</row>
    <row r="3" spans="1:106" ht="12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</row>
    <row r="4" spans="1:106" ht="12" customHeight="1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</row>
    <row r="5" spans="1:106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 t="s">
        <v>380</v>
      </c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</row>
    <row r="6" spans="1:106" ht="12" customHeight="1" thickBo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</row>
    <row r="7" spans="1:106" ht="12" customHeight="1" x14ac:dyDescent="0.2">
      <c r="A7" s="526" t="s">
        <v>161</v>
      </c>
      <c r="B7" s="526"/>
      <c r="C7" s="526"/>
      <c r="D7" s="526"/>
      <c r="E7" s="526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42"/>
      <c r="R7" s="42"/>
      <c r="S7" s="42"/>
      <c r="T7" s="526" t="s">
        <v>162</v>
      </c>
      <c r="U7" s="526"/>
      <c r="V7" s="526"/>
      <c r="W7" s="526"/>
      <c r="X7" s="526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107"/>
      <c r="AK7" s="958" t="s">
        <v>240</v>
      </c>
      <c r="AL7" s="959"/>
      <c r="AM7" s="959"/>
      <c r="AN7" s="959"/>
      <c r="AO7" s="959"/>
      <c r="AP7" s="959"/>
      <c r="AQ7" s="959"/>
      <c r="AR7" s="959"/>
      <c r="AS7" s="959"/>
      <c r="AT7" s="959"/>
      <c r="AU7" s="959"/>
      <c r="AV7" s="959"/>
      <c r="AW7" s="959"/>
      <c r="AX7" s="959"/>
      <c r="AY7" s="959"/>
      <c r="AZ7" s="959"/>
      <c r="BA7" s="959"/>
      <c r="BB7" s="959"/>
      <c r="BC7" s="959"/>
      <c r="BD7" s="959"/>
      <c r="BE7" s="959"/>
      <c r="BF7" s="959"/>
      <c r="BG7" s="959"/>
      <c r="BH7" s="959"/>
      <c r="BI7" s="959"/>
      <c r="BJ7" s="959"/>
      <c r="BK7" s="960"/>
      <c r="BL7" s="964" t="s">
        <v>381</v>
      </c>
      <c r="BM7" s="965"/>
      <c r="BN7" s="965"/>
      <c r="BO7" s="965"/>
      <c r="BP7" s="965"/>
      <c r="BQ7" s="965"/>
      <c r="BR7" s="965"/>
      <c r="BS7" s="965"/>
      <c r="BT7" s="965"/>
      <c r="BU7" s="965"/>
      <c r="BV7" s="965"/>
      <c r="BW7" s="965"/>
      <c r="BX7" s="965"/>
      <c r="BY7" s="965"/>
      <c r="BZ7" s="965"/>
      <c r="CA7" s="965"/>
      <c r="CB7" s="965"/>
      <c r="CC7" s="965"/>
      <c r="CD7" s="965"/>
      <c r="CE7" s="965"/>
      <c r="CF7" s="965"/>
      <c r="CG7" s="965"/>
      <c r="CH7" s="965"/>
      <c r="CI7" s="965"/>
      <c r="CJ7" s="965"/>
      <c r="CK7" s="965"/>
      <c r="CL7" s="965"/>
      <c r="CM7" s="965"/>
      <c r="CN7" s="965"/>
      <c r="CO7" s="965"/>
      <c r="CP7" s="965"/>
      <c r="CQ7" s="965"/>
      <c r="CR7" s="965"/>
      <c r="CS7" s="965"/>
      <c r="CT7" s="965"/>
      <c r="CU7" s="965"/>
      <c r="CV7" s="965"/>
      <c r="CW7" s="965"/>
      <c r="CX7" s="965"/>
      <c r="CY7" s="965"/>
      <c r="CZ7" s="965"/>
      <c r="DA7" s="966"/>
      <c r="DB7" s="107"/>
    </row>
    <row r="8" spans="1:106" ht="12" customHeight="1" thickBo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961"/>
      <c r="AL8" s="962"/>
      <c r="AM8" s="962"/>
      <c r="AN8" s="962"/>
      <c r="AO8" s="962"/>
      <c r="AP8" s="962"/>
      <c r="AQ8" s="962"/>
      <c r="AR8" s="962"/>
      <c r="AS8" s="962"/>
      <c r="AT8" s="962"/>
      <c r="AU8" s="962"/>
      <c r="AV8" s="962"/>
      <c r="AW8" s="962"/>
      <c r="AX8" s="962"/>
      <c r="AY8" s="962"/>
      <c r="AZ8" s="962"/>
      <c r="BA8" s="962"/>
      <c r="BB8" s="962"/>
      <c r="BC8" s="962"/>
      <c r="BD8" s="962"/>
      <c r="BE8" s="962"/>
      <c r="BF8" s="962"/>
      <c r="BG8" s="962"/>
      <c r="BH8" s="962"/>
      <c r="BI8" s="962"/>
      <c r="BJ8" s="962"/>
      <c r="BK8" s="963"/>
      <c r="BL8" s="147">
        <v>1</v>
      </c>
      <c r="BM8" s="147">
        <v>2</v>
      </c>
      <c r="BN8" s="147">
        <v>3</v>
      </c>
      <c r="BO8" s="147">
        <v>4</v>
      </c>
      <c r="BP8" s="147">
        <v>5</v>
      </c>
      <c r="BQ8" s="147">
        <v>6</v>
      </c>
      <c r="BR8" s="147">
        <v>7</v>
      </c>
      <c r="BS8" s="147">
        <v>8</v>
      </c>
      <c r="BT8" s="147">
        <v>9</v>
      </c>
      <c r="BU8" s="147">
        <v>10</v>
      </c>
      <c r="BV8" s="147">
        <v>11</v>
      </c>
      <c r="BW8" s="147">
        <v>12</v>
      </c>
      <c r="BX8" s="147">
        <v>13</v>
      </c>
      <c r="BY8" s="147">
        <v>14</v>
      </c>
      <c r="BZ8" s="147">
        <v>15</v>
      </c>
      <c r="CA8" s="147">
        <v>16</v>
      </c>
      <c r="CB8" s="147">
        <v>17</v>
      </c>
      <c r="CC8" s="147">
        <v>18</v>
      </c>
      <c r="CD8" s="147">
        <v>19</v>
      </c>
      <c r="CE8" s="147">
        <v>20</v>
      </c>
      <c r="CF8" s="147">
        <v>21</v>
      </c>
      <c r="CG8" s="147">
        <v>22</v>
      </c>
      <c r="CH8" s="147">
        <v>23</v>
      </c>
      <c r="CI8" s="147">
        <v>24</v>
      </c>
      <c r="CJ8" s="147">
        <v>25</v>
      </c>
      <c r="CK8" s="147">
        <v>26</v>
      </c>
      <c r="CL8" s="147">
        <v>27</v>
      </c>
      <c r="CM8" s="147">
        <v>28</v>
      </c>
      <c r="CN8" s="147">
        <v>29</v>
      </c>
      <c r="CO8" s="147">
        <v>30</v>
      </c>
      <c r="CP8" s="147">
        <v>31</v>
      </c>
      <c r="CQ8" s="147">
        <v>32</v>
      </c>
      <c r="CR8" s="147">
        <v>33</v>
      </c>
      <c r="CS8" s="147">
        <v>34</v>
      </c>
      <c r="CT8" s="147">
        <v>35</v>
      </c>
      <c r="CU8" s="147">
        <v>36</v>
      </c>
      <c r="CV8" s="147">
        <v>37</v>
      </c>
      <c r="CW8" s="147">
        <v>38</v>
      </c>
      <c r="CX8" s="147">
        <v>39</v>
      </c>
      <c r="CY8" s="147">
        <v>40</v>
      </c>
      <c r="CZ8" s="147">
        <v>41</v>
      </c>
      <c r="DA8" s="148">
        <v>42</v>
      </c>
      <c r="DB8" s="107"/>
    </row>
    <row r="9" spans="1:106" ht="12" customHeight="1" thickTop="1" x14ac:dyDescent="0.2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526" t="s">
        <v>164</v>
      </c>
      <c r="U9" s="526"/>
      <c r="V9" s="526"/>
      <c r="W9" s="526"/>
      <c r="X9" s="526"/>
      <c r="Y9" s="527"/>
      <c r="Z9" s="527"/>
      <c r="AA9" s="527"/>
      <c r="AB9" s="527"/>
      <c r="AC9" s="527"/>
      <c r="AD9" s="527"/>
      <c r="AE9" s="527"/>
      <c r="AF9" s="527"/>
      <c r="AG9" s="527"/>
      <c r="AH9" s="527"/>
      <c r="AI9" s="527"/>
      <c r="AJ9" s="107"/>
      <c r="AK9" s="672"/>
      <c r="AL9" s="674"/>
      <c r="AM9" s="327">
        <v>1</v>
      </c>
      <c r="AN9" s="327"/>
      <c r="AO9" s="149" t="s">
        <v>382</v>
      </c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1"/>
      <c r="BM9" s="152"/>
      <c r="BN9" s="152"/>
      <c r="BO9" s="152"/>
      <c r="BP9" s="153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5"/>
      <c r="DB9" s="107"/>
    </row>
    <row r="10" spans="1:106" ht="12" customHeight="1" thickBo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287"/>
      <c r="AL10" s="288"/>
      <c r="AM10" s="296">
        <v>2</v>
      </c>
      <c r="AN10" s="296"/>
      <c r="AO10" s="156" t="s">
        <v>383</v>
      </c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8"/>
      <c r="BM10" s="159"/>
      <c r="BN10" s="159"/>
      <c r="BO10" s="159"/>
      <c r="BP10" s="160"/>
      <c r="BQ10" s="161"/>
      <c r="BR10" s="161"/>
      <c r="BS10" s="161"/>
      <c r="BT10" s="161"/>
      <c r="BU10" s="161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162"/>
      <c r="CH10" s="162"/>
      <c r="CI10" s="162"/>
      <c r="CJ10" s="162"/>
      <c r="CK10" s="162"/>
      <c r="CL10" s="162"/>
      <c r="CM10" s="162"/>
      <c r="CN10" s="162"/>
      <c r="CO10" s="162"/>
      <c r="CP10" s="162"/>
      <c r="CQ10" s="162"/>
      <c r="CR10" s="162"/>
      <c r="CS10" s="162"/>
      <c r="CT10" s="162"/>
      <c r="CU10" s="162"/>
      <c r="CV10" s="162"/>
      <c r="CW10" s="162"/>
      <c r="CX10" s="162"/>
      <c r="CY10" s="162"/>
      <c r="CZ10" s="162"/>
      <c r="DA10" s="163"/>
      <c r="DB10" s="107"/>
    </row>
    <row r="11" spans="1:106" ht="12" customHeight="1" thickBot="1" x14ac:dyDescent="0.25">
      <c r="A11" s="314" t="s">
        <v>384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6"/>
      <c r="Q11" s="42"/>
      <c r="R11" s="42"/>
      <c r="S11" s="94"/>
      <c r="T11" s="338" t="s">
        <v>385</v>
      </c>
      <c r="U11" s="339"/>
      <c r="V11" s="339"/>
      <c r="W11" s="339"/>
      <c r="X11" s="339"/>
      <c r="Y11" s="339"/>
      <c r="Z11" s="339"/>
      <c r="AA11" s="339"/>
      <c r="AB11" s="339"/>
      <c r="AC11" s="339"/>
      <c r="AD11" s="339"/>
      <c r="AE11" s="339"/>
      <c r="AF11" s="339"/>
      <c r="AG11" s="339"/>
      <c r="AH11" s="339"/>
      <c r="AI11" s="340"/>
      <c r="AJ11" s="107"/>
      <c r="AK11" s="287"/>
      <c r="AL11" s="288"/>
      <c r="AM11" s="296">
        <v>3</v>
      </c>
      <c r="AN11" s="296"/>
      <c r="AO11" s="156" t="s">
        <v>386</v>
      </c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64"/>
      <c r="BM11" s="154"/>
      <c r="BN11" s="154"/>
      <c r="BO11" s="154"/>
      <c r="BP11" s="154"/>
      <c r="BQ11" s="165"/>
      <c r="BR11" s="166"/>
      <c r="BS11" s="166"/>
      <c r="BT11" s="166"/>
      <c r="BU11" s="167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3"/>
      <c r="DB11" s="107"/>
    </row>
    <row r="12" spans="1:106" ht="12.75" thickTop="1" x14ac:dyDescent="0.2">
      <c r="A12" s="955" t="s">
        <v>387</v>
      </c>
      <c r="B12" s="956"/>
      <c r="C12" s="956"/>
      <c r="D12" s="956"/>
      <c r="E12" s="956"/>
      <c r="F12" s="956"/>
      <c r="G12" s="453"/>
      <c r="H12" s="453"/>
      <c r="I12" s="453"/>
      <c r="J12" s="453"/>
      <c r="K12" s="453"/>
      <c r="L12" s="453"/>
      <c r="M12" s="453"/>
      <c r="N12" s="453"/>
      <c r="O12" s="453"/>
      <c r="P12" s="454"/>
      <c r="Q12" s="42"/>
      <c r="R12" s="42"/>
      <c r="S12" s="94"/>
      <c r="T12" s="752"/>
      <c r="U12" s="753"/>
      <c r="V12" s="753"/>
      <c r="W12" s="753"/>
      <c r="X12" s="753"/>
      <c r="Y12" s="753"/>
      <c r="Z12" s="753" t="s">
        <v>197</v>
      </c>
      <c r="AA12" s="753"/>
      <c r="AB12" s="753"/>
      <c r="AC12" s="753"/>
      <c r="AD12" s="753"/>
      <c r="AE12" s="753" t="s">
        <v>199</v>
      </c>
      <c r="AF12" s="753"/>
      <c r="AG12" s="753"/>
      <c r="AH12" s="753"/>
      <c r="AI12" s="779"/>
      <c r="AJ12" s="107"/>
      <c r="AK12" s="287"/>
      <c r="AL12" s="288"/>
      <c r="AM12" s="296">
        <v>4</v>
      </c>
      <c r="AN12" s="296"/>
      <c r="AO12" s="156" t="s">
        <v>388</v>
      </c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68"/>
      <c r="BM12" s="162"/>
      <c r="BN12" s="162"/>
      <c r="BO12" s="162"/>
      <c r="BP12" s="162"/>
      <c r="BQ12" s="169"/>
      <c r="BR12" s="170"/>
      <c r="BS12" s="171"/>
      <c r="BT12" s="171"/>
      <c r="BU12" s="171"/>
      <c r="BV12" s="162"/>
      <c r="BW12" s="162"/>
      <c r="BX12" s="162"/>
      <c r="BY12" s="162"/>
      <c r="BZ12" s="162"/>
      <c r="CA12" s="162"/>
      <c r="CB12" s="162"/>
      <c r="CC12" s="162"/>
      <c r="CD12" s="162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3"/>
      <c r="DB12" s="107"/>
    </row>
    <row r="13" spans="1:106" ht="12" customHeight="1" x14ac:dyDescent="0.2">
      <c r="A13" s="333" t="s">
        <v>389</v>
      </c>
      <c r="B13" s="334"/>
      <c r="C13" s="334"/>
      <c r="D13" s="334"/>
      <c r="E13" s="334"/>
      <c r="F13" s="334"/>
      <c r="G13" s="952"/>
      <c r="H13" s="953"/>
      <c r="I13" s="953"/>
      <c r="J13" s="953"/>
      <c r="K13" s="953"/>
      <c r="L13" s="172" t="s">
        <v>201</v>
      </c>
      <c r="M13" s="419"/>
      <c r="N13" s="419"/>
      <c r="O13" s="419"/>
      <c r="P13" s="420"/>
      <c r="Q13" s="42"/>
      <c r="R13" s="42"/>
      <c r="S13" s="42"/>
      <c r="T13" s="333" t="s">
        <v>97</v>
      </c>
      <c r="U13" s="334"/>
      <c r="V13" s="334"/>
      <c r="W13" s="334"/>
      <c r="X13" s="334"/>
      <c r="Y13" s="334"/>
      <c r="Z13" s="577"/>
      <c r="AA13" s="577"/>
      <c r="AB13" s="577"/>
      <c r="AC13" s="577"/>
      <c r="AD13" s="577"/>
      <c r="AE13" s="899" t="str">
        <f>AC53</f>
        <v/>
      </c>
      <c r="AF13" s="899"/>
      <c r="AG13" s="899"/>
      <c r="AH13" s="899"/>
      <c r="AI13" s="954"/>
      <c r="AJ13" s="107"/>
      <c r="AK13" s="287"/>
      <c r="AL13" s="288"/>
      <c r="AM13" s="296">
        <v>5</v>
      </c>
      <c r="AN13" s="296"/>
      <c r="AO13" s="156" t="s">
        <v>390</v>
      </c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68"/>
      <c r="BM13" s="162"/>
      <c r="BN13" s="162"/>
      <c r="BO13" s="162"/>
      <c r="BP13" s="162"/>
      <c r="BQ13" s="154"/>
      <c r="BR13" s="154"/>
      <c r="BS13" s="169"/>
      <c r="BT13" s="173"/>
      <c r="BU13" s="170"/>
      <c r="BV13" s="161"/>
      <c r="BW13" s="161"/>
      <c r="BX13" s="161"/>
      <c r="BY13" s="161"/>
      <c r="BZ13" s="161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3"/>
      <c r="DB13" s="107"/>
    </row>
    <row r="14" spans="1:106" ht="12" customHeight="1" x14ac:dyDescent="0.2">
      <c r="A14" s="333" t="s">
        <v>168</v>
      </c>
      <c r="B14" s="334"/>
      <c r="C14" s="334"/>
      <c r="D14" s="334"/>
      <c r="E14" s="334"/>
      <c r="F14" s="334"/>
      <c r="G14" s="400"/>
      <c r="H14" s="400"/>
      <c r="I14" s="400"/>
      <c r="J14" s="400"/>
      <c r="K14" s="400"/>
      <c r="L14" s="400"/>
      <c r="M14" s="400"/>
      <c r="N14" s="400"/>
      <c r="O14" s="400"/>
      <c r="P14" s="401"/>
      <c r="Q14" s="42"/>
      <c r="R14" s="42"/>
      <c r="S14" s="42"/>
      <c r="T14" s="333" t="s">
        <v>98</v>
      </c>
      <c r="U14" s="334"/>
      <c r="V14" s="334"/>
      <c r="W14" s="334"/>
      <c r="X14" s="334"/>
      <c r="Y14" s="334"/>
      <c r="Z14" s="577"/>
      <c r="AA14" s="577"/>
      <c r="AB14" s="577"/>
      <c r="AC14" s="577"/>
      <c r="AD14" s="577"/>
      <c r="AE14" s="577"/>
      <c r="AF14" s="577"/>
      <c r="AG14" s="577"/>
      <c r="AH14" s="577"/>
      <c r="AI14" s="578"/>
      <c r="AJ14" s="107"/>
      <c r="AK14" s="287"/>
      <c r="AL14" s="288"/>
      <c r="AM14" s="296">
        <v>6</v>
      </c>
      <c r="AN14" s="296"/>
      <c r="AO14" s="156" t="s">
        <v>391</v>
      </c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68"/>
      <c r="BM14" s="162"/>
      <c r="BN14" s="162"/>
      <c r="BO14" s="162"/>
      <c r="BP14" s="162"/>
      <c r="BQ14" s="162"/>
      <c r="BR14" s="162"/>
      <c r="BS14" s="154"/>
      <c r="BT14" s="154"/>
      <c r="BU14" s="154"/>
      <c r="BV14" s="165"/>
      <c r="BW14" s="166"/>
      <c r="BX14" s="166"/>
      <c r="BY14" s="166"/>
      <c r="BZ14" s="167"/>
      <c r="CA14" s="161"/>
      <c r="CB14" s="161"/>
      <c r="CC14" s="162"/>
      <c r="CD14" s="162"/>
      <c r="CE14" s="162"/>
      <c r="CF14" s="162"/>
      <c r="CG14" s="162"/>
      <c r="CH14" s="162"/>
      <c r="CI14" s="162"/>
      <c r="CJ14" s="162"/>
      <c r="CK14" s="162"/>
      <c r="CL14" s="162"/>
      <c r="CM14" s="162"/>
      <c r="CN14" s="162"/>
      <c r="CO14" s="162"/>
      <c r="CP14" s="162"/>
      <c r="CQ14" s="162"/>
      <c r="CR14" s="162"/>
      <c r="CS14" s="162"/>
      <c r="CT14" s="162"/>
      <c r="CU14" s="162"/>
      <c r="CV14" s="162"/>
      <c r="CW14" s="162"/>
      <c r="CX14" s="162"/>
      <c r="CY14" s="162"/>
      <c r="CZ14" s="162"/>
      <c r="DA14" s="163"/>
      <c r="DB14" s="107"/>
    </row>
    <row r="15" spans="1:106" ht="12" customHeight="1" x14ac:dyDescent="0.2">
      <c r="A15" s="406" t="s">
        <v>174</v>
      </c>
      <c r="B15" s="407"/>
      <c r="C15" s="407"/>
      <c r="D15" s="407"/>
      <c r="E15" s="407"/>
      <c r="F15" s="408"/>
      <c r="G15" s="400"/>
      <c r="H15" s="400"/>
      <c r="I15" s="400"/>
      <c r="J15" s="400"/>
      <c r="K15" s="400"/>
      <c r="L15" s="400"/>
      <c r="M15" s="400"/>
      <c r="N15" s="400"/>
      <c r="O15" s="400"/>
      <c r="P15" s="401"/>
      <c r="Q15" s="42"/>
      <c r="R15" s="42"/>
      <c r="S15" s="42"/>
      <c r="T15" s="333" t="s">
        <v>99</v>
      </c>
      <c r="U15" s="334"/>
      <c r="V15" s="334"/>
      <c r="W15" s="334"/>
      <c r="X15" s="334"/>
      <c r="Y15" s="334"/>
      <c r="Z15" s="577"/>
      <c r="AA15" s="577"/>
      <c r="AB15" s="577"/>
      <c r="AC15" s="577"/>
      <c r="AD15" s="577"/>
      <c r="AE15" s="577"/>
      <c r="AF15" s="577"/>
      <c r="AG15" s="577"/>
      <c r="AH15" s="577"/>
      <c r="AI15" s="578"/>
      <c r="AJ15" s="107"/>
      <c r="AK15" s="287"/>
      <c r="AL15" s="288"/>
      <c r="AM15" s="296">
        <v>7</v>
      </c>
      <c r="AN15" s="296"/>
      <c r="AO15" s="156" t="s">
        <v>392</v>
      </c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68"/>
      <c r="BM15" s="162"/>
      <c r="BN15" s="162"/>
      <c r="BO15" s="162"/>
      <c r="BP15" s="162"/>
      <c r="BQ15" s="162"/>
      <c r="BR15" s="162"/>
      <c r="BS15" s="162"/>
      <c r="BT15" s="162"/>
      <c r="BU15" s="162"/>
      <c r="BV15" s="154"/>
      <c r="BW15" s="154"/>
      <c r="BX15" s="154"/>
      <c r="BY15" s="154"/>
      <c r="BZ15" s="154"/>
      <c r="CA15" s="169"/>
      <c r="CB15" s="170"/>
      <c r="CC15" s="161"/>
      <c r="CD15" s="161"/>
      <c r="CE15" s="161"/>
      <c r="CF15" s="161"/>
      <c r="CG15" s="161"/>
      <c r="CH15" s="161"/>
      <c r="CI15" s="161"/>
      <c r="CJ15" s="161"/>
      <c r="CK15" s="161"/>
      <c r="CL15" s="161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3"/>
      <c r="DB15" s="107"/>
    </row>
    <row r="16" spans="1:106" ht="12" customHeight="1" thickBot="1" x14ac:dyDescent="0.25">
      <c r="A16" s="406" t="s">
        <v>178</v>
      </c>
      <c r="B16" s="407"/>
      <c r="C16" s="407"/>
      <c r="D16" s="407"/>
      <c r="E16" s="407"/>
      <c r="F16" s="408"/>
      <c r="G16" s="400"/>
      <c r="H16" s="400"/>
      <c r="I16" s="400"/>
      <c r="J16" s="400"/>
      <c r="K16" s="400"/>
      <c r="L16" s="400"/>
      <c r="M16" s="400"/>
      <c r="N16" s="400"/>
      <c r="O16" s="400"/>
      <c r="P16" s="401"/>
      <c r="Q16" s="42"/>
      <c r="R16" s="42"/>
      <c r="S16" s="42"/>
      <c r="T16" s="347" t="s">
        <v>100</v>
      </c>
      <c r="U16" s="348"/>
      <c r="V16" s="348"/>
      <c r="W16" s="348"/>
      <c r="X16" s="348"/>
      <c r="Y16" s="348"/>
      <c r="Z16" s="555"/>
      <c r="AA16" s="555"/>
      <c r="AB16" s="555"/>
      <c r="AC16" s="555"/>
      <c r="AD16" s="555"/>
      <c r="AE16" s="555"/>
      <c r="AF16" s="555"/>
      <c r="AG16" s="555"/>
      <c r="AH16" s="555"/>
      <c r="AI16" s="951"/>
      <c r="AJ16" s="107"/>
      <c r="AK16" s="287"/>
      <c r="AL16" s="288"/>
      <c r="AM16" s="296">
        <v>8</v>
      </c>
      <c r="AN16" s="296"/>
      <c r="AO16" s="156" t="s">
        <v>393</v>
      </c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68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54"/>
      <c r="CB16" s="154"/>
      <c r="CC16" s="174"/>
      <c r="CD16" s="175"/>
      <c r="CE16" s="175"/>
      <c r="CF16" s="175"/>
      <c r="CG16" s="175"/>
      <c r="CH16" s="175"/>
      <c r="CI16" s="175"/>
      <c r="CJ16" s="175"/>
      <c r="CK16" s="175"/>
      <c r="CL16" s="176"/>
      <c r="CM16" s="161"/>
      <c r="CN16" s="161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3"/>
      <c r="DB16" s="107"/>
    </row>
    <row r="17" spans="1:106" ht="12" customHeight="1" x14ac:dyDescent="0.2">
      <c r="A17" s="406" t="s">
        <v>181</v>
      </c>
      <c r="B17" s="407"/>
      <c r="C17" s="407"/>
      <c r="D17" s="407"/>
      <c r="E17" s="407"/>
      <c r="F17" s="408"/>
      <c r="G17" s="513" t="s">
        <v>182</v>
      </c>
      <c r="H17" s="513"/>
      <c r="I17" s="513"/>
      <c r="J17" s="513"/>
      <c r="K17" s="513"/>
      <c r="L17" s="513"/>
      <c r="M17" s="513"/>
      <c r="N17" s="513"/>
      <c r="O17" s="513"/>
      <c r="P17" s="514"/>
      <c r="Q17" s="42"/>
      <c r="R17" s="42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107"/>
      <c r="AK17" s="287"/>
      <c r="AL17" s="288"/>
      <c r="AM17" s="296">
        <v>9</v>
      </c>
      <c r="AN17" s="296"/>
      <c r="AO17" s="156" t="s">
        <v>394</v>
      </c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68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54"/>
      <c r="CD17" s="154"/>
      <c r="CE17" s="154"/>
      <c r="CF17" s="154"/>
      <c r="CG17" s="154"/>
      <c r="CH17" s="154"/>
      <c r="CI17" s="154"/>
      <c r="CJ17" s="154"/>
      <c r="CK17" s="154"/>
      <c r="CL17" s="154"/>
      <c r="CM17" s="169"/>
      <c r="CN17" s="170"/>
      <c r="CO17" s="161"/>
      <c r="CP17" s="161"/>
      <c r="CQ17" s="161"/>
      <c r="CR17" s="162"/>
      <c r="CS17" s="162"/>
      <c r="CT17" s="162"/>
      <c r="CU17" s="162"/>
      <c r="CV17" s="162"/>
      <c r="CW17" s="162"/>
      <c r="CX17" s="162"/>
      <c r="CY17" s="162"/>
      <c r="CZ17" s="162"/>
      <c r="DA17" s="163"/>
      <c r="DB17" s="107"/>
    </row>
    <row r="18" spans="1:106" ht="12" customHeight="1" x14ac:dyDescent="0.2">
      <c r="A18" s="333" t="s">
        <v>185</v>
      </c>
      <c r="B18" s="334"/>
      <c r="C18" s="334"/>
      <c r="D18" s="334"/>
      <c r="E18" s="334"/>
      <c r="F18" s="334"/>
      <c r="G18" s="400"/>
      <c r="H18" s="400"/>
      <c r="I18" s="400"/>
      <c r="J18" s="400"/>
      <c r="K18" s="400"/>
      <c r="L18" s="400"/>
      <c r="M18" s="400"/>
      <c r="N18" s="400"/>
      <c r="O18" s="400"/>
      <c r="P18" s="401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107"/>
      <c r="AK18" s="287"/>
      <c r="AL18" s="288"/>
      <c r="AM18" s="296">
        <v>10</v>
      </c>
      <c r="AN18" s="296"/>
      <c r="AO18" s="156" t="s">
        <v>395</v>
      </c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68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54"/>
      <c r="CN18" s="154"/>
      <c r="CO18" s="165"/>
      <c r="CP18" s="166"/>
      <c r="CQ18" s="167"/>
      <c r="CR18" s="161"/>
      <c r="CS18" s="161"/>
      <c r="CT18" s="162"/>
      <c r="CU18" s="162"/>
      <c r="CV18" s="162"/>
      <c r="CW18" s="162"/>
      <c r="CX18" s="162"/>
      <c r="CY18" s="162"/>
      <c r="CZ18" s="162"/>
      <c r="DA18" s="163"/>
      <c r="DB18" s="107"/>
    </row>
    <row r="19" spans="1:106" ht="12" x14ac:dyDescent="0.2">
      <c r="A19" s="333" t="s">
        <v>396</v>
      </c>
      <c r="B19" s="334"/>
      <c r="C19" s="334"/>
      <c r="D19" s="334"/>
      <c r="E19" s="334"/>
      <c r="F19" s="334"/>
      <c r="G19" s="400"/>
      <c r="H19" s="400"/>
      <c r="I19" s="400"/>
      <c r="J19" s="400"/>
      <c r="K19" s="400"/>
      <c r="L19" s="400"/>
      <c r="M19" s="400"/>
      <c r="N19" s="400"/>
      <c r="O19" s="400"/>
      <c r="P19" s="401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107"/>
      <c r="AK19" s="287"/>
      <c r="AL19" s="288"/>
      <c r="AM19" s="296">
        <v>11</v>
      </c>
      <c r="AN19" s="296"/>
      <c r="AO19" s="156" t="s">
        <v>397</v>
      </c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68"/>
      <c r="BM19" s="161"/>
      <c r="BN19" s="161"/>
      <c r="BO19" s="161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54"/>
      <c r="CP19" s="154"/>
      <c r="CQ19" s="154"/>
      <c r="CR19" s="169"/>
      <c r="CS19" s="170"/>
      <c r="CT19" s="161"/>
      <c r="CU19" s="161"/>
      <c r="CV19" s="161"/>
      <c r="CW19" s="161"/>
      <c r="CX19" s="161"/>
      <c r="CY19" s="162"/>
      <c r="CZ19" s="162"/>
      <c r="DA19" s="163"/>
      <c r="DB19" s="107"/>
    </row>
    <row r="20" spans="1:106" ht="12" customHeight="1" thickBot="1" x14ac:dyDescent="0.25">
      <c r="A20" s="347" t="s">
        <v>398</v>
      </c>
      <c r="B20" s="348"/>
      <c r="C20" s="348"/>
      <c r="D20" s="348"/>
      <c r="E20" s="348"/>
      <c r="F20" s="348"/>
      <c r="G20" s="466"/>
      <c r="H20" s="466"/>
      <c r="I20" s="466"/>
      <c r="J20" s="466"/>
      <c r="K20" s="466"/>
      <c r="L20" s="466"/>
      <c r="M20" s="466"/>
      <c r="N20" s="466"/>
      <c r="O20" s="466"/>
      <c r="P20" s="950"/>
      <c r="Q20" s="42"/>
      <c r="R20" s="42"/>
      <c r="S20" s="42"/>
      <c r="T20" s="42"/>
      <c r="U20" s="42"/>
      <c r="V20" s="42"/>
      <c r="W20" s="42"/>
      <c r="X20" s="42"/>
      <c r="Y20" s="42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107"/>
      <c r="AK20" s="287"/>
      <c r="AL20" s="288"/>
      <c r="AM20" s="296">
        <v>12</v>
      </c>
      <c r="AN20" s="296"/>
      <c r="AO20" s="156" t="s">
        <v>399</v>
      </c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68"/>
      <c r="BM20" s="944" t="s">
        <v>400</v>
      </c>
      <c r="BN20" s="949"/>
      <c r="BO20" s="945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54"/>
      <c r="CS20" s="154"/>
      <c r="CT20" s="165"/>
      <c r="CU20" s="166"/>
      <c r="CV20" s="166"/>
      <c r="CW20" s="166"/>
      <c r="CX20" s="167"/>
      <c r="CY20" s="162"/>
      <c r="CZ20" s="162"/>
      <c r="DA20" s="163"/>
      <c r="DB20" s="107"/>
    </row>
    <row r="21" spans="1:106" ht="12" customHeight="1" thickBo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107"/>
      <c r="AK21" s="287"/>
      <c r="AL21" s="288"/>
      <c r="AM21" s="296">
        <v>13</v>
      </c>
      <c r="AN21" s="296"/>
      <c r="AO21" s="156" t="s">
        <v>401</v>
      </c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68"/>
      <c r="BM21" s="177"/>
      <c r="BN21" s="944" t="s">
        <v>402</v>
      </c>
      <c r="BO21" s="945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51"/>
      <c r="CU21" s="152"/>
      <c r="CV21" s="152"/>
      <c r="CW21" s="152"/>
      <c r="CX21" s="153"/>
      <c r="CY21" s="161"/>
      <c r="CZ21" s="161"/>
      <c r="DA21" s="178"/>
      <c r="DB21" s="107"/>
    </row>
    <row r="22" spans="1:106" ht="12" customHeight="1" x14ac:dyDescent="0.2">
      <c r="A22" s="42"/>
      <c r="B22" s="42"/>
      <c r="C22" s="42"/>
      <c r="D22" s="42"/>
      <c r="E22" s="42"/>
      <c r="F22" s="42"/>
      <c r="G22" s="42"/>
      <c r="H22" s="42"/>
      <c r="I22" s="42"/>
      <c r="J22" s="179"/>
      <c r="K22" s="130"/>
      <c r="L22" s="93"/>
      <c r="M22" s="130"/>
      <c r="N22" s="93"/>
      <c r="O22" s="130"/>
      <c r="P22" s="93"/>
      <c r="Q22" s="130"/>
      <c r="R22" s="93"/>
      <c r="S22" s="130"/>
      <c r="T22" s="93"/>
      <c r="U22" s="130"/>
      <c r="V22" s="93"/>
      <c r="W22" s="130"/>
      <c r="X22" s="180"/>
      <c r="Y22" s="42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107"/>
      <c r="AK22" s="287"/>
      <c r="AL22" s="288"/>
      <c r="AM22" s="296">
        <v>14</v>
      </c>
      <c r="AN22" s="296"/>
      <c r="AO22" s="156" t="s">
        <v>403</v>
      </c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68"/>
      <c r="BM22" s="181"/>
      <c r="BN22" s="944" t="s">
        <v>404</v>
      </c>
      <c r="BO22" s="945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54"/>
      <c r="CU22" s="154"/>
      <c r="CV22" s="154"/>
      <c r="CW22" s="154"/>
      <c r="CX22" s="154"/>
      <c r="CY22" s="165"/>
      <c r="CZ22" s="166"/>
      <c r="DA22" s="182"/>
      <c r="DB22" s="107"/>
    </row>
    <row r="23" spans="1:106" ht="12" customHeight="1" x14ac:dyDescent="0.2">
      <c r="A23" s="42"/>
      <c r="B23" s="42"/>
      <c r="C23" s="42"/>
      <c r="D23" s="42"/>
      <c r="E23" s="42"/>
      <c r="F23" s="42"/>
      <c r="G23" s="42"/>
      <c r="H23" s="42"/>
      <c r="I23" s="42"/>
      <c r="J23" s="67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183"/>
      <c r="Y23" s="42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107"/>
      <c r="AK23" s="287"/>
      <c r="AL23" s="288"/>
      <c r="AM23" s="296">
        <v>15</v>
      </c>
      <c r="AN23" s="296"/>
      <c r="AO23" s="156" t="s">
        <v>405</v>
      </c>
      <c r="AP23" s="157"/>
      <c r="AQ23" s="157"/>
      <c r="AR23" s="157"/>
      <c r="AS23" s="157"/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7"/>
      <c r="BK23" s="157"/>
      <c r="BL23" s="168"/>
      <c r="BM23" s="184"/>
      <c r="BN23" s="944" t="s">
        <v>406</v>
      </c>
      <c r="BO23" s="945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54"/>
      <c r="CZ23" s="154"/>
      <c r="DA23" s="185"/>
      <c r="DB23" s="107"/>
    </row>
    <row r="24" spans="1:106" ht="12" customHeight="1" thickBot="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67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183"/>
      <c r="Y24" s="42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107"/>
      <c r="AK24" s="946"/>
      <c r="AL24" s="635"/>
      <c r="AM24" s="292">
        <v>16</v>
      </c>
      <c r="AN24" s="292"/>
      <c r="AO24" s="186" t="s">
        <v>275</v>
      </c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8"/>
      <c r="BM24" s="114"/>
      <c r="BN24" s="114"/>
      <c r="BO24" s="114"/>
      <c r="BP24" s="189"/>
      <c r="BQ24" s="189"/>
      <c r="BR24" s="189"/>
      <c r="BS24" s="189"/>
      <c r="BT24" s="189"/>
      <c r="BU24" s="189"/>
      <c r="BV24" s="189"/>
      <c r="BW24" s="189"/>
      <c r="BX24" s="189"/>
      <c r="BY24" s="189"/>
      <c r="BZ24" s="189"/>
      <c r="CA24" s="189"/>
      <c r="CB24" s="189"/>
      <c r="CC24" s="189"/>
      <c r="CD24" s="189"/>
      <c r="CE24" s="189"/>
      <c r="CF24" s="189"/>
      <c r="CG24" s="189"/>
      <c r="CH24" s="189"/>
      <c r="CI24" s="189"/>
      <c r="CJ24" s="189"/>
      <c r="CK24" s="189"/>
      <c r="CL24" s="189"/>
      <c r="CM24" s="189"/>
      <c r="CN24" s="189"/>
      <c r="CO24" s="189"/>
      <c r="CP24" s="189"/>
      <c r="CQ24" s="189"/>
      <c r="CR24" s="189"/>
      <c r="CS24" s="189"/>
      <c r="CT24" s="189"/>
      <c r="CU24" s="189"/>
      <c r="CV24" s="189"/>
      <c r="CW24" s="189"/>
      <c r="CX24" s="189"/>
      <c r="CY24" s="189"/>
      <c r="CZ24" s="189"/>
      <c r="DA24" s="115"/>
      <c r="DB24" s="107"/>
    </row>
    <row r="25" spans="1:106" ht="12" customHeight="1" x14ac:dyDescent="0.2">
      <c r="A25" s="42"/>
      <c r="B25" s="42"/>
      <c r="C25" s="42"/>
      <c r="D25" s="42"/>
      <c r="E25" s="42"/>
      <c r="F25" s="42"/>
      <c r="G25" s="42"/>
      <c r="H25" s="42"/>
      <c r="I25" s="42"/>
      <c r="J25" s="67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183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7"/>
      <c r="CV25" s="107"/>
      <c r="CW25" s="107"/>
      <c r="CX25" s="107"/>
      <c r="CY25" s="107"/>
      <c r="CZ25" s="107"/>
      <c r="DA25" s="107"/>
      <c r="DB25" s="107"/>
    </row>
    <row r="26" spans="1:106" ht="12" customHeight="1" x14ac:dyDescent="0.2">
      <c r="A26" s="42"/>
      <c r="B26" s="42"/>
      <c r="C26" s="42"/>
      <c r="D26" s="42"/>
      <c r="E26" s="42"/>
      <c r="F26" s="42"/>
      <c r="G26" s="42"/>
      <c r="H26" s="42"/>
      <c r="I26" s="42"/>
      <c r="J26" s="67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183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7"/>
      <c r="CS26" s="107"/>
      <c r="CT26" s="107"/>
      <c r="CU26" s="107"/>
      <c r="CV26" s="107"/>
      <c r="CW26" s="107"/>
      <c r="CX26" s="107"/>
      <c r="CY26" s="107"/>
      <c r="CZ26" s="107"/>
      <c r="DA26" s="107"/>
      <c r="DB26" s="107"/>
    </row>
    <row r="27" spans="1:106" ht="12" customHeight="1" thickBot="1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67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183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7"/>
      <c r="CS27" s="107"/>
      <c r="CT27" s="107"/>
      <c r="CU27" s="107"/>
      <c r="CV27" s="107"/>
      <c r="CW27" s="107"/>
      <c r="CX27" s="107"/>
      <c r="CY27" s="107"/>
      <c r="CZ27" s="107"/>
      <c r="DA27" s="107"/>
      <c r="DB27" s="107"/>
    </row>
    <row r="28" spans="1:106" ht="12" customHeight="1" thickBot="1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67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183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47" t="s">
        <v>297</v>
      </c>
      <c r="AW28" s="472"/>
      <c r="AX28" s="472"/>
      <c r="AY28" s="472"/>
      <c r="AZ28" s="472"/>
      <c r="BA28" s="472"/>
      <c r="BB28" s="472"/>
      <c r="BC28" s="948"/>
      <c r="BD28" s="191"/>
      <c r="BE28" s="107"/>
      <c r="BF28" s="471" t="s">
        <v>160</v>
      </c>
      <c r="BG28" s="472"/>
      <c r="BH28" s="472"/>
      <c r="BI28" s="472"/>
      <c r="BJ28" s="472"/>
      <c r="BK28" s="472"/>
      <c r="BL28" s="472"/>
      <c r="BM28" s="472"/>
      <c r="BN28" s="472"/>
      <c r="BO28" s="472"/>
      <c r="BP28" s="472"/>
      <c r="BQ28" s="472"/>
      <c r="BR28" s="472"/>
      <c r="BS28" s="472"/>
      <c r="BT28" s="473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</row>
    <row r="29" spans="1:106" ht="12" customHeight="1" thickTop="1" thickBot="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134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9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29" t="s">
        <v>298</v>
      </c>
      <c r="AW29" s="750"/>
      <c r="AX29" s="750"/>
      <c r="AY29" s="750"/>
      <c r="AZ29" s="750"/>
      <c r="BA29" s="751"/>
      <c r="BB29" s="930"/>
      <c r="BC29" s="931"/>
      <c r="BD29" s="193"/>
      <c r="BE29" s="107"/>
      <c r="BF29" s="324"/>
      <c r="BG29" s="547"/>
      <c r="BH29" s="547"/>
      <c r="BI29" s="547"/>
      <c r="BJ29" s="325"/>
      <c r="BK29" s="548"/>
      <c r="BL29" s="547"/>
      <c r="BM29" s="547"/>
      <c r="BN29" s="547"/>
      <c r="BO29" s="325"/>
      <c r="BP29" s="548"/>
      <c r="BQ29" s="547"/>
      <c r="BR29" s="547"/>
      <c r="BS29" s="547"/>
      <c r="BT29" s="549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</row>
    <row r="30" spans="1:106" ht="12" customHeight="1" thickBot="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932" t="s">
        <v>299</v>
      </c>
      <c r="AL30" s="933"/>
      <c r="AM30" s="933"/>
      <c r="AN30" s="933"/>
      <c r="AO30" s="933"/>
      <c r="AP30" s="933"/>
      <c r="AQ30" s="933"/>
      <c r="AR30" s="933"/>
      <c r="AS30" s="934"/>
      <c r="AT30" s="107"/>
      <c r="AU30" s="53"/>
      <c r="AV30" s="941" t="s">
        <v>300</v>
      </c>
      <c r="AW30" s="543"/>
      <c r="AX30" s="543"/>
      <c r="AY30" s="543"/>
      <c r="AZ30" s="543"/>
      <c r="BA30" s="544"/>
      <c r="BB30" s="942"/>
      <c r="BC30" s="943"/>
      <c r="BD30" s="55"/>
      <c r="BE30" s="107"/>
      <c r="BF30" s="521"/>
      <c r="BG30" s="522"/>
      <c r="BH30" s="522"/>
      <c r="BI30" s="522"/>
      <c r="BJ30" s="523"/>
      <c r="BK30" s="524"/>
      <c r="BL30" s="522"/>
      <c r="BM30" s="522"/>
      <c r="BN30" s="522"/>
      <c r="BO30" s="523"/>
      <c r="BP30" s="524"/>
      <c r="BQ30" s="522"/>
      <c r="BR30" s="522"/>
      <c r="BS30" s="522"/>
      <c r="BT30" s="525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</row>
    <row r="31" spans="1:106" ht="12" customHeight="1" thickBot="1" x14ac:dyDescent="0.25">
      <c r="A31" s="649" t="s">
        <v>301</v>
      </c>
      <c r="B31" s="650"/>
      <c r="C31" s="650"/>
      <c r="D31" s="650"/>
      <c r="E31" s="650"/>
      <c r="F31" s="650"/>
      <c r="G31" s="650"/>
      <c r="H31" s="653" t="s">
        <v>302</v>
      </c>
      <c r="I31" s="653"/>
      <c r="J31" s="653"/>
      <c r="K31" s="653"/>
      <c r="L31" s="653"/>
      <c r="M31" s="653"/>
      <c r="N31" s="653"/>
      <c r="O31" s="653"/>
      <c r="P31" s="653"/>
      <c r="Q31" s="650" t="s">
        <v>303</v>
      </c>
      <c r="R31" s="650"/>
      <c r="S31" s="650"/>
      <c r="T31" s="653" t="s">
        <v>304</v>
      </c>
      <c r="U31" s="653"/>
      <c r="V31" s="653"/>
      <c r="W31" s="653"/>
      <c r="X31" s="653"/>
      <c r="Y31" s="653"/>
      <c r="Z31" s="653"/>
      <c r="AA31" s="653"/>
      <c r="AB31" s="653"/>
      <c r="AC31" s="650" t="s">
        <v>305</v>
      </c>
      <c r="AD31" s="650"/>
      <c r="AE31" s="650"/>
      <c r="AF31" s="654" t="s">
        <v>262</v>
      </c>
      <c r="AG31" s="655"/>
      <c r="AH31" s="655"/>
      <c r="AI31" s="656"/>
      <c r="AJ31" s="107"/>
      <c r="AK31" s="935"/>
      <c r="AL31" s="936"/>
      <c r="AM31" s="936"/>
      <c r="AN31" s="936"/>
      <c r="AO31" s="936"/>
      <c r="AP31" s="936"/>
      <c r="AQ31" s="936"/>
      <c r="AR31" s="936"/>
      <c r="AS31" s="937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07"/>
      <c r="BF31" s="521"/>
      <c r="BG31" s="522"/>
      <c r="BH31" s="522"/>
      <c r="BI31" s="522"/>
      <c r="BJ31" s="523"/>
      <c r="BK31" s="524"/>
      <c r="BL31" s="522"/>
      <c r="BM31" s="522"/>
      <c r="BN31" s="522"/>
      <c r="BO31" s="523"/>
      <c r="BP31" s="524"/>
      <c r="BQ31" s="522"/>
      <c r="BR31" s="522"/>
      <c r="BS31" s="522"/>
      <c r="BT31" s="525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</row>
    <row r="32" spans="1:106" ht="12" customHeight="1" thickBot="1" x14ac:dyDescent="0.25">
      <c r="A32" s="651"/>
      <c r="B32" s="652"/>
      <c r="C32" s="652"/>
      <c r="D32" s="652"/>
      <c r="E32" s="652"/>
      <c r="F32" s="652"/>
      <c r="G32" s="652"/>
      <c r="H32" s="392" t="s">
        <v>306</v>
      </c>
      <c r="I32" s="392"/>
      <c r="J32" s="392"/>
      <c r="K32" s="392" t="s">
        <v>174</v>
      </c>
      <c r="L32" s="392"/>
      <c r="M32" s="392"/>
      <c r="N32" s="392" t="s">
        <v>307</v>
      </c>
      <c r="O32" s="392"/>
      <c r="P32" s="392"/>
      <c r="Q32" s="652"/>
      <c r="R32" s="652"/>
      <c r="S32" s="652"/>
      <c r="T32" s="392" t="s">
        <v>308</v>
      </c>
      <c r="U32" s="392"/>
      <c r="V32" s="392"/>
      <c r="W32" s="392" t="s">
        <v>180</v>
      </c>
      <c r="X32" s="392"/>
      <c r="Y32" s="392"/>
      <c r="Z32" s="392" t="s">
        <v>183</v>
      </c>
      <c r="AA32" s="392"/>
      <c r="AB32" s="392"/>
      <c r="AC32" s="652"/>
      <c r="AD32" s="652"/>
      <c r="AE32" s="652"/>
      <c r="AF32" s="657"/>
      <c r="AG32" s="658"/>
      <c r="AH32" s="658"/>
      <c r="AI32" s="659"/>
      <c r="AJ32" s="107"/>
      <c r="AK32" s="938"/>
      <c r="AL32" s="939"/>
      <c r="AM32" s="939"/>
      <c r="AN32" s="939"/>
      <c r="AO32" s="939"/>
      <c r="AP32" s="939"/>
      <c r="AQ32" s="939"/>
      <c r="AR32" s="939"/>
      <c r="AS32" s="940"/>
      <c r="AT32" s="107"/>
      <c r="AU32" s="471" t="s">
        <v>309</v>
      </c>
      <c r="AV32" s="472"/>
      <c r="AW32" s="472"/>
      <c r="AX32" s="472"/>
      <c r="AY32" s="472"/>
      <c r="AZ32" s="472"/>
      <c r="BA32" s="472"/>
      <c r="BB32" s="472"/>
      <c r="BC32" s="472"/>
      <c r="BD32" s="473"/>
      <c r="BE32" s="107"/>
      <c r="BF32" s="521"/>
      <c r="BG32" s="522"/>
      <c r="BH32" s="522"/>
      <c r="BI32" s="522"/>
      <c r="BJ32" s="523"/>
      <c r="BK32" s="524"/>
      <c r="BL32" s="522"/>
      <c r="BM32" s="522"/>
      <c r="BN32" s="522"/>
      <c r="BO32" s="523"/>
      <c r="BP32" s="524"/>
      <c r="BQ32" s="522"/>
      <c r="BR32" s="522"/>
      <c r="BS32" s="522"/>
      <c r="BT32" s="525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</row>
    <row r="33" spans="1:106" ht="15.75" customHeight="1" thickTop="1" x14ac:dyDescent="0.2">
      <c r="A33" s="926"/>
      <c r="B33" s="927"/>
      <c r="C33" s="927"/>
      <c r="D33" s="927"/>
      <c r="E33" s="927"/>
      <c r="F33" s="927"/>
      <c r="G33" s="927"/>
      <c r="H33" s="644"/>
      <c r="I33" s="644"/>
      <c r="J33" s="644"/>
      <c r="K33" s="644"/>
      <c r="L33" s="644"/>
      <c r="M33" s="644"/>
      <c r="N33" s="644"/>
      <c r="O33" s="644"/>
      <c r="P33" s="644"/>
      <c r="Q33" s="644"/>
      <c r="R33" s="644"/>
      <c r="S33" s="644"/>
      <c r="T33" s="638"/>
      <c r="U33" s="638"/>
      <c r="V33" s="638"/>
      <c r="W33" s="638"/>
      <c r="X33" s="638"/>
      <c r="Y33" s="638"/>
      <c r="Z33" s="638"/>
      <c r="AA33" s="638"/>
      <c r="AB33" s="638"/>
      <c r="AC33" s="638"/>
      <c r="AD33" s="638"/>
      <c r="AE33" s="638"/>
      <c r="AF33" s="644"/>
      <c r="AG33" s="644"/>
      <c r="AH33" s="644"/>
      <c r="AI33" s="928"/>
      <c r="AJ33" s="107"/>
      <c r="AK33" s="920" t="str">
        <f>IFERROR(AN33*(1-$BB$30),"")</f>
        <v/>
      </c>
      <c r="AL33" s="921"/>
      <c r="AM33" s="921"/>
      <c r="AN33" s="921" t="str">
        <f>IFERROR(($AK$53*Q33),"")</f>
        <v/>
      </c>
      <c r="AO33" s="921"/>
      <c r="AP33" s="921"/>
      <c r="AQ33" s="921" t="str">
        <f>IFERROR(AN33*(1+$BB$29),"")</f>
        <v/>
      </c>
      <c r="AR33" s="921"/>
      <c r="AS33" s="922"/>
      <c r="AT33" s="107"/>
      <c r="AU33" s="923" t="str">
        <f>IF(AC33="","",IF(AC33&lt;Q33-(Q33*$BB$30),"Below "&amp;$BB$30*100&amp;"% by "&amp;Q33-(Q33*$BB$30)-AC33&amp;" CFM",IF(AC33&gt;Q33+(Q33*$BB$29),"Above "&amp;$BB$29*100&amp;"% by "&amp;AC33-Q33-(Q33*$BB$29)&amp;" CFM","")))</f>
        <v/>
      </c>
      <c r="AV33" s="924"/>
      <c r="AW33" s="924"/>
      <c r="AX33" s="924"/>
      <c r="AY33" s="924"/>
      <c r="AZ33" s="924"/>
      <c r="BA33" s="924"/>
      <c r="BB33" s="924"/>
      <c r="BC33" s="924"/>
      <c r="BD33" s="925"/>
      <c r="BE33" s="107"/>
      <c r="BF33" s="521"/>
      <c r="BG33" s="522"/>
      <c r="BH33" s="522"/>
      <c r="BI33" s="522"/>
      <c r="BJ33" s="523"/>
      <c r="BK33" s="524"/>
      <c r="BL33" s="522"/>
      <c r="BM33" s="522"/>
      <c r="BN33" s="522"/>
      <c r="BO33" s="523"/>
      <c r="BP33" s="524"/>
      <c r="BQ33" s="522"/>
      <c r="BR33" s="522"/>
      <c r="BS33" s="522"/>
      <c r="BT33" s="525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</row>
    <row r="34" spans="1:106" ht="12" customHeight="1" thickBot="1" x14ac:dyDescent="0.25">
      <c r="A34" s="926"/>
      <c r="B34" s="927"/>
      <c r="C34" s="927"/>
      <c r="D34" s="927"/>
      <c r="E34" s="927"/>
      <c r="F34" s="927"/>
      <c r="G34" s="927"/>
      <c r="H34" s="453"/>
      <c r="I34" s="453"/>
      <c r="J34" s="453"/>
      <c r="K34" s="453"/>
      <c r="L34" s="453"/>
      <c r="M34" s="453"/>
      <c r="N34" s="453"/>
      <c r="O34" s="453"/>
      <c r="P34" s="453"/>
      <c r="Q34" s="453"/>
      <c r="R34" s="453"/>
      <c r="S34" s="453"/>
      <c r="T34" s="638"/>
      <c r="U34" s="638"/>
      <c r="V34" s="638"/>
      <c r="W34" s="638"/>
      <c r="X34" s="638"/>
      <c r="Y34" s="638"/>
      <c r="Z34" s="638"/>
      <c r="AA34" s="638"/>
      <c r="AB34" s="638"/>
      <c r="AC34" s="638"/>
      <c r="AD34" s="638"/>
      <c r="AE34" s="638"/>
      <c r="AF34" s="400"/>
      <c r="AG34" s="400"/>
      <c r="AH34" s="400"/>
      <c r="AI34" s="401"/>
      <c r="AJ34" s="107"/>
      <c r="AK34" s="920" t="str">
        <f t="shared" ref="AK34:AK52" si="0">IFERROR(AN34*(1-$BB$30),"")</f>
        <v/>
      </c>
      <c r="AL34" s="921"/>
      <c r="AM34" s="921"/>
      <c r="AN34" s="921" t="str">
        <f t="shared" ref="AN34:AN52" si="1">IFERROR(($AK$53*Q34),"")</f>
        <v/>
      </c>
      <c r="AO34" s="921"/>
      <c r="AP34" s="921"/>
      <c r="AQ34" s="921" t="str">
        <f t="shared" ref="AQ34:AQ52" si="2">IFERROR(AN34*(1+$BB$29),"")</f>
        <v/>
      </c>
      <c r="AR34" s="921"/>
      <c r="AS34" s="922"/>
      <c r="AT34" s="107"/>
      <c r="AU34" s="923" t="str">
        <f t="shared" ref="AU34:AU53" si="3">IF(AC34="","",IF(AC34&lt;Q34-(Q34*$BB$30),"Below "&amp;$BB$30*100&amp;"% by "&amp;Q34-(Q34*$BB$30)-AC34&amp;" CFM",IF(AC34&gt;Q34+(Q34*$BB$29),"Above "&amp;$BB$29*100&amp;"% by "&amp;AC34-Q34-(Q34*$BB$29)&amp;" CFM","")))</f>
        <v/>
      </c>
      <c r="AV34" s="924"/>
      <c r="AW34" s="924"/>
      <c r="AX34" s="924"/>
      <c r="AY34" s="924"/>
      <c r="AZ34" s="924"/>
      <c r="BA34" s="924"/>
      <c r="BB34" s="924"/>
      <c r="BC34" s="924"/>
      <c r="BD34" s="925"/>
      <c r="BE34" s="107"/>
      <c r="BF34" s="528"/>
      <c r="BG34" s="529"/>
      <c r="BH34" s="529"/>
      <c r="BI34" s="529"/>
      <c r="BJ34" s="530"/>
      <c r="BK34" s="531"/>
      <c r="BL34" s="529"/>
      <c r="BM34" s="529"/>
      <c r="BN34" s="529"/>
      <c r="BO34" s="530"/>
      <c r="BP34" s="531"/>
      <c r="BQ34" s="529"/>
      <c r="BR34" s="529"/>
      <c r="BS34" s="529"/>
      <c r="BT34" s="532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</row>
    <row r="35" spans="1:106" ht="12" customHeight="1" x14ac:dyDescent="0.2">
      <c r="A35" s="926"/>
      <c r="B35" s="927"/>
      <c r="C35" s="927"/>
      <c r="D35" s="927"/>
      <c r="E35" s="927"/>
      <c r="F35" s="927"/>
      <c r="G35" s="927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638"/>
      <c r="U35" s="638"/>
      <c r="V35" s="638"/>
      <c r="W35" s="638"/>
      <c r="X35" s="638"/>
      <c r="Y35" s="638"/>
      <c r="Z35" s="638"/>
      <c r="AA35" s="638"/>
      <c r="AB35" s="638"/>
      <c r="AC35" s="638"/>
      <c r="AD35" s="638"/>
      <c r="AE35" s="638"/>
      <c r="AF35" s="400"/>
      <c r="AG35" s="400"/>
      <c r="AH35" s="400"/>
      <c r="AI35" s="401"/>
      <c r="AJ35" s="107"/>
      <c r="AK35" s="920" t="str">
        <f t="shared" si="0"/>
        <v/>
      </c>
      <c r="AL35" s="921"/>
      <c r="AM35" s="921"/>
      <c r="AN35" s="921" t="str">
        <f t="shared" si="1"/>
        <v/>
      </c>
      <c r="AO35" s="921"/>
      <c r="AP35" s="921"/>
      <c r="AQ35" s="921" t="str">
        <f t="shared" si="2"/>
        <v/>
      </c>
      <c r="AR35" s="921"/>
      <c r="AS35" s="922"/>
      <c r="AT35" s="107"/>
      <c r="AU35" s="923" t="str">
        <f t="shared" si="3"/>
        <v/>
      </c>
      <c r="AV35" s="924"/>
      <c r="AW35" s="924"/>
      <c r="AX35" s="924"/>
      <c r="AY35" s="924"/>
      <c r="AZ35" s="924"/>
      <c r="BA35" s="924"/>
      <c r="BB35" s="924"/>
      <c r="BC35" s="924"/>
      <c r="BD35" s="925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</row>
    <row r="36" spans="1:106" ht="12" customHeight="1" x14ac:dyDescent="0.2">
      <c r="A36" s="926"/>
      <c r="B36" s="927"/>
      <c r="C36" s="927"/>
      <c r="D36" s="927"/>
      <c r="E36" s="927"/>
      <c r="F36" s="927"/>
      <c r="G36" s="927"/>
      <c r="H36" s="453"/>
      <c r="I36" s="453"/>
      <c r="J36" s="453"/>
      <c r="K36" s="453"/>
      <c r="L36" s="453"/>
      <c r="M36" s="453"/>
      <c r="N36" s="453"/>
      <c r="O36" s="453"/>
      <c r="P36" s="453"/>
      <c r="Q36" s="453"/>
      <c r="R36" s="453"/>
      <c r="S36" s="453"/>
      <c r="T36" s="638"/>
      <c r="U36" s="638"/>
      <c r="V36" s="638"/>
      <c r="W36" s="638"/>
      <c r="X36" s="638"/>
      <c r="Y36" s="638"/>
      <c r="Z36" s="638"/>
      <c r="AA36" s="638"/>
      <c r="AB36" s="638"/>
      <c r="AC36" s="638"/>
      <c r="AD36" s="638"/>
      <c r="AE36" s="638"/>
      <c r="AF36" s="400"/>
      <c r="AG36" s="400"/>
      <c r="AH36" s="400"/>
      <c r="AI36" s="401"/>
      <c r="AJ36" s="107"/>
      <c r="AK36" s="920" t="str">
        <f t="shared" si="0"/>
        <v/>
      </c>
      <c r="AL36" s="921"/>
      <c r="AM36" s="921"/>
      <c r="AN36" s="921" t="str">
        <f t="shared" si="1"/>
        <v/>
      </c>
      <c r="AO36" s="921"/>
      <c r="AP36" s="921"/>
      <c r="AQ36" s="921" t="str">
        <f t="shared" si="2"/>
        <v/>
      </c>
      <c r="AR36" s="921"/>
      <c r="AS36" s="922"/>
      <c r="AT36" s="107"/>
      <c r="AU36" s="923" t="str">
        <f t="shared" si="3"/>
        <v/>
      </c>
      <c r="AV36" s="924"/>
      <c r="AW36" s="924"/>
      <c r="AX36" s="924"/>
      <c r="AY36" s="924"/>
      <c r="AZ36" s="924"/>
      <c r="BA36" s="924"/>
      <c r="BB36" s="924"/>
      <c r="BC36" s="924"/>
      <c r="BD36" s="925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</row>
    <row r="37" spans="1:106" ht="12" customHeight="1" x14ac:dyDescent="0.2">
      <c r="A37" s="926"/>
      <c r="B37" s="927"/>
      <c r="C37" s="927"/>
      <c r="D37" s="927"/>
      <c r="E37" s="927"/>
      <c r="F37" s="927"/>
      <c r="G37" s="927"/>
      <c r="H37" s="453"/>
      <c r="I37" s="453"/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638"/>
      <c r="U37" s="638"/>
      <c r="V37" s="638"/>
      <c r="W37" s="638"/>
      <c r="X37" s="638"/>
      <c r="Y37" s="638"/>
      <c r="Z37" s="638"/>
      <c r="AA37" s="638"/>
      <c r="AB37" s="638"/>
      <c r="AC37" s="638"/>
      <c r="AD37" s="638"/>
      <c r="AE37" s="638"/>
      <c r="AF37" s="400"/>
      <c r="AG37" s="400"/>
      <c r="AH37" s="400"/>
      <c r="AI37" s="401"/>
      <c r="AJ37" s="107"/>
      <c r="AK37" s="920" t="str">
        <f t="shared" si="0"/>
        <v/>
      </c>
      <c r="AL37" s="921"/>
      <c r="AM37" s="921"/>
      <c r="AN37" s="921" t="str">
        <f t="shared" si="1"/>
        <v/>
      </c>
      <c r="AO37" s="921"/>
      <c r="AP37" s="921"/>
      <c r="AQ37" s="921" t="str">
        <f t="shared" si="2"/>
        <v/>
      </c>
      <c r="AR37" s="921"/>
      <c r="AS37" s="922"/>
      <c r="AT37" s="107"/>
      <c r="AU37" s="923" t="str">
        <f t="shared" si="3"/>
        <v/>
      </c>
      <c r="AV37" s="924"/>
      <c r="AW37" s="924"/>
      <c r="AX37" s="924"/>
      <c r="AY37" s="924"/>
      <c r="AZ37" s="924"/>
      <c r="BA37" s="924"/>
      <c r="BB37" s="924"/>
      <c r="BC37" s="924"/>
      <c r="BD37" s="925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</row>
    <row r="38" spans="1:106" ht="12" customHeight="1" x14ac:dyDescent="0.2">
      <c r="A38" s="926"/>
      <c r="B38" s="927"/>
      <c r="C38" s="927"/>
      <c r="D38" s="927"/>
      <c r="E38" s="927"/>
      <c r="F38" s="927"/>
      <c r="G38" s="927"/>
      <c r="H38" s="453"/>
      <c r="I38" s="453"/>
      <c r="J38" s="453"/>
      <c r="K38" s="453"/>
      <c r="L38" s="453"/>
      <c r="M38" s="453"/>
      <c r="N38" s="453"/>
      <c r="O38" s="453"/>
      <c r="P38" s="453"/>
      <c r="Q38" s="453"/>
      <c r="R38" s="453"/>
      <c r="S38" s="453"/>
      <c r="T38" s="638"/>
      <c r="U38" s="638"/>
      <c r="V38" s="638"/>
      <c r="W38" s="638"/>
      <c r="X38" s="638"/>
      <c r="Y38" s="638"/>
      <c r="Z38" s="638"/>
      <c r="AA38" s="638"/>
      <c r="AB38" s="638"/>
      <c r="AC38" s="638"/>
      <c r="AD38" s="638"/>
      <c r="AE38" s="638"/>
      <c r="AF38" s="400"/>
      <c r="AG38" s="400"/>
      <c r="AH38" s="400"/>
      <c r="AI38" s="401"/>
      <c r="AJ38" s="107"/>
      <c r="AK38" s="920" t="str">
        <f t="shared" si="0"/>
        <v/>
      </c>
      <c r="AL38" s="921"/>
      <c r="AM38" s="921"/>
      <c r="AN38" s="921" t="str">
        <f t="shared" si="1"/>
        <v/>
      </c>
      <c r="AO38" s="921"/>
      <c r="AP38" s="921"/>
      <c r="AQ38" s="921" t="str">
        <f t="shared" si="2"/>
        <v/>
      </c>
      <c r="AR38" s="921"/>
      <c r="AS38" s="922"/>
      <c r="AT38" s="107"/>
      <c r="AU38" s="923" t="str">
        <f t="shared" si="3"/>
        <v/>
      </c>
      <c r="AV38" s="924"/>
      <c r="AW38" s="924"/>
      <c r="AX38" s="924"/>
      <c r="AY38" s="924"/>
      <c r="AZ38" s="924"/>
      <c r="BA38" s="924"/>
      <c r="BB38" s="924"/>
      <c r="BC38" s="924"/>
      <c r="BD38" s="925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</row>
    <row r="39" spans="1:106" ht="12" customHeight="1" x14ac:dyDescent="0.2">
      <c r="A39" s="926"/>
      <c r="B39" s="927"/>
      <c r="C39" s="927"/>
      <c r="D39" s="927"/>
      <c r="E39" s="927"/>
      <c r="F39" s="927"/>
      <c r="G39" s="927"/>
      <c r="H39" s="453"/>
      <c r="I39" s="453"/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638"/>
      <c r="U39" s="638"/>
      <c r="V39" s="638"/>
      <c r="W39" s="638"/>
      <c r="X39" s="638"/>
      <c r="Y39" s="638"/>
      <c r="Z39" s="638"/>
      <c r="AA39" s="638"/>
      <c r="AB39" s="638"/>
      <c r="AC39" s="638"/>
      <c r="AD39" s="638"/>
      <c r="AE39" s="638"/>
      <c r="AF39" s="400"/>
      <c r="AG39" s="400"/>
      <c r="AH39" s="400"/>
      <c r="AI39" s="401"/>
      <c r="AJ39" s="107"/>
      <c r="AK39" s="920" t="str">
        <f t="shared" si="0"/>
        <v/>
      </c>
      <c r="AL39" s="921"/>
      <c r="AM39" s="921"/>
      <c r="AN39" s="921" t="str">
        <f t="shared" si="1"/>
        <v/>
      </c>
      <c r="AO39" s="921"/>
      <c r="AP39" s="921"/>
      <c r="AQ39" s="921" t="str">
        <f t="shared" si="2"/>
        <v/>
      </c>
      <c r="AR39" s="921"/>
      <c r="AS39" s="922"/>
      <c r="AT39" s="107"/>
      <c r="AU39" s="923" t="str">
        <f t="shared" si="3"/>
        <v/>
      </c>
      <c r="AV39" s="924"/>
      <c r="AW39" s="924"/>
      <c r="AX39" s="924"/>
      <c r="AY39" s="924"/>
      <c r="AZ39" s="924"/>
      <c r="BA39" s="924"/>
      <c r="BB39" s="924"/>
      <c r="BC39" s="924"/>
      <c r="BD39" s="925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</row>
    <row r="40" spans="1:106" ht="12" customHeight="1" x14ac:dyDescent="0.2">
      <c r="A40" s="926"/>
      <c r="B40" s="927"/>
      <c r="C40" s="927"/>
      <c r="D40" s="927"/>
      <c r="E40" s="927"/>
      <c r="F40" s="927"/>
      <c r="G40" s="927"/>
      <c r="H40" s="453"/>
      <c r="I40" s="453"/>
      <c r="J40" s="453"/>
      <c r="K40" s="453"/>
      <c r="L40" s="453"/>
      <c r="M40" s="453"/>
      <c r="N40" s="453"/>
      <c r="O40" s="453"/>
      <c r="P40" s="453"/>
      <c r="Q40" s="453"/>
      <c r="R40" s="453"/>
      <c r="S40" s="453"/>
      <c r="T40" s="638"/>
      <c r="U40" s="638"/>
      <c r="V40" s="638"/>
      <c r="W40" s="638"/>
      <c r="X40" s="638"/>
      <c r="Y40" s="638"/>
      <c r="Z40" s="638"/>
      <c r="AA40" s="638"/>
      <c r="AB40" s="638"/>
      <c r="AC40" s="638"/>
      <c r="AD40" s="638"/>
      <c r="AE40" s="638"/>
      <c r="AF40" s="400"/>
      <c r="AG40" s="400"/>
      <c r="AH40" s="400"/>
      <c r="AI40" s="401"/>
      <c r="AJ40" s="107"/>
      <c r="AK40" s="920" t="str">
        <f t="shared" si="0"/>
        <v/>
      </c>
      <c r="AL40" s="921"/>
      <c r="AM40" s="921"/>
      <c r="AN40" s="921" t="str">
        <f t="shared" si="1"/>
        <v/>
      </c>
      <c r="AO40" s="921"/>
      <c r="AP40" s="921"/>
      <c r="AQ40" s="921" t="str">
        <f t="shared" si="2"/>
        <v/>
      </c>
      <c r="AR40" s="921"/>
      <c r="AS40" s="922"/>
      <c r="AT40" s="107"/>
      <c r="AU40" s="923" t="str">
        <f t="shared" si="3"/>
        <v/>
      </c>
      <c r="AV40" s="924"/>
      <c r="AW40" s="924"/>
      <c r="AX40" s="924"/>
      <c r="AY40" s="924"/>
      <c r="AZ40" s="924"/>
      <c r="BA40" s="924"/>
      <c r="BB40" s="924"/>
      <c r="BC40" s="924"/>
      <c r="BD40" s="925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</row>
    <row r="41" spans="1:106" ht="12" customHeight="1" x14ac:dyDescent="0.2">
      <c r="A41" s="926"/>
      <c r="B41" s="927"/>
      <c r="C41" s="927"/>
      <c r="D41" s="927"/>
      <c r="E41" s="927"/>
      <c r="F41" s="927"/>
      <c r="G41" s="927"/>
      <c r="H41" s="453"/>
      <c r="I41" s="453"/>
      <c r="J41" s="453"/>
      <c r="K41" s="453"/>
      <c r="L41" s="453"/>
      <c r="M41" s="453"/>
      <c r="N41" s="453"/>
      <c r="O41" s="453"/>
      <c r="P41" s="453"/>
      <c r="Q41" s="453"/>
      <c r="R41" s="453"/>
      <c r="S41" s="453"/>
      <c r="T41" s="638"/>
      <c r="U41" s="638"/>
      <c r="V41" s="638"/>
      <c r="W41" s="638"/>
      <c r="X41" s="638"/>
      <c r="Y41" s="638"/>
      <c r="Z41" s="638"/>
      <c r="AA41" s="638"/>
      <c r="AB41" s="638"/>
      <c r="AC41" s="638"/>
      <c r="AD41" s="638"/>
      <c r="AE41" s="638"/>
      <c r="AF41" s="400"/>
      <c r="AG41" s="400"/>
      <c r="AH41" s="400"/>
      <c r="AI41" s="401"/>
      <c r="AJ41" s="107"/>
      <c r="AK41" s="920" t="str">
        <f t="shared" si="0"/>
        <v/>
      </c>
      <c r="AL41" s="921"/>
      <c r="AM41" s="921"/>
      <c r="AN41" s="921" t="str">
        <f t="shared" si="1"/>
        <v/>
      </c>
      <c r="AO41" s="921"/>
      <c r="AP41" s="921"/>
      <c r="AQ41" s="921" t="str">
        <f t="shared" si="2"/>
        <v/>
      </c>
      <c r="AR41" s="921"/>
      <c r="AS41" s="922"/>
      <c r="AT41" s="107"/>
      <c r="AU41" s="923" t="str">
        <f t="shared" si="3"/>
        <v/>
      </c>
      <c r="AV41" s="924"/>
      <c r="AW41" s="924"/>
      <c r="AX41" s="924"/>
      <c r="AY41" s="924"/>
      <c r="AZ41" s="924"/>
      <c r="BA41" s="924"/>
      <c r="BB41" s="924"/>
      <c r="BC41" s="924"/>
      <c r="BD41" s="925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</row>
    <row r="42" spans="1:106" ht="12" customHeight="1" x14ac:dyDescent="0.2">
      <c r="A42" s="926"/>
      <c r="B42" s="927"/>
      <c r="C42" s="927"/>
      <c r="D42" s="927"/>
      <c r="E42" s="927"/>
      <c r="F42" s="927"/>
      <c r="G42" s="927"/>
      <c r="H42" s="453"/>
      <c r="I42" s="453"/>
      <c r="J42" s="453"/>
      <c r="K42" s="453"/>
      <c r="L42" s="453"/>
      <c r="M42" s="453"/>
      <c r="N42" s="453"/>
      <c r="O42" s="453"/>
      <c r="P42" s="453"/>
      <c r="Q42" s="453"/>
      <c r="R42" s="453"/>
      <c r="S42" s="453"/>
      <c r="T42" s="638"/>
      <c r="U42" s="638"/>
      <c r="V42" s="638"/>
      <c r="W42" s="638"/>
      <c r="X42" s="638"/>
      <c r="Y42" s="638"/>
      <c r="Z42" s="638"/>
      <c r="AA42" s="638"/>
      <c r="AB42" s="638"/>
      <c r="AC42" s="638"/>
      <c r="AD42" s="638"/>
      <c r="AE42" s="638"/>
      <c r="AF42" s="400"/>
      <c r="AG42" s="400"/>
      <c r="AH42" s="400"/>
      <c r="AI42" s="401"/>
      <c r="AJ42" s="107"/>
      <c r="AK42" s="920" t="str">
        <f t="shared" si="0"/>
        <v/>
      </c>
      <c r="AL42" s="921"/>
      <c r="AM42" s="921"/>
      <c r="AN42" s="921" t="str">
        <f t="shared" si="1"/>
        <v/>
      </c>
      <c r="AO42" s="921"/>
      <c r="AP42" s="921"/>
      <c r="AQ42" s="921" t="str">
        <f t="shared" si="2"/>
        <v/>
      </c>
      <c r="AR42" s="921"/>
      <c r="AS42" s="922"/>
      <c r="AT42" s="107"/>
      <c r="AU42" s="923" t="str">
        <f t="shared" si="3"/>
        <v/>
      </c>
      <c r="AV42" s="924"/>
      <c r="AW42" s="924"/>
      <c r="AX42" s="924"/>
      <c r="AY42" s="924"/>
      <c r="AZ42" s="924"/>
      <c r="BA42" s="924"/>
      <c r="BB42" s="924"/>
      <c r="BC42" s="924"/>
      <c r="BD42" s="925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7"/>
      <c r="CP42" s="107"/>
      <c r="CQ42" s="107"/>
      <c r="CR42" s="107"/>
      <c r="CS42" s="107"/>
      <c r="CT42" s="107"/>
      <c r="CU42" s="107"/>
      <c r="CV42" s="107"/>
      <c r="CW42" s="107"/>
      <c r="CX42" s="107"/>
      <c r="CY42" s="107"/>
      <c r="CZ42" s="107"/>
      <c r="DA42" s="107"/>
      <c r="DB42" s="107"/>
    </row>
    <row r="43" spans="1:106" ht="12" customHeight="1" x14ac:dyDescent="0.2">
      <c r="A43" s="926"/>
      <c r="B43" s="927"/>
      <c r="C43" s="927"/>
      <c r="D43" s="927"/>
      <c r="E43" s="927"/>
      <c r="F43" s="927"/>
      <c r="G43" s="927"/>
      <c r="H43" s="453"/>
      <c r="I43" s="453"/>
      <c r="J43" s="453"/>
      <c r="K43" s="453"/>
      <c r="L43" s="453"/>
      <c r="M43" s="453"/>
      <c r="N43" s="453"/>
      <c r="O43" s="453"/>
      <c r="P43" s="453"/>
      <c r="Q43" s="453"/>
      <c r="R43" s="453"/>
      <c r="S43" s="453"/>
      <c r="T43" s="638"/>
      <c r="U43" s="638"/>
      <c r="V43" s="638"/>
      <c r="W43" s="638"/>
      <c r="X43" s="638"/>
      <c r="Y43" s="638"/>
      <c r="Z43" s="638"/>
      <c r="AA43" s="638"/>
      <c r="AB43" s="638"/>
      <c r="AC43" s="638"/>
      <c r="AD43" s="638"/>
      <c r="AE43" s="638"/>
      <c r="AF43" s="400"/>
      <c r="AG43" s="400"/>
      <c r="AH43" s="400"/>
      <c r="AI43" s="401"/>
      <c r="AJ43" s="107"/>
      <c r="AK43" s="920" t="str">
        <f t="shared" si="0"/>
        <v/>
      </c>
      <c r="AL43" s="921"/>
      <c r="AM43" s="921"/>
      <c r="AN43" s="921" t="str">
        <f t="shared" si="1"/>
        <v/>
      </c>
      <c r="AO43" s="921"/>
      <c r="AP43" s="921"/>
      <c r="AQ43" s="921" t="str">
        <f t="shared" si="2"/>
        <v/>
      </c>
      <c r="AR43" s="921"/>
      <c r="AS43" s="922"/>
      <c r="AT43" s="107"/>
      <c r="AU43" s="923" t="str">
        <f t="shared" si="3"/>
        <v/>
      </c>
      <c r="AV43" s="924"/>
      <c r="AW43" s="924"/>
      <c r="AX43" s="924"/>
      <c r="AY43" s="924"/>
      <c r="AZ43" s="924"/>
      <c r="BA43" s="924"/>
      <c r="BB43" s="924"/>
      <c r="BC43" s="924"/>
      <c r="BD43" s="925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</row>
    <row r="44" spans="1:106" ht="12" customHeight="1" x14ac:dyDescent="0.2">
      <c r="A44" s="926"/>
      <c r="B44" s="927"/>
      <c r="C44" s="927"/>
      <c r="D44" s="927"/>
      <c r="E44" s="927"/>
      <c r="F44" s="927"/>
      <c r="G44" s="927"/>
      <c r="H44" s="453"/>
      <c r="I44" s="453"/>
      <c r="J44" s="453"/>
      <c r="K44" s="453"/>
      <c r="L44" s="453"/>
      <c r="M44" s="453"/>
      <c r="N44" s="453"/>
      <c r="O44" s="453"/>
      <c r="P44" s="453"/>
      <c r="Q44" s="453"/>
      <c r="R44" s="453"/>
      <c r="S44" s="453"/>
      <c r="T44" s="638"/>
      <c r="U44" s="638"/>
      <c r="V44" s="638"/>
      <c r="W44" s="638"/>
      <c r="X44" s="638"/>
      <c r="Y44" s="638"/>
      <c r="Z44" s="638"/>
      <c r="AA44" s="638"/>
      <c r="AB44" s="638"/>
      <c r="AC44" s="638"/>
      <c r="AD44" s="638"/>
      <c r="AE44" s="638"/>
      <c r="AF44" s="400"/>
      <c r="AG44" s="400"/>
      <c r="AH44" s="400"/>
      <c r="AI44" s="401"/>
      <c r="AJ44" s="107"/>
      <c r="AK44" s="920" t="str">
        <f t="shared" si="0"/>
        <v/>
      </c>
      <c r="AL44" s="921"/>
      <c r="AM44" s="921"/>
      <c r="AN44" s="921" t="str">
        <f t="shared" si="1"/>
        <v/>
      </c>
      <c r="AO44" s="921"/>
      <c r="AP44" s="921"/>
      <c r="AQ44" s="921" t="str">
        <f t="shared" si="2"/>
        <v/>
      </c>
      <c r="AR44" s="921"/>
      <c r="AS44" s="922"/>
      <c r="AT44" s="107"/>
      <c r="AU44" s="923" t="str">
        <f t="shared" si="3"/>
        <v/>
      </c>
      <c r="AV44" s="924"/>
      <c r="AW44" s="924"/>
      <c r="AX44" s="924"/>
      <c r="AY44" s="924"/>
      <c r="AZ44" s="924"/>
      <c r="BA44" s="924"/>
      <c r="BB44" s="924"/>
      <c r="BC44" s="924"/>
      <c r="BD44" s="925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</row>
    <row r="45" spans="1:106" ht="12" customHeight="1" x14ac:dyDescent="0.2">
      <c r="A45" s="926"/>
      <c r="B45" s="927"/>
      <c r="C45" s="927"/>
      <c r="D45" s="927"/>
      <c r="E45" s="927"/>
      <c r="F45" s="927"/>
      <c r="G45" s="927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53"/>
      <c r="S45" s="453"/>
      <c r="T45" s="638"/>
      <c r="U45" s="638"/>
      <c r="V45" s="638"/>
      <c r="W45" s="638"/>
      <c r="X45" s="638"/>
      <c r="Y45" s="638"/>
      <c r="Z45" s="638"/>
      <c r="AA45" s="638"/>
      <c r="AB45" s="638"/>
      <c r="AC45" s="638"/>
      <c r="AD45" s="638"/>
      <c r="AE45" s="638"/>
      <c r="AF45" s="400"/>
      <c r="AG45" s="400"/>
      <c r="AH45" s="400"/>
      <c r="AI45" s="401"/>
      <c r="AJ45" s="107"/>
      <c r="AK45" s="920" t="str">
        <f t="shared" si="0"/>
        <v/>
      </c>
      <c r="AL45" s="921"/>
      <c r="AM45" s="921"/>
      <c r="AN45" s="921" t="str">
        <f t="shared" si="1"/>
        <v/>
      </c>
      <c r="AO45" s="921"/>
      <c r="AP45" s="921"/>
      <c r="AQ45" s="921" t="str">
        <f t="shared" si="2"/>
        <v/>
      </c>
      <c r="AR45" s="921"/>
      <c r="AS45" s="922"/>
      <c r="AT45" s="107"/>
      <c r="AU45" s="923" t="str">
        <f t="shared" si="3"/>
        <v/>
      </c>
      <c r="AV45" s="924"/>
      <c r="AW45" s="924"/>
      <c r="AX45" s="924"/>
      <c r="AY45" s="924"/>
      <c r="AZ45" s="924"/>
      <c r="BA45" s="924"/>
      <c r="BB45" s="924"/>
      <c r="BC45" s="924"/>
      <c r="BD45" s="925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</row>
    <row r="46" spans="1:106" ht="12" customHeight="1" x14ac:dyDescent="0.2">
      <c r="A46" s="926"/>
      <c r="B46" s="927"/>
      <c r="C46" s="927"/>
      <c r="D46" s="927"/>
      <c r="E46" s="927"/>
      <c r="F46" s="927"/>
      <c r="G46" s="927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638"/>
      <c r="U46" s="638"/>
      <c r="V46" s="638"/>
      <c r="W46" s="638"/>
      <c r="X46" s="638"/>
      <c r="Y46" s="638"/>
      <c r="Z46" s="638"/>
      <c r="AA46" s="638"/>
      <c r="AB46" s="638"/>
      <c r="AC46" s="638"/>
      <c r="AD46" s="638"/>
      <c r="AE46" s="638"/>
      <c r="AF46" s="400"/>
      <c r="AG46" s="400"/>
      <c r="AH46" s="400"/>
      <c r="AI46" s="401"/>
      <c r="AJ46" s="107"/>
      <c r="AK46" s="920" t="str">
        <f t="shared" si="0"/>
        <v/>
      </c>
      <c r="AL46" s="921"/>
      <c r="AM46" s="921"/>
      <c r="AN46" s="921" t="str">
        <f t="shared" si="1"/>
        <v/>
      </c>
      <c r="AO46" s="921"/>
      <c r="AP46" s="921"/>
      <c r="AQ46" s="921" t="str">
        <f t="shared" si="2"/>
        <v/>
      </c>
      <c r="AR46" s="921"/>
      <c r="AS46" s="922"/>
      <c r="AT46" s="107"/>
      <c r="AU46" s="923" t="str">
        <f t="shared" si="3"/>
        <v/>
      </c>
      <c r="AV46" s="924"/>
      <c r="AW46" s="924"/>
      <c r="AX46" s="924"/>
      <c r="AY46" s="924"/>
      <c r="AZ46" s="924"/>
      <c r="BA46" s="924"/>
      <c r="BB46" s="924"/>
      <c r="BC46" s="924"/>
      <c r="BD46" s="925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  <c r="CI46" s="107"/>
      <c r="CJ46" s="107"/>
      <c r="CK46" s="107"/>
      <c r="CL46" s="107"/>
      <c r="CM46" s="107"/>
      <c r="CN46" s="107"/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B46" s="107"/>
    </row>
    <row r="47" spans="1:106" ht="12" customHeight="1" x14ac:dyDescent="0.2">
      <c r="A47" s="926"/>
      <c r="B47" s="927"/>
      <c r="C47" s="927"/>
      <c r="D47" s="927"/>
      <c r="E47" s="927"/>
      <c r="F47" s="927"/>
      <c r="G47" s="927"/>
      <c r="H47" s="453"/>
      <c r="I47" s="453"/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638"/>
      <c r="U47" s="638"/>
      <c r="V47" s="638"/>
      <c r="W47" s="638"/>
      <c r="X47" s="638"/>
      <c r="Y47" s="638"/>
      <c r="Z47" s="638"/>
      <c r="AA47" s="638"/>
      <c r="AB47" s="638"/>
      <c r="AC47" s="638"/>
      <c r="AD47" s="638"/>
      <c r="AE47" s="638"/>
      <c r="AF47" s="400"/>
      <c r="AG47" s="400"/>
      <c r="AH47" s="400"/>
      <c r="AI47" s="401"/>
      <c r="AJ47" s="107"/>
      <c r="AK47" s="920" t="str">
        <f t="shared" si="0"/>
        <v/>
      </c>
      <c r="AL47" s="921"/>
      <c r="AM47" s="921"/>
      <c r="AN47" s="921" t="str">
        <f t="shared" si="1"/>
        <v/>
      </c>
      <c r="AO47" s="921"/>
      <c r="AP47" s="921"/>
      <c r="AQ47" s="921" t="str">
        <f t="shared" si="2"/>
        <v/>
      </c>
      <c r="AR47" s="921"/>
      <c r="AS47" s="922"/>
      <c r="AT47" s="107"/>
      <c r="AU47" s="923" t="str">
        <f t="shared" si="3"/>
        <v/>
      </c>
      <c r="AV47" s="924"/>
      <c r="AW47" s="924"/>
      <c r="AX47" s="924"/>
      <c r="AY47" s="924"/>
      <c r="AZ47" s="924"/>
      <c r="BA47" s="924"/>
      <c r="BB47" s="924"/>
      <c r="BC47" s="924"/>
      <c r="BD47" s="925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  <c r="BV47" s="107"/>
      <c r="BW47" s="107"/>
      <c r="BX47" s="107"/>
      <c r="BY47" s="107"/>
      <c r="BZ47" s="107"/>
      <c r="CA47" s="107"/>
      <c r="CB47" s="107"/>
      <c r="CC47" s="107"/>
      <c r="CD47" s="107"/>
      <c r="CE47" s="107"/>
      <c r="CF47" s="107"/>
      <c r="CG47" s="107"/>
      <c r="CH47" s="107"/>
      <c r="CI47" s="107"/>
      <c r="CJ47" s="107"/>
      <c r="CK47" s="107"/>
      <c r="CL47" s="107"/>
      <c r="CM47" s="107"/>
      <c r="CN47" s="107"/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B47" s="107"/>
    </row>
    <row r="48" spans="1:106" ht="12" customHeight="1" x14ac:dyDescent="0.2">
      <c r="A48" s="926"/>
      <c r="B48" s="927"/>
      <c r="C48" s="927"/>
      <c r="D48" s="927"/>
      <c r="E48" s="927"/>
      <c r="F48" s="927"/>
      <c r="G48" s="927"/>
      <c r="H48" s="453"/>
      <c r="I48" s="453"/>
      <c r="J48" s="453"/>
      <c r="K48" s="453"/>
      <c r="L48" s="453"/>
      <c r="M48" s="453"/>
      <c r="N48" s="453"/>
      <c r="O48" s="453"/>
      <c r="P48" s="453"/>
      <c r="Q48" s="453"/>
      <c r="R48" s="453"/>
      <c r="S48" s="453"/>
      <c r="T48" s="638"/>
      <c r="U48" s="638"/>
      <c r="V48" s="638"/>
      <c r="W48" s="638"/>
      <c r="X48" s="638"/>
      <c r="Y48" s="638"/>
      <c r="Z48" s="638"/>
      <c r="AA48" s="638"/>
      <c r="AB48" s="638"/>
      <c r="AC48" s="638"/>
      <c r="AD48" s="638"/>
      <c r="AE48" s="638"/>
      <c r="AF48" s="400"/>
      <c r="AG48" s="400"/>
      <c r="AH48" s="400"/>
      <c r="AI48" s="401"/>
      <c r="AJ48" s="107"/>
      <c r="AK48" s="920" t="str">
        <f t="shared" si="0"/>
        <v/>
      </c>
      <c r="AL48" s="921"/>
      <c r="AM48" s="921"/>
      <c r="AN48" s="921" t="str">
        <f t="shared" si="1"/>
        <v/>
      </c>
      <c r="AO48" s="921"/>
      <c r="AP48" s="921"/>
      <c r="AQ48" s="921" t="str">
        <f t="shared" si="2"/>
        <v/>
      </c>
      <c r="AR48" s="921"/>
      <c r="AS48" s="922"/>
      <c r="AT48" s="107"/>
      <c r="AU48" s="923" t="str">
        <f t="shared" si="3"/>
        <v/>
      </c>
      <c r="AV48" s="924"/>
      <c r="AW48" s="924"/>
      <c r="AX48" s="924"/>
      <c r="AY48" s="924"/>
      <c r="AZ48" s="924"/>
      <c r="BA48" s="924"/>
      <c r="BB48" s="924"/>
      <c r="BC48" s="924"/>
      <c r="BD48" s="925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  <c r="CJ48" s="107"/>
      <c r="CK48" s="107"/>
      <c r="CL48" s="107"/>
      <c r="CM48" s="107"/>
      <c r="CN48" s="107"/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B48" s="107"/>
    </row>
    <row r="49" spans="1:106" ht="12" customHeight="1" x14ac:dyDescent="0.2">
      <c r="A49" s="926"/>
      <c r="B49" s="927"/>
      <c r="C49" s="927"/>
      <c r="D49" s="927"/>
      <c r="E49" s="927"/>
      <c r="F49" s="927"/>
      <c r="G49" s="927"/>
      <c r="H49" s="453"/>
      <c r="I49" s="453"/>
      <c r="J49" s="453"/>
      <c r="K49" s="453"/>
      <c r="L49" s="453"/>
      <c r="M49" s="453"/>
      <c r="N49" s="453"/>
      <c r="O49" s="453"/>
      <c r="P49" s="453"/>
      <c r="Q49" s="453"/>
      <c r="R49" s="453"/>
      <c r="S49" s="453"/>
      <c r="T49" s="638"/>
      <c r="U49" s="638"/>
      <c r="V49" s="638"/>
      <c r="W49" s="638"/>
      <c r="X49" s="638"/>
      <c r="Y49" s="638"/>
      <c r="Z49" s="638"/>
      <c r="AA49" s="638"/>
      <c r="AB49" s="638"/>
      <c r="AC49" s="638"/>
      <c r="AD49" s="638"/>
      <c r="AE49" s="638"/>
      <c r="AF49" s="400"/>
      <c r="AG49" s="400"/>
      <c r="AH49" s="400"/>
      <c r="AI49" s="401"/>
      <c r="AJ49" s="107"/>
      <c r="AK49" s="920" t="str">
        <f t="shared" si="0"/>
        <v/>
      </c>
      <c r="AL49" s="921"/>
      <c r="AM49" s="921"/>
      <c r="AN49" s="921" t="str">
        <f t="shared" si="1"/>
        <v/>
      </c>
      <c r="AO49" s="921"/>
      <c r="AP49" s="921"/>
      <c r="AQ49" s="921" t="str">
        <f t="shared" si="2"/>
        <v/>
      </c>
      <c r="AR49" s="921"/>
      <c r="AS49" s="922"/>
      <c r="AT49" s="107"/>
      <c r="AU49" s="923" t="str">
        <f t="shared" si="3"/>
        <v/>
      </c>
      <c r="AV49" s="924"/>
      <c r="AW49" s="924"/>
      <c r="AX49" s="924"/>
      <c r="AY49" s="924"/>
      <c r="AZ49" s="924"/>
      <c r="BA49" s="924"/>
      <c r="BB49" s="924"/>
      <c r="BC49" s="924"/>
      <c r="BD49" s="925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  <c r="BV49" s="107"/>
      <c r="BW49" s="107"/>
      <c r="BX49" s="107"/>
      <c r="BY49" s="107"/>
      <c r="BZ49" s="107"/>
      <c r="CA49" s="107"/>
      <c r="CB49" s="107"/>
      <c r="CC49" s="107"/>
      <c r="CD49" s="107"/>
      <c r="CE49" s="107"/>
      <c r="CF49" s="107"/>
      <c r="CG49" s="107"/>
      <c r="CH49" s="107"/>
      <c r="CI49" s="107"/>
      <c r="CJ49" s="107"/>
      <c r="CK49" s="107"/>
      <c r="CL49" s="107"/>
      <c r="CM49" s="107"/>
      <c r="CN49" s="107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B49" s="107"/>
    </row>
    <row r="50" spans="1:106" ht="12" customHeight="1" x14ac:dyDescent="0.2">
      <c r="A50" s="926"/>
      <c r="B50" s="927"/>
      <c r="C50" s="927"/>
      <c r="D50" s="927"/>
      <c r="E50" s="927"/>
      <c r="F50" s="927"/>
      <c r="G50" s="927"/>
      <c r="H50" s="453"/>
      <c r="I50" s="453"/>
      <c r="J50" s="453"/>
      <c r="K50" s="453"/>
      <c r="L50" s="453"/>
      <c r="M50" s="453"/>
      <c r="N50" s="453"/>
      <c r="O50" s="453"/>
      <c r="P50" s="453"/>
      <c r="Q50" s="453"/>
      <c r="R50" s="453"/>
      <c r="S50" s="453"/>
      <c r="T50" s="638"/>
      <c r="U50" s="638"/>
      <c r="V50" s="638"/>
      <c r="W50" s="638"/>
      <c r="X50" s="638"/>
      <c r="Y50" s="638"/>
      <c r="Z50" s="638"/>
      <c r="AA50" s="638"/>
      <c r="AB50" s="638"/>
      <c r="AC50" s="638"/>
      <c r="AD50" s="638"/>
      <c r="AE50" s="638"/>
      <c r="AF50" s="400"/>
      <c r="AG50" s="400"/>
      <c r="AH50" s="400"/>
      <c r="AI50" s="401"/>
      <c r="AJ50" s="107"/>
      <c r="AK50" s="920" t="str">
        <f t="shared" si="0"/>
        <v/>
      </c>
      <c r="AL50" s="921"/>
      <c r="AM50" s="921"/>
      <c r="AN50" s="921" t="str">
        <f t="shared" si="1"/>
        <v/>
      </c>
      <c r="AO50" s="921"/>
      <c r="AP50" s="921"/>
      <c r="AQ50" s="921" t="str">
        <f t="shared" si="2"/>
        <v/>
      </c>
      <c r="AR50" s="921"/>
      <c r="AS50" s="922"/>
      <c r="AT50" s="107"/>
      <c r="AU50" s="923" t="str">
        <f t="shared" si="3"/>
        <v/>
      </c>
      <c r="AV50" s="924"/>
      <c r="AW50" s="924"/>
      <c r="AX50" s="924"/>
      <c r="AY50" s="924"/>
      <c r="AZ50" s="924"/>
      <c r="BA50" s="924"/>
      <c r="BB50" s="924"/>
      <c r="BC50" s="924"/>
      <c r="BD50" s="925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107"/>
      <c r="CH50" s="107"/>
      <c r="CI50" s="107"/>
      <c r="CJ50" s="107"/>
      <c r="CK50" s="107"/>
      <c r="CL50" s="107"/>
      <c r="CM50" s="107"/>
      <c r="CN50" s="107"/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B50" s="107"/>
    </row>
    <row r="51" spans="1:106" ht="12" customHeight="1" x14ac:dyDescent="0.2">
      <c r="A51" s="926"/>
      <c r="B51" s="927"/>
      <c r="C51" s="927"/>
      <c r="D51" s="927"/>
      <c r="E51" s="927"/>
      <c r="F51" s="927"/>
      <c r="G51" s="927"/>
      <c r="H51" s="453"/>
      <c r="I51" s="453"/>
      <c r="J51" s="453"/>
      <c r="K51" s="453"/>
      <c r="L51" s="453"/>
      <c r="M51" s="453"/>
      <c r="N51" s="453"/>
      <c r="O51" s="453"/>
      <c r="P51" s="453"/>
      <c r="Q51" s="453"/>
      <c r="R51" s="453"/>
      <c r="S51" s="453"/>
      <c r="T51" s="638"/>
      <c r="U51" s="638"/>
      <c r="V51" s="638"/>
      <c r="W51" s="638"/>
      <c r="X51" s="638"/>
      <c r="Y51" s="638"/>
      <c r="Z51" s="638"/>
      <c r="AA51" s="638"/>
      <c r="AB51" s="638"/>
      <c r="AC51" s="638"/>
      <c r="AD51" s="638"/>
      <c r="AE51" s="638"/>
      <c r="AF51" s="400"/>
      <c r="AG51" s="400"/>
      <c r="AH51" s="400"/>
      <c r="AI51" s="401"/>
      <c r="AJ51" s="107"/>
      <c r="AK51" s="920" t="str">
        <f t="shared" si="0"/>
        <v/>
      </c>
      <c r="AL51" s="921"/>
      <c r="AM51" s="921"/>
      <c r="AN51" s="921" t="str">
        <f t="shared" si="1"/>
        <v/>
      </c>
      <c r="AO51" s="921"/>
      <c r="AP51" s="921"/>
      <c r="AQ51" s="921" t="str">
        <f t="shared" si="2"/>
        <v/>
      </c>
      <c r="AR51" s="921"/>
      <c r="AS51" s="922"/>
      <c r="AT51" s="107"/>
      <c r="AU51" s="923" t="str">
        <f t="shared" si="3"/>
        <v/>
      </c>
      <c r="AV51" s="924"/>
      <c r="AW51" s="924"/>
      <c r="AX51" s="924"/>
      <c r="AY51" s="924"/>
      <c r="AZ51" s="924"/>
      <c r="BA51" s="924"/>
      <c r="BB51" s="924"/>
      <c r="BC51" s="924"/>
      <c r="BD51" s="925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</row>
    <row r="52" spans="1:106" ht="12" customHeight="1" x14ac:dyDescent="0.2">
      <c r="A52" s="926"/>
      <c r="B52" s="927"/>
      <c r="C52" s="927"/>
      <c r="D52" s="927"/>
      <c r="E52" s="927"/>
      <c r="F52" s="927"/>
      <c r="G52" s="927"/>
      <c r="H52" s="453"/>
      <c r="I52" s="453"/>
      <c r="J52" s="453"/>
      <c r="K52" s="453"/>
      <c r="L52" s="453"/>
      <c r="M52" s="453"/>
      <c r="N52" s="453"/>
      <c r="O52" s="453"/>
      <c r="P52" s="453"/>
      <c r="Q52" s="453"/>
      <c r="R52" s="453"/>
      <c r="S52" s="453"/>
      <c r="T52" s="638"/>
      <c r="U52" s="638"/>
      <c r="V52" s="638"/>
      <c r="W52" s="638"/>
      <c r="X52" s="638"/>
      <c r="Y52" s="638"/>
      <c r="Z52" s="638"/>
      <c r="AA52" s="638"/>
      <c r="AB52" s="638"/>
      <c r="AC52" s="638"/>
      <c r="AD52" s="638"/>
      <c r="AE52" s="638"/>
      <c r="AF52" s="400"/>
      <c r="AG52" s="400"/>
      <c r="AH52" s="400"/>
      <c r="AI52" s="401"/>
      <c r="AJ52" s="107"/>
      <c r="AK52" s="920" t="str">
        <f t="shared" si="0"/>
        <v/>
      </c>
      <c r="AL52" s="921"/>
      <c r="AM52" s="921"/>
      <c r="AN52" s="921" t="str">
        <f t="shared" si="1"/>
        <v/>
      </c>
      <c r="AO52" s="921"/>
      <c r="AP52" s="921"/>
      <c r="AQ52" s="921" t="str">
        <f t="shared" si="2"/>
        <v/>
      </c>
      <c r="AR52" s="921"/>
      <c r="AS52" s="922"/>
      <c r="AT52" s="107"/>
      <c r="AU52" s="923" t="str">
        <f t="shared" si="3"/>
        <v/>
      </c>
      <c r="AV52" s="924"/>
      <c r="AW52" s="924"/>
      <c r="AX52" s="924"/>
      <c r="AY52" s="924"/>
      <c r="AZ52" s="924"/>
      <c r="BA52" s="924"/>
      <c r="BB52" s="924"/>
      <c r="BC52" s="924"/>
      <c r="BD52" s="925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B52" s="107"/>
    </row>
    <row r="53" spans="1:106" ht="12" customHeight="1" thickBot="1" x14ac:dyDescent="0.25">
      <c r="A53" s="618" t="s">
        <v>379</v>
      </c>
      <c r="B53" s="619"/>
      <c r="C53" s="619"/>
      <c r="D53" s="619"/>
      <c r="E53" s="619"/>
      <c r="F53" s="619"/>
      <c r="G53" s="619"/>
      <c r="H53" s="619"/>
      <c r="I53" s="619"/>
      <c r="J53" s="619"/>
      <c r="K53" s="619"/>
      <c r="L53" s="619"/>
      <c r="M53" s="619"/>
      <c r="N53" s="619"/>
      <c r="O53" s="619"/>
      <c r="P53" s="619"/>
      <c r="Q53" s="350" t="str">
        <f>IF(SUM(Q33:S52)&lt;&gt;0,SUM(Q33:S52),"")</f>
        <v/>
      </c>
      <c r="R53" s="350"/>
      <c r="S53" s="350"/>
      <c r="T53" s="350" t="str">
        <f>IF(SUM(T33:V52)&lt;&gt;0,SUM(T33:V52),"")</f>
        <v/>
      </c>
      <c r="U53" s="350"/>
      <c r="V53" s="350"/>
      <c r="W53" s="350" t="str">
        <f>IF(SUM(W33:Y52)&lt;&gt;0,SUM(W33:Y52),"")</f>
        <v/>
      </c>
      <c r="X53" s="350"/>
      <c r="Y53" s="350"/>
      <c r="Z53" s="350" t="str">
        <f>IF(SUM(Z33:AB52)&lt;&gt;0,SUM(Z33:AB52),"")</f>
        <v/>
      </c>
      <c r="AA53" s="350"/>
      <c r="AB53" s="350"/>
      <c r="AC53" s="350" t="str">
        <f>IF(SUM(AC33:AE52)&lt;&gt;0,SUM(AC33:AE52),"")</f>
        <v/>
      </c>
      <c r="AD53" s="350"/>
      <c r="AE53" s="350"/>
      <c r="AF53" s="616"/>
      <c r="AG53" s="616"/>
      <c r="AH53" s="616"/>
      <c r="AI53" s="617"/>
      <c r="AJ53" s="107"/>
      <c r="AK53" s="912" t="str">
        <f>IFERROR((T53/Q53),"")</f>
        <v/>
      </c>
      <c r="AL53" s="913"/>
      <c r="AM53" s="914"/>
      <c r="AN53" s="915"/>
      <c r="AO53" s="915"/>
      <c r="AP53" s="915"/>
      <c r="AQ53" s="915"/>
      <c r="AR53" s="915"/>
      <c r="AS53" s="916"/>
      <c r="AT53" s="107"/>
      <c r="AU53" s="917" t="str">
        <f t="shared" si="3"/>
        <v/>
      </c>
      <c r="AV53" s="918"/>
      <c r="AW53" s="918"/>
      <c r="AX53" s="918"/>
      <c r="AY53" s="918"/>
      <c r="AZ53" s="918"/>
      <c r="BA53" s="918"/>
      <c r="BB53" s="918"/>
      <c r="BC53" s="918"/>
      <c r="BD53" s="919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7"/>
      <c r="BX53" s="107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7"/>
      <c r="CJ53" s="107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B53" s="107"/>
    </row>
    <row r="54" spans="1:106" ht="12" customHeight="1" x14ac:dyDescent="0.2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  <c r="BV54" s="107"/>
      <c r="BW54" s="107"/>
      <c r="BX54" s="107"/>
      <c r="BY54" s="107"/>
      <c r="BZ54" s="107"/>
      <c r="CA54" s="107"/>
      <c r="CB54" s="107"/>
      <c r="CC54" s="107"/>
      <c r="CD54" s="107"/>
      <c r="CE54" s="107"/>
      <c r="CF54" s="107"/>
      <c r="CG54" s="107"/>
      <c r="CH54" s="107"/>
      <c r="CI54" s="107"/>
      <c r="CJ54" s="107"/>
      <c r="CK54" s="107"/>
      <c r="CL54" s="107"/>
      <c r="CM54" s="107"/>
      <c r="CN54" s="107"/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B54" s="107"/>
    </row>
    <row r="55" spans="1:106" ht="12" customHeight="1" x14ac:dyDescent="0.2">
      <c r="A55" s="42" t="s">
        <v>262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7"/>
      <c r="BX55" s="107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7"/>
      <c r="CJ55" s="107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B55" s="107"/>
    </row>
    <row r="56" spans="1:106" ht="12" customHeight="1" x14ac:dyDescent="0.2">
      <c r="A56" s="84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  <c r="BV56" s="107"/>
      <c r="BW56" s="107"/>
      <c r="BX56" s="107"/>
      <c r="BY56" s="107"/>
      <c r="BZ56" s="107"/>
      <c r="CA56" s="107"/>
      <c r="CB56" s="107"/>
      <c r="CC56" s="107"/>
      <c r="CD56" s="107"/>
      <c r="CE56" s="107"/>
      <c r="CF56" s="107"/>
      <c r="CG56" s="107"/>
      <c r="CH56" s="107"/>
      <c r="CI56" s="107"/>
      <c r="CJ56" s="107"/>
      <c r="CK56" s="107"/>
      <c r="CL56" s="107"/>
      <c r="CM56" s="107"/>
      <c r="CN56" s="107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B56" s="107"/>
    </row>
    <row r="57" spans="1:106" ht="12" customHeight="1" x14ac:dyDescent="0.2">
      <c r="A57" s="84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107"/>
      <c r="CA57" s="107"/>
      <c r="CB57" s="107"/>
      <c r="CC57" s="107"/>
      <c r="CD57" s="107"/>
      <c r="CE57" s="107"/>
      <c r="CF57" s="107"/>
      <c r="CG57" s="107"/>
      <c r="CH57" s="107"/>
      <c r="CI57" s="107"/>
      <c r="CJ57" s="107"/>
      <c r="CK57" s="107"/>
      <c r="CL57" s="107"/>
      <c r="CM57" s="107"/>
      <c r="CN57" s="107"/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B57" s="107"/>
    </row>
    <row r="58" spans="1:106" ht="12" customHeight="1" x14ac:dyDescent="0.2">
      <c r="A58" s="84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  <c r="CG58" s="107"/>
      <c r="CH58" s="107"/>
      <c r="CI58" s="107"/>
      <c r="CJ58" s="107"/>
      <c r="CK58" s="107"/>
      <c r="CL58" s="107"/>
      <c r="CM58" s="107"/>
      <c r="CN58" s="107"/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B58" s="107"/>
    </row>
    <row r="59" spans="1:106" ht="12" customHeight="1" x14ac:dyDescent="0.2">
      <c r="A59" s="84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  <c r="BV59" s="107"/>
      <c r="BW59" s="107"/>
      <c r="BX59" s="107"/>
      <c r="BY59" s="107"/>
      <c r="BZ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B59" s="107"/>
    </row>
    <row r="60" spans="1:106" ht="12" customHeight="1" x14ac:dyDescent="0.2">
      <c r="A60" s="84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B60" s="107"/>
    </row>
    <row r="61" spans="1:106" ht="12" customHeight="1" x14ac:dyDescent="0.2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B61" s="107"/>
    </row>
    <row r="62" spans="1:106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B62" s="107"/>
    </row>
  </sheetData>
  <mergeCells count="420">
    <mergeCell ref="AJ1:DB1"/>
    <mergeCell ref="M5:AI5"/>
    <mergeCell ref="A7:E7"/>
    <mergeCell ref="F7:P7"/>
    <mergeCell ref="T7:X7"/>
    <mergeCell ref="Y7:AI7"/>
    <mergeCell ref="AK7:BK8"/>
    <mergeCell ref="BL7:DA7"/>
    <mergeCell ref="AK10:AL10"/>
    <mergeCell ref="AM10:AN10"/>
    <mergeCell ref="A11:P11"/>
    <mergeCell ref="T11:AI11"/>
    <mergeCell ref="AK11:AL11"/>
    <mergeCell ref="AM11:AN11"/>
    <mergeCell ref="A9:E9"/>
    <mergeCell ref="F9:P9"/>
    <mergeCell ref="T9:X9"/>
    <mergeCell ref="Y9:AI9"/>
    <mergeCell ref="AK9:AL9"/>
    <mergeCell ref="AM9:AN9"/>
    <mergeCell ref="AM12:AN12"/>
    <mergeCell ref="A13:F13"/>
    <mergeCell ref="G13:K13"/>
    <mergeCell ref="M13:P13"/>
    <mergeCell ref="T13:Y13"/>
    <mergeCell ref="Z13:AD13"/>
    <mergeCell ref="AE13:AI13"/>
    <mergeCell ref="AK13:AL13"/>
    <mergeCell ref="AM13:AN13"/>
    <mergeCell ref="A12:F12"/>
    <mergeCell ref="G12:P12"/>
    <mergeCell ref="T12:Y12"/>
    <mergeCell ref="Z12:AD12"/>
    <mergeCell ref="AE12:AI12"/>
    <mergeCell ref="AK12:AL12"/>
    <mergeCell ref="AM14:AN14"/>
    <mergeCell ref="A15:F15"/>
    <mergeCell ref="G15:P15"/>
    <mergeCell ref="T15:Y15"/>
    <mergeCell ref="Z15:AD15"/>
    <mergeCell ref="AE15:AI15"/>
    <mergeCell ref="AK15:AL15"/>
    <mergeCell ref="AM15:AN15"/>
    <mergeCell ref="A14:F14"/>
    <mergeCell ref="G14:P14"/>
    <mergeCell ref="T14:Y14"/>
    <mergeCell ref="Z14:AD14"/>
    <mergeCell ref="AE14:AI14"/>
    <mergeCell ref="AK14:AL14"/>
    <mergeCell ref="A19:F19"/>
    <mergeCell ref="G19:P19"/>
    <mergeCell ref="AK19:AL19"/>
    <mergeCell ref="AM19:AN19"/>
    <mergeCell ref="A20:F20"/>
    <mergeCell ref="G20:P20"/>
    <mergeCell ref="AK20:AL20"/>
    <mergeCell ref="AM20:AN20"/>
    <mergeCell ref="AM16:AN16"/>
    <mergeCell ref="A17:F17"/>
    <mergeCell ref="G17:P17"/>
    <mergeCell ref="AK17:AL17"/>
    <mergeCell ref="AM17:AN17"/>
    <mergeCell ref="A18:F18"/>
    <mergeCell ref="G18:P18"/>
    <mergeCell ref="AK18:AL18"/>
    <mergeCell ref="AM18:AN18"/>
    <mergeCell ref="A16:F16"/>
    <mergeCell ref="G16:P16"/>
    <mergeCell ref="T16:Y16"/>
    <mergeCell ref="Z16:AD16"/>
    <mergeCell ref="AE16:AI16"/>
    <mergeCell ref="AK16:AL16"/>
    <mergeCell ref="AK23:AL23"/>
    <mergeCell ref="AM23:AN23"/>
    <mergeCell ref="BN23:BO23"/>
    <mergeCell ref="AK24:AL24"/>
    <mergeCell ref="AM24:AN24"/>
    <mergeCell ref="AV28:BC28"/>
    <mergeCell ref="BF28:BT28"/>
    <mergeCell ref="BM20:BO20"/>
    <mergeCell ref="AK21:AL21"/>
    <mergeCell ref="AM21:AN21"/>
    <mergeCell ref="BN21:BO21"/>
    <mergeCell ref="AK22:AL22"/>
    <mergeCell ref="AM22:AN22"/>
    <mergeCell ref="BN22:BO22"/>
    <mergeCell ref="AV29:BA29"/>
    <mergeCell ref="BB29:BC29"/>
    <mergeCell ref="BF29:BJ29"/>
    <mergeCell ref="BK29:BO29"/>
    <mergeCell ref="BP29:BT29"/>
    <mergeCell ref="AK30:AS32"/>
    <mergeCell ref="AV30:BA30"/>
    <mergeCell ref="BB30:BC30"/>
    <mergeCell ref="BF30:BJ30"/>
    <mergeCell ref="BK30:BO30"/>
    <mergeCell ref="BP30:BT30"/>
    <mergeCell ref="AF31:AI32"/>
    <mergeCell ref="BF31:BJ31"/>
    <mergeCell ref="BK31:BO31"/>
    <mergeCell ref="BP31:BT31"/>
    <mergeCell ref="AU32:BD32"/>
    <mergeCell ref="BF32:BJ32"/>
    <mergeCell ref="BK32:BO32"/>
    <mergeCell ref="BP32:BT32"/>
    <mergeCell ref="W32:Y32"/>
    <mergeCell ref="Z32:AB32"/>
    <mergeCell ref="H32:J32"/>
    <mergeCell ref="K32:M32"/>
    <mergeCell ref="N32:P32"/>
    <mergeCell ref="T32:V32"/>
    <mergeCell ref="A31:G32"/>
    <mergeCell ref="H31:P31"/>
    <mergeCell ref="Q31:S32"/>
    <mergeCell ref="T31:AB31"/>
    <mergeCell ref="AC31:AE32"/>
    <mergeCell ref="A34:G34"/>
    <mergeCell ref="H34:J34"/>
    <mergeCell ref="K34:M34"/>
    <mergeCell ref="N34:P34"/>
    <mergeCell ref="Q34:S34"/>
    <mergeCell ref="W33:Y33"/>
    <mergeCell ref="Z33:AB33"/>
    <mergeCell ref="AC33:AE33"/>
    <mergeCell ref="AF33:AI33"/>
    <mergeCell ref="A33:G33"/>
    <mergeCell ref="H33:J33"/>
    <mergeCell ref="K33:M33"/>
    <mergeCell ref="N33:P33"/>
    <mergeCell ref="Q33:S33"/>
    <mergeCell ref="T33:V33"/>
    <mergeCell ref="BP34:BT34"/>
    <mergeCell ref="T34:V34"/>
    <mergeCell ref="W34:Y34"/>
    <mergeCell ref="Z34:AB34"/>
    <mergeCell ref="AC34:AE34"/>
    <mergeCell ref="AF34:AI34"/>
    <mergeCell ref="AK34:AM34"/>
    <mergeCell ref="AQ33:AS33"/>
    <mergeCell ref="AU33:BD33"/>
    <mergeCell ref="BF33:BJ33"/>
    <mergeCell ref="BK33:BO33"/>
    <mergeCell ref="BP33:BT33"/>
    <mergeCell ref="AK33:AM33"/>
    <mergeCell ref="AN33:AP33"/>
    <mergeCell ref="K35:M35"/>
    <mergeCell ref="N35:P35"/>
    <mergeCell ref="Q35:S35"/>
    <mergeCell ref="T35:V35"/>
    <mergeCell ref="AN34:AP34"/>
    <mergeCell ref="AQ34:AS34"/>
    <mergeCell ref="AU34:BD34"/>
    <mergeCell ref="BF34:BJ34"/>
    <mergeCell ref="BK34:BO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C35:AE35"/>
    <mergeCell ref="AF35:AI35"/>
    <mergeCell ref="AK35:AM35"/>
    <mergeCell ref="AN35:AP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V62:AI62 E62:K62 Z13:Z16 AE14:AE16 G18:P20 G14:P16 G13:K13 M13:P13 G12:P12 Y9:AI9 Y7:AI7 F9:P9 F7:P7">
    <cfRule type="containsBlanks" dxfId="198" priority="10">
      <formula>LEN(TRIM(E7))=0</formula>
    </cfRule>
  </conditionalFormatting>
  <conditionalFormatting sqref="Q53:AE53">
    <cfRule type="containsText" dxfId="197" priority="9" operator="containsText" text="CALC.">
      <formula>NOT(ISERROR(SEARCH("CALC.",Q53)))</formula>
    </cfRule>
  </conditionalFormatting>
  <conditionalFormatting sqref="A33:S52">
    <cfRule type="notContainsBlanks" dxfId="196" priority="7">
      <formula>LEN(TRIM(A33))&gt;0</formula>
    </cfRule>
    <cfRule type="expression" dxfId="195" priority="8">
      <formula>NOT(ISBLANK($H33))</formula>
    </cfRule>
  </conditionalFormatting>
  <conditionalFormatting sqref="AK9:BK24">
    <cfRule type="expression" dxfId="194" priority="6">
      <formula>NOT(ISBLANK($AK9))</formula>
    </cfRule>
  </conditionalFormatting>
  <conditionalFormatting sqref="T33:AC52">
    <cfRule type="notContainsBlanks" dxfId="193" priority="4">
      <formula>LEN(TRIM(T33))&gt;0</formula>
    </cfRule>
    <cfRule type="expression" dxfId="192" priority="5">
      <formula>NOT(ISBLANK($H33))</formula>
    </cfRule>
  </conditionalFormatting>
  <conditionalFormatting sqref="T33:AB52">
    <cfRule type="expression" dxfId="191" priority="3">
      <formula>$AC33&lt;&gt;""</formula>
    </cfRule>
  </conditionalFormatting>
  <conditionalFormatting sqref="AU33:BD53">
    <cfRule type="notContainsBlanks" dxfId="190" priority="2">
      <formula>LEN(TRIM(AU33))&gt;0</formula>
    </cfRule>
  </conditionalFormatting>
  <conditionalFormatting sqref="BB29:BC30">
    <cfRule type="containsBlanks" dxfId="189" priority="1">
      <formula>LEN(TRIM(BB29))=0</formula>
    </cfRule>
  </conditionalFormatting>
  <dataValidations count="4">
    <dataValidation allowBlank="1" showInputMessage="1" sqref="G15:P15" xr:uid="{D9CEA8C9-8800-4B88-966F-CF9802CD9282}"/>
    <dataValidation type="list" allowBlank="1" showInputMessage="1" sqref="G13:K13" xr:uid="{B1DEADCE-7D51-4F30-B45C-910F9E84ECDD}">
      <formula1>"4,5,6,7,8,9,10,11,12,13,14,15,16,17,18,19,20"</formula1>
    </dataValidation>
    <dataValidation type="list" allowBlank="1" showInputMessage="1" sqref="M13:P13" xr:uid="{3978E07A-4B96-4771-A486-98217A27F445}">
      <formula1>"Rectangular,Round, Oval"</formula1>
    </dataValidation>
    <dataValidation type="whole" allowBlank="1" showInputMessage="1" showErrorMessage="1" error="This Remarks section is limited to 5." sqref="A56:A60" xr:uid="{CCE5E52E-E77A-4A1D-A859-68007E3568B6}">
      <formula1>1</formula1>
      <formula2>5</formula2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B767C-3EA8-44B8-B84C-D69D07FFB805}">
  <sheetPr codeName="Sheet22">
    <pageSetUpPr fitToPage="1"/>
  </sheetPr>
  <dimension ref="A1:BV62"/>
  <sheetViews>
    <sheetView zoomScaleNormal="100" workbookViewId="0">
      <selection sqref="A1:C1"/>
    </sheetView>
  </sheetViews>
  <sheetFormatPr defaultColWidth="0" defaultRowHeight="12" customHeight="1" zeroHeight="1" x14ac:dyDescent="0.2"/>
  <cols>
    <col min="1" max="71" width="2.7109375" style="12" customWidth="1"/>
    <col min="72" max="74" width="2.7109375" style="12" hidden="1" customWidth="1"/>
    <col min="75" max="16384" width="9.140625" style="12" hidden="1"/>
  </cols>
  <sheetData>
    <row r="1" spans="1:71" ht="12" customHeight="1" x14ac:dyDescent="0.2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57" t="s">
        <v>159</v>
      </c>
      <c r="AK1" s="957"/>
      <c r="AL1" s="957"/>
      <c r="AM1" s="957"/>
      <c r="AN1" s="957"/>
      <c r="AO1" s="957"/>
      <c r="AP1" s="957"/>
      <c r="AQ1" s="957"/>
      <c r="AR1" s="957"/>
      <c r="AS1" s="957"/>
      <c r="AT1" s="957"/>
      <c r="AU1" s="957"/>
      <c r="AV1" s="957"/>
      <c r="AW1" s="957"/>
      <c r="AX1" s="957"/>
      <c r="AY1" s="957"/>
      <c r="AZ1" s="957"/>
      <c r="BA1" s="957"/>
      <c r="BB1" s="957"/>
      <c r="BC1" s="957"/>
      <c r="BD1" s="957"/>
      <c r="BE1" s="957"/>
      <c r="BF1" s="957"/>
      <c r="BG1" s="957"/>
      <c r="BH1" s="957"/>
      <c r="BI1" s="957"/>
      <c r="BJ1" s="957"/>
      <c r="BK1" s="957"/>
      <c r="BL1" s="957"/>
      <c r="BM1" s="957"/>
      <c r="BN1" s="957"/>
      <c r="BO1" s="957"/>
      <c r="BP1" s="957"/>
      <c r="BQ1" s="957"/>
      <c r="BR1" s="957"/>
      <c r="BS1" s="957"/>
    </row>
    <row r="2" spans="1:71" ht="12" customHeight="1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</row>
    <row r="3" spans="1:71" ht="12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</row>
    <row r="4" spans="1:71" ht="12" customHeight="1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</row>
    <row r="5" spans="1:71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 t="s">
        <v>407</v>
      </c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</row>
    <row r="6" spans="1:71" ht="12" customHeight="1" thickBo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</row>
    <row r="7" spans="1:71" ht="12" customHeight="1" thickBot="1" x14ac:dyDescent="0.25">
      <c r="A7" s="526" t="s">
        <v>161</v>
      </c>
      <c r="B7" s="526"/>
      <c r="C7" s="526"/>
      <c r="D7" s="526"/>
      <c r="E7" s="526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42"/>
      <c r="R7" s="42"/>
      <c r="S7" s="42"/>
      <c r="T7" s="526" t="s">
        <v>162</v>
      </c>
      <c r="U7" s="526"/>
      <c r="V7" s="526"/>
      <c r="W7" s="526"/>
      <c r="X7" s="526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107"/>
      <c r="AK7" s="471" t="s">
        <v>160</v>
      </c>
      <c r="AL7" s="472"/>
      <c r="AM7" s="472"/>
      <c r="AN7" s="472"/>
      <c r="AO7" s="472"/>
      <c r="AP7" s="472"/>
      <c r="AQ7" s="472"/>
      <c r="AR7" s="472"/>
      <c r="AS7" s="472"/>
      <c r="AT7" s="472"/>
      <c r="AU7" s="472"/>
      <c r="AV7" s="472"/>
      <c r="AW7" s="472"/>
      <c r="AX7" s="472"/>
      <c r="AY7" s="473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</row>
    <row r="8" spans="1:71" ht="12" customHeight="1" thickTop="1" x14ac:dyDescent="0.2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324"/>
      <c r="AL8" s="547"/>
      <c r="AM8" s="547"/>
      <c r="AN8" s="547"/>
      <c r="AO8" s="325"/>
      <c r="AP8" s="548"/>
      <c r="AQ8" s="547"/>
      <c r="AR8" s="547"/>
      <c r="AS8" s="547"/>
      <c r="AT8" s="325"/>
      <c r="AU8" s="548"/>
      <c r="AV8" s="547"/>
      <c r="AW8" s="547"/>
      <c r="AX8" s="547"/>
      <c r="AY8" s="549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</row>
    <row r="9" spans="1:71" ht="12" customHeight="1" x14ac:dyDescent="0.2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526" t="s">
        <v>164</v>
      </c>
      <c r="U9" s="526"/>
      <c r="V9" s="526"/>
      <c r="W9" s="526"/>
      <c r="X9" s="526"/>
      <c r="Y9" s="527"/>
      <c r="Z9" s="527"/>
      <c r="AA9" s="527"/>
      <c r="AB9" s="527"/>
      <c r="AC9" s="527"/>
      <c r="AD9" s="527"/>
      <c r="AE9" s="527"/>
      <c r="AF9" s="527"/>
      <c r="AG9" s="527"/>
      <c r="AH9" s="527"/>
      <c r="AI9" s="527"/>
      <c r="AJ9" s="107"/>
      <c r="AK9" s="521"/>
      <c r="AL9" s="522"/>
      <c r="AM9" s="522"/>
      <c r="AN9" s="522"/>
      <c r="AO9" s="523"/>
      <c r="AP9" s="524"/>
      <c r="AQ9" s="522"/>
      <c r="AR9" s="522"/>
      <c r="AS9" s="522"/>
      <c r="AT9" s="523"/>
      <c r="AU9" s="524"/>
      <c r="AV9" s="522"/>
      <c r="AW9" s="522"/>
      <c r="AX9" s="522"/>
      <c r="AY9" s="525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</row>
    <row r="10" spans="1:71" ht="12" customHeight="1" thickBo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521"/>
      <c r="AL10" s="522"/>
      <c r="AM10" s="522"/>
      <c r="AN10" s="522"/>
      <c r="AO10" s="523"/>
      <c r="AP10" s="524"/>
      <c r="AQ10" s="522"/>
      <c r="AR10" s="522"/>
      <c r="AS10" s="522"/>
      <c r="AT10" s="523"/>
      <c r="AU10" s="524"/>
      <c r="AV10" s="522"/>
      <c r="AW10" s="522"/>
      <c r="AX10" s="522"/>
      <c r="AY10" s="525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</row>
    <row r="11" spans="1:71" ht="12" customHeight="1" thickBot="1" x14ac:dyDescent="0.25">
      <c r="A11" s="314" t="s">
        <v>384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6"/>
      <c r="Q11" s="42"/>
      <c r="R11" s="42"/>
      <c r="S11" s="94"/>
      <c r="T11" s="338" t="s">
        <v>408</v>
      </c>
      <c r="U11" s="339"/>
      <c r="V11" s="339"/>
      <c r="W11" s="339"/>
      <c r="X11" s="339"/>
      <c r="Y11" s="339"/>
      <c r="Z11" s="339"/>
      <c r="AA11" s="339"/>
      <c r="AB11" s="339"/>
      <c r="AC11" s="339"/>
      <c r="AD11" s="339"/>
      <c r="AE11" s="339"/>
      <c r="AF11" s="339"/>
      <c r="AG11" s="339"/>
      <c r="AH11" s="339"/>
      <c r="AI11" s="340"/>
      <c r="AJ11" s="107"/>
      <c r="AK11" s="521"/>
      <c r="AL11" s="522"/>
      <c r="AM11" s="522"/>
      <c r="AN11" s="522"/>
      <c r="AO11" s="523"/>
      <c r="AP11" s="524"/>
      <c r="AQ11" s="522"/>
      <c r="AR11" s="522"/>
      <c r="AS11" s="522"/>
      <c r="AT11" s="523"/>
      <c r="AU11" s="524"/>
      <c r="AV11" s="522"/>
      <c r="AW11" s="522"/>
      <c r="AX11" s="522"/>
      <c r="AY11" s="525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</row>
    <row r="12" spans="1:71" ht="12.75" thickTop="1" x14ac:dyDescent="0.2">
      <c r="A12" s="455" t="s">
        <v>387</v>
      </c>
      <c r="B12" s="456"/>
      <c r="C12" s="456"/>
      <c r="D12" s="456"/>
      <c r="E12" s="456"/>
      <c r="F12" s="456"/>
      <c r="G12" s="453"/>
      <c r="H12" s="453"/>
      <c r="I12" s="453"/>
      <c r="J12" s="453"/>
      <c r="K12" s="453"/>
      <c r="L12" s="453"/>
      <c r="M12" s="453"/>
      <c r="N12" s="453"/>
      <c r="O12" s="453"/>
      <c r="P12" s="454"/>
      <c r="Q12" s="42"/>
      <c r="R12" s="42"/>
      <c r="S12" s="94"/>
      <c r="T12" s="752"/>
      <c r="U12" s="753"/>
      <c r="V12" s="753"/>
      <c r="W12" s="753"/>
      <c r="X12" s="753"/>
      <c r="Y12" s="753"/>
      <c r="Z12" s="753" t="s">
        <v>197</v>
      </c>
      <c r="AA12" s="753"/>
      <c r="AB12" s="753"/>
      <c r="AC12" s="753"/>
      <c r="AD12" s="753"/>
      <c r="AE12" s="753" t="s">
        <v>199</v>
      </c>
      <c r="AF12" s="753"/>
      <c r="AG12" s="753"/>
      <c r="AH12" s="753"/>
      <c r="AI12" s="779"/>
      <c r="AJ12" s="107"/>
      <c r="AK12" s="521"/>
      <c r="AL12" s="522"/>
      <c r="AM12" s="522"/>
      <c r="AN12" s="522"/>
      <c r="AO12" s="523"/>
      <c r="AP12" s="524"/>
      <c r="AQ12" s="522"/>
      <c r="AR12" s="522"/>
      <c r="AS12" s="522"/>
      <c r="AT12" s="523"/>
      <c r="AU12" s="524"/>
      <c r="AV12" s="522"/>
      <c r="AW12" s="522"/>
      <c r="AX12" s="522"/>
      <c r="AY12" s="525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</row>
    <row r="13" spans="1:71" ht="12" customHeight="1" thickBot="1" x14ac:dyDescent="0.25">
      <c r="A13" s="333" t="s">
        <v>389</v>
      </c>
      <c r="B13" s="334"/>
      <c r="C13" s="334"/>
      <c r="D13" s="334"/>
      <c r="E13" s="334"/>
      <c r="F13" s="334"/>
      <c r="G13" s="952"/>
      <c r="H13" s="953"/>
      <c r="I13" s="953"/>
      <c r="J13" s="953"/>
      <c r="K13" s="953"/>
      <c r="L13" s="172" t="s">
        <v>201</v>
      </c>
      <c r="M13" s="419"/>
      <c r="N13" s="419"/>
      <c r="O13" s="419"/>
      <c r="P13" s="420"/>
      <c r="Q13" s="42"/>
      <c r="R13" s="42"/>
      <c r="S13" s="42"/>
      <c r="T13" s="333" t="s">
        <v>409</v>
      </c>
      <c r="U13" s="334"/>
      <c r="V13" s="334"/>
      <c r="W13" s="334"/>
      <c r="X13" s="334"/>
      <c r="Y13" s="334"/>
      <c r="Z13" s="577"/>
      <c r="AA13" s="577"/>
      <c r="AB13" s="577"/>
      <c r="AC13" s="577"/>
      <c r="AD13" s="577"/>
      <c r="AE13" s="899"/>
      <c r="AF13" s="899"/>
      <c r="AG13" s="899"/>
      <c r="AH13" s="899"/>
      <c r="AI13" s="954"/>
      <c r="AJ13" s="107"/>
      <c r="AK13" s="528"/>
      <c r="AL13" s="529"/>
      <c r="AM13" s="529"/>
      <c r="AN13" s="529"/>
      <c r="AO13" s="530"/>
      <c r="AP13" s="531"/>
      <c r="AQ13" s="529"/>
      <c r="AR13" s="529"/>
      <c r="AS13" s="529"/>
      <c r="AT13" s="530"/>
      <c r="AU13" s="531"/>
      <c r="AV13" s="529"/>
      <c r="AW13" s="529"/>
      <c r="AX13" s="529"/>
      <c r="AY13" s="532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</row>
    <row r="14" spans="1:71" ht="12" customHeight="1" x14ac:dyDescent="0.2">
      <c r="A14" s="333" t="s">
        <v>168</v>
      </c>
      <c r="B14" s="334"/>
      <c r="C14" s="334"/>
      <c r="D14" s="334"/>
      <c r="E14" s="334"/>
      <c r="F14" s="334"/>
      <c r="G14" s="400"/>
      <c r="H14" s="400"/>
      <c r="I14" s="400"/>
      <c r="J14" s="400"/>
      <c r="K14" s="400"/>
      <c r="L14" s="400"/>
      <c r="M14" s="400"/>
      <c r="N14" s="400"/>
      <c r="O14" s="400"/>
      <c r="P14" s="401"/>
      <c r="Q14" s="42"/>
      <c r="R14" s="42"/>
      <c r="S14" s="42"/>
      <c r="T14" s="333" t="s">
        <v>100</v>
      </c>
      <c r="U14" s="334"/>
      <c r="V14" s="334"/>
      <c r="W14" s="334"/>
      <c r="X14" s="334"/>
      <c r="Y14" s="334"/>
      <c r="Z14" s="577"/>
      <c r="AA14" s="577"/>
      <c r="AB14" s="577"/>
      <c r="AC14" s="577"/>
      <c r="AD14" s="577"/>
      <c r="AE14" s="577"/>
      <c r="AF14" s="577"/>
      <c r="AG14" s="577"/>
      <c r="AH14" s="577"/>
      <c r="AI14" s="578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</row>
    <row r="15" spans="1:71" ht="12" customHeight="1" thickBot="1" x14ac:dyDescent="0.25">
      <c r="A15" s="406" t="s">
        <v>174</v>
      </c>
      <c r="B15" s="407"/>
      <c r="C15" s="407"/>
      <c r="D15" s="407"/>
      <c r="E15" s="407"/>
      <c r="F15" s="408"/>
      <c r="G15" s="400"/>
      <c r="H15" s="400"/>
      <c r="I15" s="400"/>
      <c r="J15" s="400"/>
      <c r="K15" s="400"/>
      <c r="L15" s="400"/>
      <c r="M15" s="400"/>
      <c r="N15" s="400"/>
      <c r="O15" s="400"/>
      <c r="P15" s="401"/>
      <c r="Q15" s="42"/>
      <c r="R15" s="42"/>
      <c r="S15" s="42"/>
      <c r="T15" s="975" t="s">
        <v>410</v>
      </c>
      <c r="U15" s="976"/>
      <c r="V15" s="976"/>
      <c r="W15" s="976"/>
      <c r="X15" s="976"/>
      <c r="Y15" s="976"/>
      <c r="Z15" s="555"/>
      <c r="AA15" s="555"/>
      <c r="AB15" s="555"/>
      <c r="AC15" s="555"/>
      <c r="AD15" s="555"/>
      <c r="AE15" s="555"/>
      <c r="AF15" s="555"/>
      <c r="AG15" s="555"/>
      <c r="AH15" s="555"/>
      <c r="AI15" s="951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7"/>
      <c r="BN15" s="107"/>
      <c r="BO15" s="107"/>
      <c r="BP15" s="107"/>
      <c r="BQ15" s="107"/>
      <c r="BR15" s="107"/>
      <c r="BS15" s="107"/>
    </row>
    <row r="16" spans="1:71" ht="12" customHeight="1" thickBot="1" x14ac:dyDescent="0.25">
      <c r="A16" s="406" t="s">
        <v>178</v>
      </c>
      <c r="B16" s="407"/>
      <c r="C16" s="407"/>
      <c r="D16" s="407"/>
      <c r="E16" s="407"/>
      <c r="F16" s="408"/>
      <c r="G16" s="400"/>
      <c r="H16" s="400"/>
      <c r="I16" s="400"/>
      <c r="J16" s="400"/>
      <c r="K16" s="400"/>
      <c r="L16" s="400"/>
      <c r="M16" s="400"/>
      <c r="N16" s="400"/>
      <c r="O16" s="400"/>
      <c r="P16" s="401"/>
      <c r="Q16" s="42"/>
      <c r="R16" s="42"/>
      <c r="S16" s="42"/>
      <c r="T16" s="42"/>
      <c r="U16" s="42"/>
      <c r="V16" s="42"/>
      <c r="W16" s="42"/>
      <c r="X16" s="42"/>
      <c r="Y16" s="42"/>
      <c r="Z16" s="42" t="s">
        <v>411</v>
      </c>
      <c r="AA16" s="42"/>
      <c r="AB16" s="42"/>
      <c r="AC16" s="42"/>
      <c r="AD16" s="42"/>
      <c r="AE16" s="42"/>
      <c r="AF16" s="42"/>
      <c r="AG16" s="42"/>
      <c r="AH16" s="42"/>
      <c r="AI16" s="42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</row>
    <row r="17" spans="1:71" ht="12" customHeight="1" thickBot="1" x14ac:dyDescent="0.25">
      <c r="A17" s="406" t="s">
        <v>181</v>
      </c>
      <c r="B17" s="407"/>
      <c r="C17" s="407"/>
      <c r="D17" s="407"/>
      <c r="E17" s="407"/>
      <c r="F17" s="408"/>
      <c r="G17" s="513" t="s">
        <v>182</v>
      </c>
      <c r="H17" s="513"/>
      <c r="I17" s="513"/>
      <c r="J17" s="513"/>
      <c r="K17" s="513"/>
      <c r="L17" s="513"/>
      <c r="M17" s="513"/>
      <c r="N17" s="513"/>
      <c r="O17" s="513"/>
      <c r="P17" s="514"/>
      <c r="Q17" s="42"/>
      <c r="R17" s="42"/>
      <c r="S17" s="94"/>
      <c r="T17" s="338" t="s">
        <v>412</v>
      </c>
      <c r="U17" s="339"/>
      <c r="V17" s="339"/>
      <c r="W17" s="339"/>
      <c r="X17" s="339"/>
      <c r="Y17" s="339"/>
      <c r="Z17" s="339"/>
      <c r="AA17" s="339"/>
      <c r="AB17" s="339"/>
      <c r="AC17" s="339"/>
      <c r="AD17" s="339"/>
      <c r="AE17" s="339"/>
      <c r="AF17" s="339"/>
      <c r="AG17" s="339"/>
      <c r="AH17" s="339"/>
      <c r="AI17" s="340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BP17" s="107"/>
      <c r="BQ17" s="107"/>
      <c r="BR17" s="107"/>
      <c r="BS17" s="107"/>
    </row>
    <row r="18" spans="1:71" ht="12.75" thickTop="1" x14ac:dyDescent="0.2">
      <c r="A18" s="333" t="s">
        <v>185</v>
      </c>
      <c r="B18" s="334"/>
      <c r="C18" s="334"/>
      <c r="D18" s="334"/>
      <c r="E18" s="334"/>
      <c r="F18" s="334"/>
      <c r="G18" s="400"/>
      <c r="H18" s="400"/>
      <c r="I18" s="400"/>
      <c r="J18" s="400"/>
      <c r="K18" s="400"/>
      <c r="L18" s="400"/>
      <c r="M18" s="400"/>
      <c r="N18" s="400"/>
      <c r="O18" s="400"/>
      <c r="P18" s="401"/>
      <c r="Q18" s="42"/>
      <c r="R18" s="42"/>
      <c r="S18" s="42"/>
      <c r="T18" s="752"/>
      <c r="U18" s="753"/>
      <c r="V18" s="753"/>
      <c r="W18" s="753"/>
      <c r="X18" s="753"/>
      <c r="Y18" s="753"/>
      <c r="Z18" s="753" t="s">
        <v>197</v>
      </c>
      <c r="AA18" s="753"/>
      <c r="AB18" s="753"/>
      <c r="AC18" s="753"/>
      <c r="AD18" s="753"/>
      <c r="AE18" s="753" t="s">
        <v>199</v>
      </c>
      <c r="AF18" s="753"/>
      <c r="AG18" s="753"/>
      <c r="AH18" s="753"/>
      <c r="AI18" s="779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/>
      <c r="BP18" s="107"/>
      <c r="BQ18" s="107"/>
      <c r="BR18" s="107"/>
      <c r="BS18" s="107"/>
    </row>
    <row r="19" spans="1:71" ht="12.75" thickBot="1" x14ac:dyDescent="0.25">
      <c r="A19" s="347" t="s">
        <v>396</v>
      </c>
      <c r="B19" s="348"/>
      <c r="C19" s="348"/>
      <c r="D19" s="348"/>
      <c r="E19" s="348"/>
      <c r="F19" s="348"/>
      <c r="G19" s="349"/>
      <c r="H19" s="349"/>
      <c r="I19" s="349"/>
      <c r="J19" s="349"/>
      <c r="K19" s="349"/>
      <c r="L19" s="349"/>
      <c r="M19" s="349"/>
      <c r="N19" s="349"/>
      <c r="O19" s="349"/>
      <c r="P19" s="469"/>
      <c r="Q19" s="42"/>
      <c r="R19" s="42"/>
      <c r="S19" s="42"/>
      <c r="T19" s="333" t="s">
        <v>413</v>
      </c>
      <c r="U19" s="334"/>
      <c r="V19" s="334"/>
      <c r="W19" s="334"/>
      <c r="X19" s="334"/>
      <c r="Y19" s="334"/>
      <c r="Z19" s="577"/>
      <c r="AA19" s="577"/>
      <c r="AB19" s="577"/>
      <c r="AC19" s="577"/>
      <c r="AD19" s="577"/>
      <c r="AE19" s="577"/>
      <c r="AF19" s="577"/>
      <c r="AG19" s="577"/>
      <c r="AH19" s="577"/>
      <c r="AI19" s="578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</row>
    <row r="20" spans="1:71" ht="12" customHeight="1" x14ac:dyDescent="0.2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333" t="s">
        <v>98</v>
      </c>
      <c r="U20" s="334"/>
      <c r="V20" s="334"/>
      <c r="W20" s="334"/>
      <c r="X20" s="334"/>
      <c r="Y20" s="334"/>
      <c r="Z20" s="577"/>
      <c r="AA20" s="577"/>
      <c r="AB20" s="577"/>
      <c r="AC20" s="577"/>
      <c r="AD20" s="577"/>
      <c r="AE20" s="984"/>
      <c r="AF20" s="577"/>
      <c r="AG20" s="577"/>
      <c r="AH20" s="577"/>
      <c r="AI20" s="578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</row>
    <row r="21" spans="1:71" ht="12" customHeight="1" thickBo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975" t="s">
        <v>410</v>
      </c>
      <c r="U21" s="976"/>
      <c r="V21" s="976"/>
      <c r="W21" s="976"/>
      <c r="X21" s="976"/>
      <c r="Y21" s="976"/>
      <c r="Z21" s="555"/>
      <c r="AA21" s="555"/>
      <c r="AB21" s="555"/>
      <c r="AC21" s="555"/>
      <c r="AD21" s="555"/>
      <c r="AE21" s="555"/>
      <c r="AF21" s="555"/>
      <c r="AG21" s="555"/>
      <c r="AH21" s="555"/>
      <c r="AI21" s="951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</row>
    <row r="22" spans="1:71" ht="12.75" customHeight="1" x14ac:dyDescent="0.2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</row>
    <row r="23" spans="1:71" ht="12" customHeight="1" thickBot="1" x14ac:dyDescent="0.25">
      <c r="A23" s="78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</row>
    <row r="24" spans="1:71" ht="12" customHeight="1" x14ac:dyDescent="0.2">
      <c r="A24" s="78"/>
      <c r="B24" s="78"/>
      <c r="C24" s="78"/>
      <c r="D24" s="78"/>
      <c r="E24" s="78"/>
      <c r="F24" s="78"/>
      <c r="G24" s="129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  <c r="AC24" s="194"/>
      <c r="AD24" s="78"/>
      <c r="AE24" s="78"/>
      <c r="AF24" s="78"/>
      <c r="AG24" s="78"/>
      <c r="AH24" s="78"/>
      <c r="AI24" s="78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7"/>
      <c r="BN24" s="107"/>
      <c r="BO24" s="107"/>
      <c r="BP24" s="107"/>
      <c r="BQ24" s="107"/>
      <c r="BR24" s="107"/>
      <c r="BS24" s="107"/>
    </row>
    <row r="25" spans="1:71" ht="12" customHeight="1" x14ac:dyDescent="0.2">
      <c r="A25" s="78"/>
      <c r="B25" s="78"/>
      <c r="C25" s="78"/>
      <c r="D25" s="78"/>
      <c r="E25" s="78"/>
      <c r="F25" s="78"/>
      <c r="G25" s="67"/>
      <c r="H25" s="42"/>
      <c r="I25" s="42"/>
      <c r="J25" s="42"/>
      <c r="K25" s="977" t="s">
        <v>414</v>
      </c>
      <c r="L25" s="978"/>
      <c r="M25" s="978"/>
      <c r="N25" s="978"/>
      <c r="O25" s="979"/>
      <c r="P25" s="42"/>
      <c r="Q25" s="42"/>
      <c r="R25" s="42"/>
      <c r="S25" s="42"/>
      <c r="T25" s="42"/>
      <c r="U25" s="977" t="s">
        <v>414</v>
      </c>
      <c r="V25" s="978"/>
      <c r="W25" s="978"/>
      <c r="X25" s="978"/>
      <c r="Y25" s="979"/>
      <c r="Z25" s="42"/>
      <c r="AA25" s="42"/>
      <c r="AB25" s="42"/>
      <c r="AC25" s="183"/>
      <c r="AD25" s="78"/>
      <c r="AE25" s="78"/>
      <c r="AF25" s="78"/>
      <c r="AG25" s="78"/>
      <c r="AH25" s="78"/>
      <c r="AI25" s="78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</row>
    <row r="26" spans="1:71" ht="12" customHeight="1" x14ac:dyDescent="0.2">
      <c r="A26" s="94"/>
      <c r="B26" s="94"/>
      <c r="C26" s="94"/>
      <c r="D26" s="94"/>
      <c r="E26" s="94"/>
      <c r="F26" s="94"/>
      <c r="G26" s="195"/>
      <c r="H26" s="42"/>
      <c r="I26" s="42"/>
      <c r="J26" s="42"/>
      <c r="K26" s="980" t="str">
        <f>IF(AE14&lt;&gt;0,AE14,"")</f>
        <v/>
      </c>
      <c r="L26" s="981"/>
      <c r="M26" s="981"/>
      <c r="N26" s="982" t="s">
        <v>56</v>
      </c>
      <c r="O26" s="983"/>
      <c r="P26" s="94"/>
      <c r="Q26" s="42"/>
      <c r="R26" s="42"/>
      <c r="S26" s="42"/>
      <c r="T26" s="42"/>
      <c r="U26" s="980" t="str">
        <f>IF(AE19&lt;&gt;0,AE19,"")</f>
        <v/>
      </c>
      <c r="V26" s="981"/>
      <c r="W26" s="981"/>
      <c r="X26" s="982" t="s">
        <v>56</v>
      </c>
      <c r="Y26" s="983"/>
      <c r="Z26" s="42"/>
      <c r="AA26" s="42"/>
      <c r="AB26" s="42"/>
      <c r="AC26" s="183"/>
      <c r="AD26" s="78"/>
      <c r="AE26" s="78"/>
      <c r="AF26" s="78"/>
      <c r="AG26" s="78"/>
      <c r="AH26" s="78"/>
      <c r="AI26" s="78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</row>
    <row r="27" spans="1:71" ht="12" customHeight="1" thickBot="1" x14ac:dyDescent="0.25">
      <c r="A27" s="94"/>
      <c r="B27" s="94"/>
      <c r="C27" s="94"/>
      <c r="D27" s="94"/>
      <c r="E27" s="94"/>
      <c r="F27" s="94"/>
      <c r="G27" s="195"/>
      <c r="H27" s="42"/>
      <c r="I27" s="42"/>
      <c r="J27" s="42"/>
      <c r="K27" s="968" t="s">
        <v>415</v>
      </c>
      <c r="L27" s="969"/>
      <c r="M27" s="969"/>
      <c r="N27" s="969"/>
      <c r="O27" s="970"/>
      <c r="P27" s="94"/>
      <c r="Q27" s="42"/>
      <c r="R27" s="42"/>
      <c r="S27" s="42"/>
      <c r="T27" s="42"/>
      <c r="U27" s="968" t="s">
        <v>415</v>
      </c>
      <c r="V27" s="969"/>
      <c r="W27" s="969"/>
      <c r="X27" s="969"/>
      <c r="Y27" s="970"/>
      <c r="Z27" s="42"/>
      <c r="AA27" s="42"/>
      <c r="AB27" s="42"/>
      <c r="AC27" s="183"/>
      <c r="AD27" s="78"/>
      <c r="AE27" s="78"/>
      <c r="AF27" s="78"/>
      <c r="AG27" s="78"/>
      <c r="AH27" s="78"/>
      <c r="AI27" s="78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</row>
    <row r="28" spans="1:71" ht="12" customHeight="1" thickBot="1" x14ac:dyDescent="0.25">
      <c r="A28" s="94"/>
      <c r="B28" s="94"/>
      <c r="C28" s="94"/>
      <c r="D28" s="94"/>
      <c r="E28" s="94"/>
      <c r="F28" s="94"/>
      <c r="G28" s="195"/>
      <c r="H28" s="42"/>
      <c r="I28" s="42"/>
      <c r="J28" s="42"/>
      <c r="K28" s="971" t="str">
        <f>IF(AE13&lt;&gt;0,AE13,"")</f>
        <v/>
      </c>
      <c r="L28" s="972"/>
      <c r="M28" s="972"/>
      <c r="N28" s="973" t="s">
        <v>56</v>
      </c>
      <c r="O28" s="974"/>
      <c r="P28" s="94"/>
      <c r="Q28" s="42"/>
      <c r="R28" s="42"/>
      <c r="S28" s="42"/>
      <c r="T28" s="42"/>
      <c r="U28" s="971" t="str">
        <f>IF(AE20&lt;&gt;0,AE20,"")</f>
        <v/>
      </c>
      <c r="V28" s="972"/>
      <c r="W28" s="972"/>
      <c r="X28" s="973" t="s">
        <v>56</v>
      </c>
      <c r="Y28" s="974"/>
      <c r="Z28" s="42"/>
      <c r="AA28" s="42"/>
      <c r="AB28" s="42"/>
      <c r="AC28" s="183"/>
      <c r="AD28" s="78"/>
      <c r="AE28" s="78"/>
      <c r="AF28" s="78"/>
      <c r="AG28" s="78"/>
      <c r="AH28" s="78"/>
      <c r="AI28" s="78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47" t="s">
        <v>297</v>
      </c>
      <c r="AW28" s="472"/>
      <c r="AX28" s="472"/>
      <c r="AY28" s="472"/>
      <c r="AZ28" s="472"/>
      <c r="BA28" s="472"/>
      <c r="BB28" s="472"/>
      <c r="BC28" s="948"/>
      <c r="BD28" s="191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</row>
    <row r="29" spans="1:71" ht="12" customHeight="1" thickTop="1" thickBot="1" x14ac:dyDescent="0.25">
      <c r="A29" s="94"/>
      <c r="B29" s="94"/>
      <c r="C29" s="94"/>
      <c r="D29" s="94"/>
      <c r="E29" s="94"/>
      <c r="F29" s="94"/>
      <c r="G29" s="196"/>
      <c r="H29" s="197"/>
      <c r="I29" s="967" t="s">
        <v>416</v>
      </c>
      <c r="J29" s="967"/>
      <c r="K29" s="967"/>
      <c r="L29" s="967"/>
      <c r="M29" s="967"/>
      <c r="N29" s="967"/>
      <c r="O29" s="967"/>
      <c r="P29" s="967"/>
      <c r="Q29" s="967"/>
      <c r="R29" s="135"/>
      <c r="S29" s="967" t="s">
        <v>417</v>
      </c>
      <c r="T29" s="967"/>
      <c r="U29" s="967"/>
      <c r="V29" s="967"/>
      <c r="W29" s="967"/>
      <c r="X29" s="967"/>
      <c r="Y29" s="967"/>
      <c r="Z29" s="967"/>
      <c r="AA29" s="967"/>
      <c r="AB29" s="135"/>
      <c r="AC29" s="192"/>
      <c r="AD29" s="78"/>
      <c r="AE29" s="78"/>
      <c r="AF29" s="78"/>
      <c r="AG29" s="78"/>
      <c r="AH29" s="78"/>
      <c r="AI29" s="78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29" t="s">
        <v>298</v>
      </c>
      <c r="AW29" s="750"/>
      <c r="AX29" s="750"/>
      <c r="AY29" s="750"/>
      <c r="AZ29" s="750"/>
      <c r="BA29" s="751"/>
      <c r="BB29" s="930"/>
      <c r="BC29" s="931"/>
      <c r="BD29" s="193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</row>
    <row r="30" spans="1:71" ht="12" customHeight="1" thickBot="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660" t="s">
        <v>299</v>
      </c>
      <c r="AL30" s="661"/>
      <c r="AM30" s="661"/>
      <c r="AN30" s="661"/>
      <c r="AO30" s="661"/>
      <c r="AP30" s="661"/>
      <c r="AQ30" s="661"/>
      <c r="AR30" s="661"/>
      <c r="AS30" s="662"/>
      <c r="AT30" s="107"/>
      <c r="AU30" s="53"/>
      <c r="AV30" s="941" t="s">
        <v>300</v>
      </c>
      <c r="AW30" s="543"/>
      <c r="AX30" s="543"/>
      <c r="AY30" s="543"/>
      <c r="AZ30" s="543"/>
      <c r="BA30" s="544"/>
      <c r="BB30" s="942"/>
      <c r="BC30" s="943"/>
      <c r="BD30" s="55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</row>
    <row r="31" spans="1:71" ht="12" customHeight="1" thickBot="1" x14ac:dyDescent="0.25">
      <c r="A31" s="649" t="s">
        <v>301</v>
      </c>
      <c r="B31" s="650"/>
      <c r="C31" s="650"/>
      <c r="D31" s="650"/>
      <c r="E31" s="650"/>
      <c r="F31" s="650"/>
      <c r="G31" s="650"/>
      <c r="H31" s="653" t="s">
        <v>302</v>
      </c>
      <c r="I31" s="653"/>
      <c r="J31" s="653"/>
      <c r="K31" s="653"/>
      <c r="L31" s="653"/>
      <c r="M31" s="653"/>
      <c r="N31" s="653"/>
      <c r="O31" s="653"/>
      <c r="P31" s="653"/>
      <c r="Q31" s="650" t="s">
        <v>303</v>
      </c>
      <c r="R31" s="650"/>
      <c r="S31" s="650"/>
      <c r="T31" s="653" t="s">
        <v>304</v>
      </c>
      <c r="U31" s="653"/>
      <c r="V31" s="653"/>
      <c r="W31" s="653"/>
      <c r="X31" s="653"/>
      <c r="Y31" s="653"/>
      <c r="Z31" s="653"/>
      <c r="AA31" s="653"/>
      <c r="AB31" s="653"/>
      <c r="AC31" s="650" t="s">
        <v>305</v>
      </c>
      <c r="AD31" s="650"/>
      <c r="AE31" s="650"/>
      <c r="AF31" s="654" t="s">
        <v>262</v>
      </c>
      <c r="AG31" s="655"/>
      <c r="AH31" s="655"/>
      <c r="AI31" s="656"/>
      <c r="AJ31" s="107"/>
      <c r="AK31" s="663"/>
      <c r="AL31" s="664"/>
      <c r="AM31" s="664"/>
      <c r="AN31" s="664"/>
      <c r="AO31" s="664"/>
      <c r="AP31" s="664"/>
      <c r="AQ31" s="664"/>
      <c r="AR31" s="664"/>
      <c r="AS31" s="665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</row>
    <row r="32" spans="1:71" ht="12" customHeight="1" thickBot="1" x14ac:dyDescent="0.25">
      <c r="A32" s="651"/>
      <c r="B32" s="652"/>
      <c r="C32" s="652"/>
      <c r="D32" s="652"/>
      <c r="E32" s="652"/>
      <c r="F32" s="652"/>
      <c r="G32" s="652"/>
      <c r="H32" s="392" t="s">
        <v>306</v>
      </c>
      <c r="I32" s="392"/>
      <c r="J32" s="392"/>
      <c r="K32" s="392" t="s">
        <v>174</v>
      </c>
      <c r="L32" s="392"/>
      <c r="M32" s="392"/>
      <c r="N32" s="392" t="s">
        <v>307</v>
      </c>
      <c r="O32" s="392"/>
      <c r="P32" s="392"/>
      <c r="Q32" s="652"/>
      <c r="R32" s="652"/>
      <c r="S32" s="652"/>
      <c r="T32" s="392" t="s">
        <v>308</v>
      </c>
      <c r="U32" s="392"/>
      <c r="V32" s="392"/>
      <c r="W32" s="392" t="s">
        <v>180</v>
      </c>
      <c r="X32" s="392"/>
      <c r="Y32" s="392"/>
      <c r="Z32" s="392" t="s">
        <v>183</v>
      </c>
      <c r="AA32" s="392"/>
      <c r="AB32" s="392"/>
      <c r="AC32" s="652"/>
      <c r="AD32" s="652"/>
      <c r="AE32" s="652"/>
      <c r="AF32" s="657"/>
      <c r="AG32" s="658"/>
      <c r="AH32" s="658"/>
      <c r="AI32" s="659"/>
      <c r="AJ32" s="107"/>
      <c r="AK32" s="666"/>
      <c r="AL32" s="667"/>
      <c r="AM32" s="667"/>
      <c r="AN32" s="667"/>
      <c r="AO32" s="667"/>
      <c r="AP32" s="667"/>
      <c r="AQ32" s="667"/>
      <c r="AR32" s="667"/>
      <c r="AS32" s="668"/>
      <c r="AT32" s="107"/>
      <c r="AU32" s="471" t="s">
        <v>309</v>
      </c>
      <c r="AV32" s="472"/>
      <c r="AW32" s="472"/>
      <c r="AX32" s="472"/>
      <c r="AY32" s="472"/>
      <c r="AZ32" s="472"/>
      <c r="BA32" s="472"/>
      <c r="BB32" s="472"/>
      <c r="BC32" s="472"/>
      <c r="BD32" s="473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</row>
    <row r="33" spans="1:71" ht="12.75" thickTop="1" x14ac:dyDescent="0.2">
      <c r="A33" s="926"/>
      <c r="B33" s="927"/>
      <c r="C33" s="927"/>
      <c r="D33" s="927"/>
      <c r="E33" s="927"/>
      <c r="F33" s="927"/>
      <c r="G33" s="927"/>
      <c r="H33" s="453"/>
      <c r="I33" s="453"/>
      <c r="J33" s="453"/>
      <c r="K33" s="453"/>
      <c r="L33" s="453"/>
      <c r="M33" s="453"/>
      <c r="N33" s="453"/>
      <c r="O33" s="453"/>
      <c r="P33" s="453"/>
      <c r="Q33" s="453"/>
      <c r="R33" s="453"/>
      <c r="S33" s="453"/>
      <c r="T33" s="638"/>
      <c r="U33" s="638"/>
      <c r="V33" s="638"/>
      <c r="W33" s="638"/>
      <c r="X33" s="638"/>
      <c r="Y33" s="638"/>
      <c r="Z33" s="638"/>
      <c r="AA33" s="638"/>
      <c r="AB33" s="638"/>
      <c r="AC33" s="638"/>
      <c r="AD33" s="638"/>
      <c r="AE33" s="638"/>
      <c r="AF33" s="453"/>
      <c r="AG33" s="453"/>
      <c r="AH33" s="453"/>
      <c r="AI33" s="454"/>
      <c r="AJ33" s="107"/>
      <c r="AK33" s="920" t="str">
        <f>IFERROR(AN33*(1-$BB$30),"")</f>
        <v/>
      </c>
      <c r="AL33" s="921"/>
      <c r="AM33" s="921"/>
      <c r="AN33" s="921" t="str">
        <f>IFERROR(($AK$53*Q33),"")</f>
        <v/>
      </c>
      <c r="AO33" s="921"/>
      <c r="AP33" s="921"/>
      <c r="AQ33" s="921" t="str">
        <f>IFERROR(AN33*(1+$BB$29),"")</f>
        <v/>
      </c>
      <c r="AR33" s="921"/>
      <c r="AS33" s="922"/>
      <c r="AT33" s="107"/>
      <c r="AU33" s="923" t="str">
        <f t="shared" ref="AU33:AU52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24"/>
      <c r="AW33" s="924"/>
      <c r="AX33" s="924"/>
      <c r="AY33" s="924"/>
      <c r="AZ33" s="924"/>
      <c r="BA33" s="924"/>
      <c r="BB33" s="924"/>
      <c r="BC33" s="924"/>
      <c r="BD33" s="925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</row>
    <row r="34" spans="1:71" ht="12" customHeight="1" x14ac:dyDescent="0.2">
      <c r="A34" s="926"/>
      <c r="B34" s="927"/>
      <c r="C34" s="927"/>
      <c r="D34" s="927"/>
      <c r="E34" s="927"/>
      <c r="F34" s="927"/>
      <c r="G34" s="927"/>
      <c r="H34" s="453"/>
      <c r="I34" s="453"/>
      <c r="J34" s="453"/>
      <c r="K34" s="453"/>
      <c r="L34" s="453"/>
      <c r="M34" s="453"/>
      <c r="N34" s="453"/>
      <c r="O34" s="453"/>
      <c r="P34" s="453"/>
      <c r="Q34" s="453"/>
      <c r="R34" s="453"/>
      <c r="S34" s="453"/>
      <c r="T34" s="638"/>
      <c r="U34" s="638"/>
      <c r="V34" s="638"/>
      <c r="W34" s="638"/>
      <c r="X34" s="638"/>
      <c r="Y34" s="638"/>
      <c r="Z34" s="638"/>
      <c r="AA34" s="638"/>
      <c r="AB34" s="638"/>
      <c r="AC34" s="638"/>
      <c r="AD34" s="638"/>
      <c r="AE34" s="638"/>
      <c r="AF34" s="400"/>
      <c r="AG34" s="400"/>
      <c r="AH34" s="400"/>
      <c r="AI34" s="401"/>
      <c r="AJ34" s="107"/>
      <c r="AK34" s="920" t="str">
        <f t="shared" ref="AK34:AK52" si="1">IFERROR(AN34*(1-$BB$30),"")</f>
        <v/>
      </c>
      <c r="AL34" s="921"/>
      <c r="AM34" s="921"/>
      <c r="AN34" s="921" t="str">
        <f t="shared" ref="AN34:AN52" si="2">IFERROR(($AK$53*Q34),"")</f>
        <v/>
      </c>
      <c r="AO34" s="921"/>
      <c r="AP34" s="921"/>
      <c r="AQ34" s="921" t="str">
        <f t="shared" ref="AQ34:AQ52" si="3">IFERROR(AN34*(1+$BB$29),"")</f>
        <v/>
      </c>
      <c r="AR34" s="921"/>
      <c r="AS34" s="922"/>
      <c r="AT34" s="107"/>
      <c r="AU34" s="923" t="str">
        <f t="shared" si="0"/>
        <v/>
      </c>
      <c r="AV34" s="924"/>
      <c r="AW34" s="924"/>
      <c r="AX34" s="924"/>
      <c r="AY34" s="924"/>
      <c r="AZ34" s="924"/>
      <c r="BA34" s="924"/>
      <c r="BB34" s="924"/>
      <c r="BC34" s="924"/>
      <c r="BD34" s="925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</row>
    <row r="35" spans="1:71" ht="12" customHeight="1" x14ac:dyDescent="0.2">
      <c r="A35" s="926"/>
      <c r="B35" s="927"/>
      <c r="C35" s="927"/>
      <c r="D35" s="927"/>
      <c r="E35" s="927"/>
      <c r="F35" s="927"/>
      <c r="G35" s="927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638"/>
      <c r="U35" s="638"/>
      <c r="V35" s="638"/>
      <c r="W35" s="638"/>
      <c r="X35" s="638"/>
      <c r="Y35" s="638"/>
      <c r="Z35" s="638"/>
      <c r="AA35" s="638"/>
      <c r="AB35" s="638"/>
      <c r="AC35" s="638"/>
      <c r="AD35" s="638"/>
      <c r="AE35" s="638"/>
      <c r="AF35" s="400"/>
      <c r="AG35" s="400"/>
      <c r="AH35" s="400"/>
      <c r="AI35" s="401"/>
      <c r="AJ35" s="107"/>
      <c r="AK35" s="920" t="str">
        <f t="shared" si="1"/>
        <v/>
      </c>
      <c r="AL35" s="921"/>
      <c r="AM35" s="921"/>
      <c r="AN35" s="921" t="str">
        <f t="shared" si="2"/>
        <v/>
      </c>
      <c r="AO35" s="921"/>
      <c r="AP35" s="921"/>
      <c r="AQ35" s="921" t="str">
        <f t="shared" si="3"/>
        <v/>
      </c>
      <c r="AR35" s="921"/>
      <c r="AS35" s="922"/>
      <c r="AT35" s="107"/>
      <c r="AU35" s="923" t="str">
        <f t="shared" si="0"/>
        <v/>
      </c>
      <c r="AV35" s="924"/>
      <c r="AW35" s="924"/>
      <c r="AX35" s="924"/>
      <c r="AY35" s="924"/>
      <c r="AZ35" s="924"/>
      <c r="BA35" s="924"/>
      <c r="BB35" s="924"/>
      <c r="BC35" s="924"/>
      <c r="BD35" s="925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</row>
    <row r="36" spans="1:71" ht="12" customHeight="1" x14ac:dyDescent="0.2">
      <c r="A36" s="926"/>
      <c r="B36" s="927"/>
      <c r="C36" s="927"/>
      <c r="D36" s="927"/>
      <c r="E36" s="927"/>
      <c r="F36" s="927"/>
      <c r="G36" s="927"/>
      <c r="H36" s="453"/>
      <c r="I36" s="453"/>
      <c r="J36" s="453"/>
      <c r="K36" s="453"/>
      <c r="L36" s="453"/>
      <c r="M36" s="453"/>
      <c r="N36" s="453"/>
      <c r="O36" s="453"/>
      <c r="P36" s="453"/>
      <c r="Q36" s="453"/>
      <c r="R36" s="453"/>
      <c r="S36" s="453"/>
      <c r="T36" s="638"/>
      <c r="U36" s="638"/>
      <c r="V36" s="638"/>
      <c r="W36" s="638"/>
      <c r="X36" s="638"/>
      <c r="Y36" s="638"/>
      <c r="Z36" s="638"/>
      <c r="AA36" s="638"/>
      <c r="AB36" s="638"/>
      <c r="AC36" s="638"/>
      <c r="AD36" s="638"/>
      <c r="AE36" s="638"/>
      <c r="AF36" s="400"/>
      <c r="AG36" s="400"/>
      <c r="AH36" s="400"/>
      <c r="AI36" s="401"/>
      <c r="AJ36" s="107"/>
      <c r="AK36" s="920" t="str">
        <f t="shared" si="1"/>
        <v/>
      </c>
      <c r="AL36" s="921"/>
      <c r="AM36" s="921"/>
      <c r="AN36" s="921" t="str">
        <f t="shared" si="2"/>
        <v/>
      </c>
      <c r="AO36" s="921"/>
      <c r="AP36" s="921"/>
      <c r="AQ36" s="921" t="str">
        <f t="shared" si="3"/>
        <v/>
      </c>
      <c r="AR36" s="921"/>
      <c r="AS36" s="922"/>
      <c r="AT36" s="107"/>
      <c r="AU36" s="923" t="str">
        <f t="shared" si="0"/>
        <v/>
      </c>
      <c r="AV36" s="924"/>
      <c r="AW36" s="924"/>
      <c r="AX36" s="924"/>
      <c r="AY36" s="924"/>
      <c r="AZ36" s="924"/>
      <c r="BA36" s="924"/>
      <c r="BB36" s="924"/>
      <c r="BC36" s="924"/>
      <c r="BD36" s="925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</row>
    <row r="37" spans="1:71" ht="12" customHeight="1" x14ac:dyDescent="0.2">
      <c r="A37" s="926"/>
      <c r="B37" s="927"/>
      <c r="C37" s="927"/>
      <c r="D37" s="927"/>
      <c r="E37" s="927"/>
      <c r="F37" s="927"/>
      <c r="G37" s="927"/>
      <c r="H37" s="453"/>
      <c r="I37" s="453"/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638"/>
      <c r="U37" s="638"/>
      <c r="V37" s="638"/>
      <c r="W37" s="638"/>
      <c r="X37" s="638"/>
      <c r="Y37" s="638"/>
      <c r="Z37" s="638"/>
      <c r="AA37" s="638"/>
      <c r="AB37" s="638"/>
      <c r="AC37" s="638"/>
      <c r="AD37" s="638"/>
      <c r="AE37" s="638"/>
      <c r="AF37" s="400"/>
      <c r="AG37" s="400"/>
      <c r="AH37" s="400"/>
      <c r="AI37" s="401"/>
      <c r="AJ37" s="107"/>
      <c r="AK37" s="920" t="str">
        <f t="shared" si="1"/>
        <v/>
      </c>
      <c r="AL37" s="921"/>
      <c r="AM37" s="921"/>
      <c r="AN37" s="921" t="str">
        <f t="shared" si="2"/>
        <v/>
      </c>
      <c r="AO37" s="921"/>
      <c r="AP37" s="921"/>
      <c r="AQ37" s="921" t="str">
        <f t="shared" si="3"/>
        <v/>
      </c>
      <c r="AR37" s="921"/>
      <c r="AS37" s="922"/>
      <c r="AT37" s="107"/>
      <c r="AU37" s="923" t="str">
        <f t="shared" si="0"/>
        <v/>
      </c>
      <c r="AV37" s="924"/>
      <c r="AW37" s="924"/>
      <c r="AX37" s="924"/>
      <c r="AY37" s="924"/>
      <c r="AZ37" s="924"/>
      <c r="BA37" s="924"/>
      <c r="BB37" s="924"/>
      <c r="BC37" s="924"/>
      <c r="BD37" s="925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</row>
    <row r="38" spans="1:71" ht="12" customHeight="1" x14ac:dyDescent="0.2">
      <c r="A38" s="926"/>
      <c r="B38" s="927"/>
      <c r="C38" s="927"/>
      <c r="D38" s="927"/>
      <c r="E38" s="927"/>
      <c r="F38" s="927"/>
      <c r="G38" s="927"/>
      <c r="H38" s="453"/>
      <c r="I38" s="453"/>
      <c r="J38" s="453"/>
      <c r="K38" s="453"/>
      <c r="L38" s="453"/>
      <c r="M38" s="453"/>
      <c r="N38" s="453"/>
      <c r="O38" s="453"/>
      <c r="P38" s="453"/>
      <c r="Q38" s="453"/>
      <c r="R38" s="453"/>
      <c r="S38" s="453"/>
      <c r="T38" s="638"/>
      <c r="U38" s="638"/>
      <c r="V38" s="638"/>
      <c r="W38" s="638"/>
      <c r="X38" s="638"/>
      <c r="Y38" s="638"/>
      <c r="Z38" s="638"/>
      <c r="AA38" s="638"/>
      <c r="AB38" s="638"/>
      <c r="AC38" s="638"/>
      <c r="AD38" s="638"/>
      <c r="AE38" s="638"/>
      <c r="AF38" s="400"/>
      <c r="AG38" s="400"/>
      <c r="AH38" s="400"/>
      <c r="AI38" s="401"/>
      <c r="AJ38" s="107"/>
      <c r="AK38" s="920" t="str">
        <f t="shared" si="1"/>
        <v/>
      </c>
      <c r="AL38" s="921"/>
      <c r="AM38" s="921"/>
      <c r="AN38" s="921" t="str">
        <f t="shared" si="2"/>
        <v/>
      </c>
      <c r="AO38" s="921"/>
      <c r="AP38" s="921"/>
      <c r="AQ38" s="921" t="str">
        <f t="shared" si="3"/>
        <v/>
      </c>
      <c r="AR38" s="921"/>
      <c r="AS38" s="922"/>
      <c r="AT38" s="107"/>
      <c r="AU38" s="923" t="str">
        <f t="shared" si="0"/>
        <v/>
      </c>
      <c r="AV38" s="924"/>
      <c r="AW38" s="924"/>
      <c r="AX38" s="924"/>
      <c r="AY38" s="924"/>
      <c r="AZ38" s="924"/>
      <c r="BA38" s="924"/>
      <c r="BB38" s="924"/>
      <c r="BC38" s="924"/>
      <c r="BD38" s="925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</row>
    <row r="39" spans="1:71" ht="12" customHeight="1" x14ac:dyDescent="0.2">
      <c r="A39" s="926"/>
      <c r="B39" s="927"/>
      <c r="C39" s="927"/>
      <c r="D39" s="927"/>
      <c r="E39" s="927"/>
      <c r="F39" s="927"/>
      <c r="G39" s="927"/>
      <c r="H39" s="453"/>
      <c r="I39" s="453"/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638"/>
      <c r="U39" s="638"/>
      <c r="V39" s="638"/>
      <c r="W39" s="638"/>
      <c r="X39" s="638"/>
      <c r="Y39" s="638"/>
      <c r="Z39" s="638"/>
      <c r="AA39" s="638"/>
      <c r="AB39" s="638"/>
      <c r="AC39" s="638"/>
      <c r="AD39" s="638"/>
      <c r="AE39" s="638"/>
      <c r="AF39" s="400"/>
      <c r="AG39" s="400"/>
      <c r="AH39" s="400"/>
      <c r="AI39" s="401"/>
      <c r="AJ39" s="107"/>
      <c r="AK39" s="920" t="str">
        <f t="shared" si="1"/>
        <v/>
      </c>
      <c r="AL39" s="921"/>
      <c r="AM39" s="921"/>
      <c r="AN39" s="921" t="str">
        <f t="shared" si="2"/>
        <v/>
      </c>
      <c r="AO39" s="921"/>
      <c r="AP39" s="921"/>
      <c r="AQ39" s="921" t="str">
        <f t="shared" si="3"/>
        <v/>
      </c>
      <c r="AR39" s="921"/>
      <c r="AS39" s="922"/>
      <c r="AT39" s="107"/>
      <c r="AU39" s="923" t="str">
        <f t="shared" si="0"/>
        <v/>
      </c>
      <c r="AV39" s="924"/>
      <c r="AW39" s="924"/>
      <c r="AX39" s="924"/>
      <c r="AY39" s="924"/>
      <c r="AZ39" s="924"/>
      <c r="BA39" s="924"/>
      <c r="BB39" s="924"/>
      <c r="BC39" s="924"/>
      <c r="BD39" s="925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</row>
    <row r="40" spans="1:71" ht="12" customHeight="1" x14ac:dyDescent="0.2">
      <c r="A40" s="926"/>
      <c r="B40" s="927"/>
      <c r="C40" s="927"/>
      <c r="D40" s="927"/>
      <c r="E40" s="927"/>
      <c r="F40" s="927"/>
      <c r="G40" s="927"/>
      <c r="H40" s="453"/>
      <c r="I40" s="453"/>
      <c r="J40" s="453"/>
      <c r="K40" s="453"/>
      <c r="L40" s="453"/>
      <c r="M40" s="453"/>
      <c r="N40" s="453"/>
      <c r="O40" s="453"/>
      <c r="P40" s="453"/>
      <c r="Q40" s="453"/>
      <c r="R40" s="453"/>
      <c r="S40" s="453"/>
      <c r="T40" s="638"/>
      <c r="U40" s="638"/>
      <c r="V40" s="638"/>
      <c r="W40" s="638"/>
      <c r="X40" s="638"/>
      <c r="Y40" s="638"/>
      <c r="Z40" s="638"/>
      <c r="AA40" s="638"/>
      <c r="AB40" s="638"/>
      <c r="AC40" s="638"/>
      <c r="AD40" s="638"/>
      <c r="AE40" s="638"/>
      <c r="AF40" s="400"/>
      <c r="AG40" s="400"/>
      <c r="AH40" s="400"/>
      <c r="AI40" s="401"/>
      <c r="AJ40" s="107"/>
      <c r="AK40" s="920" t="str">
        <f t="shared" si="1"/>
        <v/>
      </c>
      <c r="AL40" s="921"/>
      <c r="AM40" s="921"/>
      <c r="AN40" s="921" t="str">
        <f t="shared" si="2"/>
        <v/>
      </c>
      <c r="AO40" s="921"/>
      <c r="AP40" s="921"/>
      <c r="AQ40" s="921" t="str">
        <f t="shared" si="3"/>
        <v/>
      </c>
      <c r="AR40" s="921"/>
      <c r="AS40" s="922"/>
      <c r="AT40" s="107"/>
      <c r="AU40" s="923" t="str">
        <f t="shared" si="0"/>
        <v/>
      </c>
      <c r="AV40" s="924"/>
      <c r="AW40" s="924"/>
      <c r="AX40" s="924"/>
      <c r="AY40" s="924"/>
      <c r="AZ40" s="924"/>
      <c r="BA40" s="924"/>
      <c r="BB40" s="924"/>
      <c r="BC40" s="924"/>
      <c r="BD40" s="925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</row>
    <row r="41" spans="1:71" ht="12" customHeight="1" x14ac:dyDescent="0.2">
      <c r="A41" s="926"/>
      <c r="B41" s="927"/>
      <c r="C41" s="927"/>
      <c r="D41" s="927"/>
      <c r="E41" s="927"/>
      <c r="F41" s="927"/>
      <c r="G41" s="927"/>
      <c r="H41" s="453"/>
      <c r="I41" s="453"/>
      <c r="J41" s="453"/>
      <c r="K41" s="453"/>
      <c r="L41" s="453"/>
      <c r="M41" s="453"/>
      <c r="N41" s="453"/>
      <c r="O41" s="453"/>
      <c r="P41" s="453"/>
      <c r="Q41" s="453"/>
      <c r="R41" s="453"/>
      <c r="S41" s="453"/>
      <c r="T41" s="638"/>
      <c r="U41" s="638"/>
      <c r="V41" s="638"/>
      <c r="W41" s="638"/>
      <c r="X41" s="638"/>
      <c r="Y41" s="638"/>
      <c r="Z41" s="638"/>
      <c r="AA41" s="638"/>
      <c r="AB41" s="638"/>
      <c r="AC41" s="638"/>
      <c r="AD41" s="638"/>
      <c r="AE41" s="638"/>
      <c r="AF41" s="400"/>
      <c r="AG41" s="400"/>
      <c r="AH41" s="400"/>
      <c r="AI41" s="401"/>
      <c r="AJ41" s="107"/>
      <c r="AK41" s="920" t="str">
        <f t="shared" si="1"/>
        <v/>
      </c>
      <c r="AL41" s="921"/>
      <c r="AM41" s="921"/>
      <c r="AN41" s="921" t="str">
        <f t="shared" si="2"/>
        <v/>
      </c>
      <c r="AO41" s="921"/>
      <c r="AP41" s="921"/>
      <c r="AQ41" s="921" t="str">
        <f t="shared" si="3"/>
        <v/>
      </c>
      <c r="AR41" s="921"/>
      <c r="AS41" s="922"/>
      <c r="AT41" s="107"/>
      <c r="AU41" s="923" t="str">
        <f t="shared" si="0"/>
        <v/>
      </c>
      <c r="AV41" s="924"/>
      <c r="AW41" s="924"/>
      <c r="AX41" s="924"/>
      <c r="AY41" s="924"/>
      <c r="AZ41" s="924"/>
      <c r="BA41" s="924"/>
      <c r="BB41" s="924"/>
      <c r="BC41" s="924"/>
      <c r="BD41" s="925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</row>
    <row r="42" spans="1:71" ht="12" customHeight="1" x14ac:dyDescent="0.2">
      <c r="A42" s="926"/>
      <c r="B42" s="927"/>
      <c r="C42" s="927"/>
      <c r="D42" s="927"/>
      <c r="E42" s="927"/>
      <c r="F42" s="927"/>
      <c r="G42" s="927"/>
      <c r="H42" s="453"/>
      <c r="I42" s="453"/>
      <c r="J42" s="453"/>
      <c r="K42" s="453"/>
      <c r="L42" s="453"/>
      <c r="M42" s="453"/>
      <c r="N42" s="453"/>
      <c r="O42" s="453"/>
      <c r="P42" s="453"/>
      <c r="Q42" s="453"/>
      <c r="R42" s="453"/>
      <c r="S42" s="453"/>
      <c r="T42" s="638"/>
      <c r="U42" s="638"/>
      <c r="V42" s="638"/>
      <c r="W42" s="638"/>
      <c r="X42" s="638"/>
      <c r="Y42" s="638"/>
      <c r="Z42" s="638"/>
      <c r="AA42" s="638"/>
      <c r="AB42" s="638"/>
      <c r="AC42" s="638"/>
      <c r="AD42" s="638"/>
      <c r="AE42" s="638"/>
      <c r="AF42" s="400"/>
      <c r="AG42" s="400"/>
      <c r="AH42" s="400"/>
      <c r="AI42" s="401"/>
      <c r="AJ42" s="107"/>
      <c r="AK42" s="920" t="str">
        <f t="shared" si="1"/>
        <v/>
      </c>
      <c r="AL42" s="921"/>
      <c r="AM42" s="921"/>
      <c r="AN42" s="921" t="str">
        <f t="shared" si="2"/>
        <v/>
      </c>
      <c r="AO42" s="921"/>
      <c r="AP42" s="921"/>
      <c r="AQ42" s="921" t="str">
        <f t="shared" si="3"/>
        <v/>
      </c>
      <c r="AR42" s="921"/>
      <c r="AS42" s="922"/>
      <c r="AT42" s="107"/>
      <c r="AU42" s="923" t="str">
        <f t="shared" si="0"/>
        <v/>
      </c>
      <c r="AV42" s="924"/>
      <c r="AW42" s="924"/>
      <c r="AX42" s="924"/>
      <c r="AY42" s="924"/>
      <c r="AZ42" s="924"/>
      <c r="BA42" s="924"/>
      <c r="BB42" s="924"/>
      <c r="BC42" s="924"/>
      <c r="BD42" s="925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</row>
    <row r="43" spans="1:71" ht="12" customHeight="1" x14ac:dyDescent="0.2">
      <c r="A43" s="926"/>
      <c r="B43" s="927"/>
      <c r="C43" s="927"/>
      <c r="D43" s="927"/>
      <c r="E43" s="927"/>
      <c r="F43" s="927"/>
      <c r="G43" s="927"/>
      <c r="H43" s="453"/>
      <c r="I43" s="453"/>
      <c r="J43" s="453"/>
      <c r="K43" s="453"/>
      <c r="L43" s="453"/>
      <c r="M43" s="453"/>
      <c r="N43" s="453"/>
      <c r="O43" s="453"/>
      <c r="P43" s="453"/>
      <c r="Q43" s="453"/>
      <c r="R43" s="453"/>
      <c r="S43" s="453"/>
      <c r="T43" s="638"/>
      <c r="U43" s="638"/>
      <c r="V43" s="638"/>
      <c r="W43" s="638"/>
      <c r="X43" s="638"/>
      <c r="Y43" s="638"/>
      <c r="Z43" s="638"/>
      <c r="AA43" s="638"/>
      <c r="AB43" s="638"/>
      <c r="AC43" s="638"/>
      <c r="AD43" s="638"/>
      <c r="AE43" s="638"/>
      <c r="AF43" s="400"/>
      <c r="AG43" s="400"/>
      <c r="AH43" s="400"/>
      <c r="AI43" s="401"/>
      <c r="AJ43" s="107"/>
      <c r="AK43" s="920" t="str">
        <f t="shared" si="1"/>
        <v/>
      </c>
      <c r="AL43" s="921"/>
      <c r="AM43" s="921"/>
      <c r="AN43" s="921" t="str">
        <f t="shared" si="2"/>
        <v/>
      </c>
      <c r="AO43" s="921"/>
      <c r="AP43" s="921"/>
      <c r="AQ43" s="921" t="str">
        <f t="shared" si="3"/>
        <v/>
      </c>
      <c r="AR43" s="921"/>
      <c r="AS43" s="922"/>
      <c r="AT43" s="107"/>
      <c r="AU43" s="923" t="str">
        <f t="shared" si="0"/>
        <v/>
      </c>
      <c r="AV43" s="924"/>
      <c r="AW43" s="924"/>
      <c r="AX43" s="924"/>
      <c r="AY43" s="924"/>
      <c r="AZ43" s="924"/>
      <c r="BA43" s="924"/>
      <c r="BB43" s="924"/>
      <c r="BC43" s="924"/>
      <c r="BD43" s="925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</row>
    <row r="44" spans="1:71" ht="12" customHeight="1" x14ac:dyDescent="0.2">
      <c r="A44" s="926"/>
      <c r="B44" s="927"/>
      <c r="C44" s="927"/>
      <c r="D44" s="927"/>
      <c r="E44" s="927"/>
      <c r="F44" s="927"/>
      <c r="G44" s="927"/>
      <c r="H44" s="453"/>
      <c r="I44" s="453"/>
      <c r="J44" s="453"/>
      <c r="K44" s="453"/>
      <c r="L44" s="453"/>
      <c r="M44" s="453"/>
      <c r="N44" s="453"/>
      <c r="O44" s="453"/>
      <c r="P44" s="453"/>
      <c r="Q44" s="453"/>
      <c r="R44" s="453"/>
      <c r="S44" s="453"/>
      <c r="T44" s="638"/>
      <c r="U44" s="638"/>
      <c r="V44" s="638"/>
      <c r="W44" s="638"/>
      <c r="X44" s="638"/>
      <c r="Y44" s="638"/>
      <c r="Z44" s="638"/>
      <c r="AA44" s="638"/>
      <c r="AB44" s="638"/>
      <c r="AC44" s="638"/>
      <c r="AD44" s="638"/>
      <c r="AE44" s="638"/>
      <c r="AF44" s="400"/>
      <c r="AG44" s="400"/>
      <c r="AH44" s="400"/>
      <c r="AI44" s="401"/>
      <c r="AJ44" s="107"/>
      <c r="AK44" s="920" t="str">
        <f t="shared" si="1"/>
        <v/>
      </c>
      <c r="AL44" s="921"/>
      <c r="AM44" s="921"/>
      <c r="AN44" s="921" t="str">
        <f t="shared" si="2"/>
        <v/>
      </c>
      <c r="AO44" s="921"/>
      <c r="AP44" s="921"/>
      <c r="AQ44" s="921" t="str">
        <f t="shared" si="3"/>
        <v/>
      </c>
      <c r="AR44" s="921"/>
      <c r="AS44" s="922"/>
      <c r="AT44" s="107"/>
      <c r="AU44" s="923" t="str">
        <f t="shared" si="0"/>
        <v/>
      </c>
      <c r="AV44" s="924"/>
      <c r="AW44" s="924"/>
      <c r="AX44" s="924"/>
      <c r="AY44" s="924"/>
      <c r="AZ44" s="924"/>
      <c r="BA44" s="924"/>
      <c r="BB44" s="924"/>
      <c r="BC44" s="924"/>
      <c r="BD44" s="925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</row>
    <row r="45" spans="1:71" ht="12" customHeight="1" x14ac:dyDescent="0.2">
      <c r="A45" s="926"/>
      <c r="B45" s="927"/>
      <c r="C45" s="927"/>
      <c r="D45" s="927"/>
      <c r="E45" s="927"/>
      <c r="F45" s="927"/>
      <c r="G45" s="927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53"/>
      <c r="S45" s="453"/>
      <c r="T45" s="638"/>
      <c r="U45" s="638"/>
      <c r="V45" s="638"/>
      <c r="W45" s="638"/>
      <c r="X45" s="638"/>
      <c r="Y45" s="638"/>
      <c r="Z45" s="638"/>
      <c r="AA45" s="638"/>
      <c r="AB45" s="638"/>
      <c r="AC45" s="638"/>
      <c r="AD45" s="638"/>
      <c r="AE45" s="638"/>
      <c r="AF45" s="400"/>
      <c r="AG45" s="400"/>
      <c r="AH45" s="400"/>
      <c r="AI45" s="401"/>
      <c r="AJ45" s="107"/>
      <c r="AK45" s="920" t="str">
        <f t="shared" si="1"/>
        <v/>
      </c>
      <c r="AL45" s="921"/>
      <c r="AM45" s="921"/>
      <c r="AN45" s="921" t="str">
        <f t="shared" si="2"/>
        <v/>
      </c>
      <c r="AO45" s="921"/>
      <c r="AP45" s="921"/>
      <c r="AQ45" s="921" t="str">
        <f t="shared" si="3"/>
        <v/>
      </c>
      <c r="AR45" s="921"/>
      <c r="AS45" s="922"/>
      <c r="AT45" s="107"/>
      <c r="AU45" s="923" t="str">
        <f t="shared" si="0"/>
        <v/>
      </c>
      <c r="AV45" s="924"/>
      <c r="AW45" s="924"/>
      <c r="AX45" s="924"/>
      <c r="AY45" s="924"/>
      <c r="AZ45" s="924"/>
      <c r="BA45" s="924"/>
      <c r="BB45" s="924"/>
      <c r="BC45" s="924"/>
      <c r="BD45" s="925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</row>
    <row r="46" spans="1:71" ht="12" customHeight="1" x14ac:dyDescent="0.2">
      <c r="A46" s="926"/>
      <c r="B46" s="927"/>
      <c r="C46" s="927"/>
      <c r="D46" s="927"/>
      <c r="E46" s="927"/>
      <c r="F46" s="927"/>
      <c r="G46" s="927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638"/>
      <c r="U46" s="638"/>
      <c r="V46" s="638"/>
      <c r="W46" s="638"/>
      <c r="X46" s="638"/>
      <c r="Y46" s="638"/>
      <c r="Z46" s="638"/>
      <c r="AA46" s="638"/>
      <c r="AB46" s="638"/>
      <c r="AC46" s="638"/>
      <c r="AD46" s="638"/>
      <c r="AE46" s="638"/>
      <c r="AF46" s="400"/>
      <c r="AG46" s="400"/>
      <c r="AH46" s="400"/>
      <c r="AI46" s="401"/>
      <c r="AJ46" s="107"/>
      <c r="AK46" s="920" t="str">
        <f t="shared" si="1"/>
        <v/>
      </c>
      <c r="AL46" s="921"/>
      <c r="AM46" s="921"/>
      <c r="AN46" s="921" t="str">
        <f t="shared" si="2"/>
        <v/>
      </c>
      <c r="AO46" s="921"/>
      <c r="AP46" s="921"/>
      <c r="AQ46" s="921" t="str">
        <f t="shared" si="3"/>
        <v/>
      </c>
      <c r="AR46" s="921"/>
      <c r="AS46" s="922"/>
      <c r="AT46" s="107"/>
      <c r="AU46" s="923" t="str">
        <f t="shared" si="0"/>
        <v/>
      </c>
      <c r="AV46" s="924"/>
      <c r="AW46" s="924"/>
      <c r="AX46" s="924"/>
      <c r="AY46" s="924"/>
      <c r="AZ46" s="924"/>
      <c r="BA46" s="924"/>
      <c r="BB46" s="924"/>
      <c r="BC46" s="924"/>
      <c r="BD46" s="925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</row>
    <row r="47" spans="1:71" ht="12" customHeight="1" x14ac:dyDescent="0.2">
      <c r="A47" s="926"/>
      <c r="B47" s="927"/>
      <c r="C47" s="927"/>
      <c r="D47" s="927"/>
      <c r="E47" s="927"/>
      <c r="F47" s="927"/>
      <c r="G47" s="927"/>
      <c r="H47" s="453"/>
      <c r="I47" s="453"/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638"/>
      <c r="U47" s="638"/>
      <c r="V47" s="638"/>
      <c r="W47" s="638"/>
      <c r="X47" s="638"/>
      <c r="Y47" s="638"/>
      <c r="Z47" s="638"/>
      <c r="AA47" s="638"/>
      <c r="AB47" s="638"/>
      <c r="AC47" s="638"/>
      <c r="AD47" s="638"/>
      <c r="AE47" s="638"/>
      <c r="AF47" s="400"/>
      <c r="AG47" s="400"/>
      <c r="AH47" s="400"/>
      <c r="AI47" s="401"/>
      <c r="AJ47" s="107"/>
      <c r="AK47" s="920" t="str">
        <f t="shared" si="1"/>
        <v/>
      </c>
      <c r="AL47" s="921"/>
      <c r="AM47" s="921"/>
      <c r="AN47" s="921" t="str">
        <f t="shared" si="2"/>
        <v/>
      </c>
      <c r="AO47" s="921"/>
      <c r="AP47" s="921"/>
      <c r="AQ47" s="921" t="str">
        <f t="shared" si="3"/>
        <v/>
      </c>
      <c r="AR47" s="921"/>
      <c r="AS47" s="922"/>
      <c r="AT47" s="107"/>
      <c r="AU47" s="923" t="str">
        <f t="shared" si="0"/>
        <v/>
      </c>
      <c r="AV47" s="924"/>
      <c r="AW47" s="924"/>
      <c r="AX47" s="924"/>
      <c r="AY47" s="924"/>
      <c r="AZ47" s="924"/>
      <c r="BA47" s="924"/>
      <c r="BB47" s="924"/>
      <c r="BC47" s="924"/>
      <c r="BD47" s="925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</row>
    <row r="48" spans="1:71" ht="12" customHeight="1" x14ac:dyDescent="0.2">
      <c r="A48" s="926"/>
      <c r="B48" s="927"/>
      <c r="C48" s="927"/>
      <c r="D48" s="927"/>
      <c r="E48" s="927"/>
      <c r="F48" s="927"/>
      <c r="G48" s="927"/>
      <c r="H48" s="453"/>
      <c r="I48" s="453"/>
      <c r="J48" s="453"/>
      <c r="K48" s="453"/>
      <c r="L48" s="453"/>
      <c r="M48" s="453"/>
      <c r="N48" s="453"/>
      <c r="O48" s="453"/>
      <c r="P48" s="453"/>
      <c r="Q48" s="453"/>
      <c r="R48" s="453"/>
      <c r="S48" s="453"/>
      <c r="T48" s="638"/>
      <c r="U48" s="638"/>
      <c r="V48" s="638"/>
      <c r="W48" s="638"/>
      <c r="X48" s="638"/>
      <c r="Y48" s="638"/>
      <c r="Z48" s="638"/>
      <c r="AA48" s="638"/>
      <c r="AB48" s="638"/>
      <c r="AC48" s="638"/>
      <c r="AD48" s="638"/>
      <c r="AE48" s="638"/>
      <c r="AF48" s="400"/>
      <c r="AG48" s="400"/>
      <c r="AH48" s="400"/>
      <c r="AI48" s="401"/>
      <c r="AJ48" s="107"/>
      <c r="AK48" s="920" t="str">
        <f t="shared" si="1"/>
        <v/>
      </c>
      <c r="AL48" s="921"/>
      <c r="AM48" s="921"/>
      <c r="AN48" s="921" t="str">
        <f t="shared" si="2"/>
        <v/>
      </c>
      <c r="AO48" s="921"/>
      <c r="AP48" s="921"/>
      <c r="AQ48" s="921" t="str">
        <f t="shared" si="3"/>
        <v/>
      </c>
      <c r="AR48" s="921"/>
      <c r="AS48" s="922"/>
      <c r="AT48" s="107"/>
      <c r="AU48" s="923" t="str">
        <f t="shared" si="0"/>
        <v/>
      </c>
      <c r="AV48" s="924"/>
      <c r="AW48" s="924"/>
      <c r="AX48" s="924"/>
      <c r="AY48" s="924"/>
      <c r="AZ48" s="924"/>
      <c r="BA48" s="924"/>
      <c r="BB48" s="924"/>
      <c r="BC48" s="924"/>
      <c r="BD48" s="925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</row>
    <row r="49" spans="1:71" ht="12" customHeight="1" x14ac:dyDescent="0.2">
      <c r="A49" s="926"/>
      <c r="B49" s="927"/>
      <c r="C49" s="927"/>
      <c r="D49" s="927"/>
      <c r="E49" s="927"/>
      <c r="F49" s="927"/>
      <c r="G49" s="927"/>
      <c r="H49" s="453"/>
      <c r="I49" s="453"/>
      <c r="J49" s="453"/>
      <c r="K49" s="453"/>
      <c r="L49" s="453"/>
      <c r="M49" s="453"/>
      <c r="N49" s="453"/>
      <c r="O49" s="453"/>
      <c r="P49" s="453"/>
      <c r="Q49" s="453"/>
      <c r="R49" s="453"/>
      <c r="S49" s="453"/>
      <c r="T49" s="638"/>
      <c r="U49" s="638"/>
      <c r="V49" s="638"/>
      <c r="W49" s="638"/>
      <c r="X49" s="638"/>
      <c r="Y49" s="638"/>
      <c r="Z49" s="638"/>
      <c r="AA49" s="638"/>
      <c r="AB49" s="638"/>
      <c r="AC49" s="638"/>
      <c r="AD49" s="638"/>
      <c r="AE49" s="638"/>
      <c r="AF49" s="400"/>
      <c r="AG49" s="400"/>
      <c r="AH49" s="400"/>
      <c r="AI49" s="401"/>
      <c r="AJ49" s="107"/>
      <c r="AK49" s="920" t="str">
        <f t="shared" si="1"/>
        <v/>
      </c>
      <c r="AL49" s="921"/>
      <c r="AM49" s="921"/>
      <c r="AN49" s="921" t="str">
        <f t="shared" si="2"/>
        <v/>
      </c>
      <c r="AO49" s="921"/>
      <c r="AP49" s="921"/>
      <c r="AQ49" s="921" t="str">
        <f t="shared" si="3"/>
        <v/>
      </c>
      <c r="AR49" s="921"/>
      <c r="AS49" s="922"/>
      <c r="AT49" s="107"/>
      <c r="AU49" s="923" t="str">
        <f t="shared" si="0"/>
        <v/>
      </c>
      <c r="AV49" s="924"/>
      <c r="AW49" s="924"/>
      <c r="AX49" s="924"/>
      <c r="AY49" s="924"/>
      <c r="AZ49" s="924"/>
      <c r="BA49" s="924"/>
      <c r="BB49" s="924"/>
      <c r="BC49" s="924"/>
      <c r="BD49" s="925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</row>
    <row r="50" spans="1:71" ht="12" customHeight="1" x14ac:dyDescent="0.2">
      <c r="A50" s="926"/>
      <c r="B50" s="927"/>
      <c r="C50" s="927"/>
      <c r="D50" s="927"/>
      <c r="E50" s="927"/>
      <c r="F50" s="927"/>
      <c r="G50" s="927"/>
      <c r="H50" s="453"/>
      <c r="I50" s="453"/>
      <c r="J50" s="453"/>
      <c r="K50" s="453"/>
      <c r="L50" s="453"/>
      <c r="M50" s="453"/>
      <c r="N50" s="453"/>
      <c r="O50" s="453"/>
      <c r="P50" s="453"/>
      <c r="Q50" s="453"/>
      <c r="R50" s="453"/>
      <c r="S50" s="453"/>
      <c r="T50" s="638"/>
      <c r="U50" s="638"/>
      <c r="V50" s="638"/>
      <c r="W50" s="638"/>
      <c r="X50" s="638"/>
      <c r="Y50" s="638"/>
      <c r="Z50" s="638"/>
      <c r="AA50" s="638"/>
      <c r="AB50" s="638"/>
      <c r="AC50" s="638"/>
      <c r="AD50" s="638"/>
      <c r="AE50" s="638"/>
      <c r="AF50" s="400"/>
      <c r="AG50" s="400"/>
      <c r="AH50" s="400"/>
      <c r="AI50" s="401"/>
      <c r="AJ50" s="107"/>
      <c r="AK50" s="920" t="str">
        <f t="shared" si="1"/>
        <v/>
      </c>
      <c r="AL50" s="921"/>
      <c r="AM50" s="921"/>
      <c r="AN50" s="921" t="str">
        <f t="shared" si="2"/>
        <v/>
      </c>
      <c r="AO50" s="921"/>
      <c r="AP50" s="921"/>
      <c r="AQ50" s="921" t="str">
        <f t="shared" si="3"/>
        <v/>
      </c>
      <c r="AR50" s="921"/>
      <c r="AS50" s="922"/>
      <c r="AT50" s="107"/>
      <c r="AU50" s="923" t="str">
        <f t="shared" si="0"/>
        <v/>
      </c>
      <c r="AV50" s="924"/>
      <c r="AW50" s="924"/>
      <c r="AX50" s="924"/>
      <c r="AY50" s="924"/>
      <c r="AZ50" s="924"/>
      <c r="BA50" s="924"/>
      <c r="BB50" s="924"/>
      <c r="BC50" s="924"/>
      <c r="BD50" s="925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</row>
    <row r="51" spans="1:71" ht="12" customHeight="1" x14ac:dyDescent="0.2">
      <c r="A51" s="926"/>
      <c r="B51" s="927"/>
      <c r="C51" s="927"/>
      <c r="D51" s="927"/>
      <c r="E51" s="927"/>
      <c r="F51" s="927"/>
      <c r="G51" s="927"/>
      <c r="H51" s="453"/>
      <c r="I51" s="453"/>
      <c r="J51" s="453"/>
      <c r="K51" s="453"/>
      <c r="L51" s="453"/>
      <c r="M51" s="453"/>
      <c r="N51" s="453"/>
      <c r="O51" s="453"/>
      <c r="P51" s="453"/>
      <c r="Q51" s="453"/>
      <c r="R51" s="453"/>
      <c r="S51" s="453"/>
      <c r="T51" s="638"/>
      <c r="U51" s="638"/>
      <c r="V51" s="638"/>
      <c r="W51" s="638"/>
      <c r="X51" s="638"/>
      <c r="Y51" s="638"/>
      <c r="Z51" s="638"/>
      <c r="AA51" s="638"/>
      <c r="AB51" s="638"/>
      <c r="AC51" s="638"/>
      <c r="AD51" s="638"/>
      <c r="AE51" s="638"/>
      <c r="AF51" s="400"/>
      <c r="AG51" s="400"/>
      <c r="AH51" s="400"/>
      <c r="AI51" s="401"/>
      <c r="AJ51" s="107"/>
      <c r="AK51" s="920" t="str">
        <f t="shared" si="1"/>
        <v/>
      </c>
      <c r="AL51" s="921"/>
      <c r="AM51" s="921"/>
      <c r="AN51" s="921" t="str">
        <f t="shared" si="2"/>
        <v/>
      </c>
      <c r="AO51" s="921"/>
      <c r="AP51" s="921"/>
      <c r="AQ51" s="921" t="str">
        <f t="shared" si="3"/>
        <v/>
      </c>
      <c r="AR51" s="921"/>
      <c r="AS51" s="922"/>
      <c r="AT51" s="107"/>
      <c r="AU51" s="923" t="str">
        <f t="shared" si="0"/>
        <v/>
      </c>
      <c r="AV51" s="924"/>
      <c r="AW51" s="924"/>
      <c r="AX51" s="924"/>
      <c r="AY51" s="924"/>
      <c r="AZ51" s="924"/>
      <c r="BA51" s="924"/>
      <c r="BB51" s="924"/>
      <c r="BC51" s="924"/>
      <c r="BD51" s="925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</row>
    <row r="52" spans="1:71" ht="12" customHeight="1" x14ac:dyDescent="0.2">
      <c r="A52" s="926"/>
      <c r="B52" s="927"/>
      <c r="C52" s="927"/>
      <c r="D52" s="927"/>
      <c r="E52" s="927"/>
      <c r="F52" s="927"/>
      <c r="G52" s="927"/>
      <c r="H52" s="453"/>
      <c r="I52" s="453"/>
      <c r="J52" s="453"/>
      <c r="K52" s="453"/>
      <c r="L52" s="453"/>
      <c r="M52" s="453"/>
      <c r="N52" s="453"/>
      <c r="O52" s="453"/>
      <c r="P52" s="453"/>
      <c r="Q52" s="453"/>
      <c r="R52" s="453"/>
      <c r="S52" s="453"/>
      <c r="T52" s="638"/>
      <c r="U52" s="638"/>
      <c r="V52" s="638"/>
      <c r="W52" s="638"/>
      <c r="X52" s="638"/>
      <c r="Y52" s="638"/>
      <c r="Z52" s="638"/>
      <c r="AA52" s="638"/>
      <c r="AB52" s="638"/>
      <c r="AC52" s="638"/>
      <c r="AD52" s="638"/>
      <c r="AE52" s="638"/>
      <c r="AF52" s="400"/>
      <c r="AG52" s="400"/>
      <c r="AH52" s="400"/>
      <c r="AI52" s="401"/>
      <c r="AJ52" s="107"/>
      <c r="AK52" s="920" t="str">
        <f t="shared" si="1"/>
        <v/>
      </c>
      <c r="AL52" s="921"/>
      <c r="AM52" s="921"/>
      <c r="AN52" s="921" t="str">
        <f t="shared" si="2"/>
        <v/>
      </c>
      <c r="AO52" s="921"/>
      <c r="AP52" s="921"/>
      <c r="AQ52" s="921" t="str">
        <f t="shared" si="3"/>
        <v/>
      </c>
      <c r="AR52" s="921"/>
      <c r="AS52" s="922"/>
      <c r="AT52" s="107"/>
      <c r="AU52" s="923" t="str">
        <f t="shared" si="0"/>
        <v/>
      </c>
      <c r="AV52" s="924"/>
      <c r="AW52" s="924"/>
      <c r="AX52" s="924"/>
      <c r="AY52" s="924"/>
      <c r="AZ52" s="924"/>
      <c r="BA52" s="924"/>
      <c r="BB52" s="924"/>
      <c r="BC52" s="924"/>
      <c r="BD52" s="925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</row>
    <row r="53" spans="1:71" ht="12" customHeight="1" thickBot="1" x14ac:dyDescent="0.25">
      <c r="A53" s="618" t="s">
        <v>379</v>
      </c>
      <c r="B53" s="619"/>
      <c r="C53" s="619"/>
      <c r="D53" s="619"/>
      <c r="E53" s="619"/>
      <c r="F53" s="619"/>
      <c r="G53" s="619"/>
      <c r="H53" s="619"/>
      <c r="I53" s="619"/>
      <c r="J53" s="619"/>
      <c r="K53" s="619"/>
      <c r="L53" s="619"/>
      <c r="M53" s="619"/>
      <c r="N53" s="619"/>
      <c r="O53" s="619"/>
      <c r="P53" s="619"/>
      <c r="Q53" s="350" t="str">
        <f>IF(SUM(Q33:S52)&lt;&gt;0,SUM(Q33:S52),"")</f>
        <v/>
      </c>
      <c r="R53" s="350"/>
      <c r="S53" s="350"/>
      <c r="T53" s="350" t="str">
        <f>IF(SUM(T33:V52)&lt;&gt;0,SUM(T33:V52),"")</f>
        <v/>
      </c>
      <c r="U53" s="350"/>
      <c r="V53" s="350"/>
      <c r="W53" s="350" t="str">
        <f>IF(SUM(W33:Y52)&lt;&gt;0,SUM(W33:Y52),"")</f>
        <v/>
      </c>
      <c r="X53" s="350"/>
      <c r="Y53" s="350"/>
      <c r="Z53" s="350" t="str">
        <f>IF(SUM(Z33:AB52)&lt;&gt;0,SUM(Z33:AB52),"")</f>
        <v/>
      </c>
      <c r="AA53" s="350"/>
      <c r="AB53" s="350"/>
      <c r="AC53" s="350" t="str">
        <f>IF(SUM(AC33:AE52)&lt;&gt;0,SUM(AC33:AE52),"")</f>
        <v/>
      </c>
      <c r="AD53" s="350"/>
      <c r="AE53" s="350"/>
      <c r="AF53" s="616"/>
      <c r="AG53" s="616"/>
      <c r="AH53" s="616"/>
      <c r="AI53" s="617"/>
      <c r="AJ53" s="107"/>
      <c r="AK53" s="912" t="str">
        <f>IFERROR((T53/Q53),"")</f>
        <v/>
      </c>
      <c r="AL53" s="913"/>
      <c r="AM53" s="914"/>
      <c r="AN53" s="915"/>
      <c r="AO53" s="915"/>
      <c r="AP53" s="915"/>
      <c r="AQ53" s="915"/>
      <c r="AR53" s="915"/>
      <c r="AS53" s="916"/>
      <c r="AT53" s="107"/>
      <c r="AU53" s="917" t="str">
        <f>IFERROR(IF(AC53="","",IF(AC53&lt;Q53-(Q53*$BB$30),"Below "&amp;$BB$30*100&amp;"% by "&amp;Q53-(Q53*$BB$30)-AC53&amp;" CFM",IF(AC53&gt;Q53+(Q53*$BB$29),"Above "&amp;$BB$29*100&amp;"% by "&amp;AC53-Q53-(Q53*$BB$29)&amp;" CFM",""))),"")</f>
        <v/>
      </c>
      <c r="AV53" s="918"/>
      <c r="AW53" s="918"/>
      <c r="AX53" s="918"/>
      <c r="AY53" s="918"/>
      <c r="AZ53" s="918"/>
      <c r="BA53" s="918"/>
      <c r="BB53" s="918"/>
      <c r="BC53" s="918"/>
      <c r="BD53" s="919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</row>
    <row r="54" spans="1:71" ht="12" customHeight="1" x14ac:dyDescent="0.2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</row>
    <row r="55" spans="1:71" ht="12" customHeight="1" x14ac:dyDescent="0.2">
      <c r="A55" s="42" t="s">
        <v>262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</row>
    <row r="56" spans="1:71" ht="12" customHeight="1" x14ac:dyDescent="0.2">
      <c r="A56" s="84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</row>
    <row r="57" spans="1:71" ht="12" customHeight="1" x14ac:dyDescent="0.2">
      <c r="A57" s="84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</row>
    <row r="58" spans="1:71" ht="12" customHeight="1" x14ac:dyDescent="0.2">
      <c r="A58" s="84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</row>
    <row r="59" spans="1:71" ht="12" customHeight="1" x14ac:dyDescent="0.2">
      <c r="A59" s="84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</row>
    <row r="60" spans="1:71" ht="12" customHeight="1" x14ac:dyDescent="0.2">
      <c r="A60" s="84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</row>
    <row r="61" spans="1:71" ht="12" customHeight="1" x14ac:dyDescent="0.2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</row>
    <row r="62" spans="1:71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</row>
  </sheetData>
  <mergeCells count="404">
    <mergeCell ref="AJ1:BS1"/>
    <mergeCell ref="M5:AI5"/>
    <mergeCell ref="A7:E7"/>
    <mergeCell ref="F7:P7"/>
    <mergeCell ref="T7:X7"/>
    <mergeCell ref="Y7:AI7"/>
    <mergeCell ref="AK7:AY7"/>
    <mergeCell ref="AK10:AO10"/>
    <mergeCell ref="AP10:AT10"/>
    <mergeCell ref="AU10:AY10"/>
    <mergeCell ref="A11:P11"/>
    <mergeCell ref="T11:AI11"/>
    <mergeCell ref="AK11:AO11"/>
    <mergeCell ref="AP11:AT11"/>
    <mergeCell ref="AU11:AY11"/>
    <mergeCell ref="AK8:AO8"/>
    <mergeCell ref="AP8:AT8"/>
    <mergeCell ref="AU8:AY8"/>
    <mergeCell ref="A9:E9"/>
    <mergeCell ref="F9:P9"/>
    <mergeCell ref="T9:X9"/>
    <mergeCell ref="Y9:AI9"/>
    <mergeCell ref="AK9:AO9"/>
    <mergeCell ref="AP9:AT9"/>
    <mergeCell ref="AU9:AY9"/>
    <mergeCell ref="AP12:AT12"/>
    <mergeCell ref="AU12:AY12"/>
    <mergeCell ref="A13:F13"/>
    <mergeCell ref="G13:K13"/>
    <mergeCell ref="M13:P13"/>
    <mergeCell ref="T13:Y13"/>
    <mergeCell ref="Z13:AD13"/>
    <mergeCell ref="AE13:AI13"/>
    <mergeCell ref="AK13:AO13"/>
    <mergeCell ref="AP13:AT13"/>
    <mergeCell ref="A12:F12"/>
    <mergeCell ref="G12:P12"/>
    <mergeCell ref="T12:Y12"/>
    <mergeCell ref="Z12:AD12"/>
    <mergeCell ref="AE12:AI12"/>
    <mergeCell ref="AK12:AO12"/>
    <mergeCell ref="A15:F15"/>
    <mergeCell ref="G15:P15"/>
    <mergeCell ref="T15:Y15"/>
    <mergeCell ref="Z15:AD15"/>
    <mergeCell ref="AE15:AI15"/>
    <mergeCell ref="A16:F16"/>
    <mergeCell ref="G16:P16"/>
    <mergeCell ref="AU13:AY13"/>
    <mergeCell ref="A14:F14"/>
    <mergeCell ref="G14:P14"/>
    <mergeCell ref="T14:Y14"/>
    <mergeCell ref="Z14:AD14"/>
    <mergeCell ref="AE14:AI14"/>
    <mergeCell ref="A19:F19"/>
    <mergeCell ref="G19:P19"/>
    <mergeCell ref="T19:Y19"/>
    <mergeCell ref="Z19:AD19"/>
    <mergeCell ref="AE19:AI19"/>
    <mergeCell ref="T20:Y20"/>
    <mergeCell ref="Z20:AD20"/>
    <mergeCell ref="AE20:AI20"/>
    <mergeCell ref="A17:F17"/>
    <mergeCell ref="G17:P17"/>
    <mergeCell ref="T17:AI17"/>
    <mergeCell ref="A18:F18"/>
    <mergeCell ref="G18:P18"/>
    <mergeCell ref="T18:Y18"/>
    <mergeCell ref="Z18:AD18"/>
    <mergeCell ref="AE18:AI18"/>
    <mergeCell ref="K27:O27"/>
    <mergeCell ref="U27:Y27"/>
    <mergeCell ref="K28:M28"/>
    <mergeCell ref="N28:O28"/>
    <mergeCell ref="U28:W28"/>
    <mergeCell ref="X28:Y28"/>
    <mergeCell ref="T21:Y21"/>
    <mergeCell ref="Z21:AD21"/>
    <mergeCell ref="AE21:AI21"/>
    <mergeCell ref="K25:O25"/>
    <mergeCell ref="U25:Y25"/>
    <mergeCell ref="K26:M26"/>
    <mergeCell ref="N26:O26"/>
    <mergeCell ref="U26:W26"/>
    <mergeCell ref="X26:Y26"/>
    <mergeCell ref="AV28:BC28"/>
    <mergeCell ref="I29:Q29"/>
    <mergeCell ref="S29:AA29"/>
    <mergeCell ref="AV29:BA29"/>
    <mergeCell ref="BB29:BC29"/>
    <mergeCell ref="AK30:AS32"/>
    <mergeCell ref="AV30:BA30"/>
    <mergeCell ref="BB30:BC30"/>
    <mergeCell ref="W32:Y32"/>
    <mergeCell ref="Z32:AB32"/>
    <mergeCell ref="AU32:BD32"/>
    <mergeCell ref="A31:G32"/>
    <mergeCell ref="H31:P31"/>
    <mergeCell ref="Q31:S32"/>
    <mergeCell ref="T31:AB31"/>
    <mergeCell ref="AC31:AE32"/>
    <mergeCell ref="AF31:AI32"/>
    <mergeCell ref="H32:J32"/>
    <mergeCell ref="K32:M32"/>
    <mergeCell ref="N32:P32"/>
    <mergeCell ref="T32:V32"/>
    <mergeCell ref="AQ33:AS33"/>
    <mergeCell ref="AU33:BD33"/>
    <mergeCell ref="A34:G34"/>
    <mergeCell ref="H34:J34"/>
    <mergeCell ref="K34:M34"/>
    <mergeCell ref="N34:P34"/>
    <mergeCell ref="Q34:S34"/>
    <mergeCell ref="AN34:AP34"/>
    <mergeCell ref="AQ34:AS34"/>
    <mergeCell ref="AU34:BD34"/>
    <mergeCell ref="Z34:AB34"/>
    <mergeCell ref="AC34:AE34"/>
    <mergeCell ref="AF34:AI34"/>
    <mergeCell ref="AK34:AM34"/>
    <mergeCell ref="A33:G33"/>
    <mergeCell ref="H33:J33"/>
    <mergeCell ref="K33:M33"/>
    <mergeCell ref="N33:P33"/>
    <mergeCell ref="Q33:S33"/>
    <mergeCell ref="T33:V33"/>
    <mergeCell ref="W33:Y33"/>
    <mergeCell ref="Z33:AB33"/>
    <mergeCell ref="AC33:AE33"/>
    <mergeCell ref="N35:P35"/>
    <mergeCell ref="Q35:S35"/>
    <mergeCell ref="T35:V35"/>
    <mergeCell ref="W35:Y35"/>
    <mergeCell ref="T34:V34"/>
    <mergeCell ref="W34:Y34"/>
    <mergeCell ref="AF33:AI33"/>
    <mergeCell ref="AK33:AM33"/>
    <mergeCell ref="AN33:AP33"/>
    <mergeCell ref="AU35:BD35"/>
    <mergeCell ref="A36:G36"/>
    <mergeCell ref="H36:J36"/>
    <mergeCell ref="K36:M36"/>
    <mergeCell ref="N36:P36"/>
    <mergeCell ref="Q36:S36"/>
    <mergeCell ref="T36:V36"/>
    <mergeCell ref="W36:Y36"/>
    <mergeCell ref="Z36:AB36"/>
    <mergeCell ref="AC36:AE36"/>
    <mergeCell ref="Z35:AB35"/>
    <mergeCell ref="AC35:AE35"/>
    <mergeCell ref="AF35:AI35"/>
    <mergeCell ref="AK35:AM35"/>
    <mergeCell ref="AN35:AP35"/>
    <mergeCell ref="AQ35:AS35"/>
    <mergeCell ref="AF36:AI36"/>
    <mergeCell ref="AK36:AM36"/>
    <mergeCell ref="AN36:AP36"/>
    <mergeCell ref="AQ36:AS36"/>
    <mergeCell ref="AU36:BD36"/>
    <mergeCell ref="A35:G35"/>
    <mergeCell ref="H35:J35"/>
    <mergeCell ref="K35:M35"/>
    <mergeCell ref="A37:G37"/>
    <mergeCell ref="H37:J37"/>
    <mergeCell ref="K37:M37"/>
    <mergeCell ref="N37:P37"/>
    <mergeCell ref="Q37:S37"/>
    <mergeCell ref="AN37:AP37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T37:V37"/>
    <mergeCell ref="W37:Y37"/>
    <mergeCell ref="Z37:AB37"/>
    <mergeCell ref="AC37:AE37"/>
    <mergeCell ref="AF37:AI37"/>
    <mergeCell ref="AK37:AM37"/>
    <mergeCell ref="AU38:BD38"/>
    <mergeCell ref="Z38:AB38"/>
    <mergeCell ref="AC38:AE38"/>
    <mergeCell ref="A39:G39"/>
    <mergeCell ref="H39:J39"/>
    <mergeCell ref="K39:M39"/>
    <mergeCell ref="N39:P39"/>
    <mergeCell ref="Q39:S39"/>
    <mergeCell ref="T39:V39"/>
    <mergeCell ref="W39:Y39"/>
    <mergeCell ref="Z39:AB39"/>
    <mergeCell ref="AC39:AE39"/>
    <mergeCell ref="AF38:AI38"/>
    <mergeCell ref="AK38:AM38"/>
    <mergeCell ref="AN38:AP38"/>
    <mergeCell ref="AQ38:AS38"/>
    <mergeCell ref="AF39:AI39"/>
    <mergeCell ref="AK39:AM39"/>
    <mergeCell ref="AN39:AP39"/>
    <mergeCell ref="AQ39:AS39"/>
    <mergeCell ref="AU39:BD39"/>
    <mergeCell ref="A40:G40"/>
    <mergeCell ref="H40:J40"/>
    <mergeCell ref="K40:M40"/>
    <mergeCell ref="N40:P40"/>
    <mergeCell ref="Q40:S40"/>
    <mergeCell ref="AN40:AP40"/>
    <mergeCell ref="AQ40:AS40"/>
    <mergeCell ref="AU40:BD40"/>
    <mergeCell ref="A41:G41"/>
    <mergeCell ref="H41:J41"/>
    <mergeCell ref="K41:M41"/>
    <mergeCell ref="N41:P41"/>
    <mergeCell ref="Q41:S41"/>
    <mergeCell ref="T41:V41"/>
    <mergeCell ref="W41:Y41"/>
    <mergeCell ref="T40:V40"/>
    <mergeCell ref="W40:Y40"/>
    <mergeCell ref="Z40:AB40"/>
    <mergeCell ref="AC40:AE40"/>
    <mergeCell ref="AF40:AI40"/>
    <mergeCell ref="AK40:AM40"/>
    <mergeCell ref="AU41:BD41"/>
    <mergeCell ref="Z41:AB41"/>
    <mergeCell ref="AC41:AE41"/>
    <mergeCell ref="A42:G42"/>
    <mergeCell ref="H42:J42"/>
    <mergeCell ref="K42:M42"/>
    <mergeCell ref="N42:P42"/>
    <mergeCell ref="Q42:S42"/>
    <mergeCell ref="T42:V42"/>
    <mergeCell ref="W42:Y42"/>
    <mergeCell ref="Z42:AB42"/>
    <mergeCell ref="AC42:AE42"/>
    <mergeCell ref="AF41:AI41"/>
    <mergeCell ref="AK41:AM41"/>
    <mergeCell ref="AN41:AP41"/>
    <mergeCell ref="AQ41:AS41"/>
    <mergeCell ref="AF42:AI42"/>
    <mergeCell ref="AK42:AM42"/>
    <mergeCell ref="AN42:AP42"/>
    <mergeCell ref="AQ42:AS42"/>
    <mergeCell ref="AU42:BD42"/>
    <mergeCell ref="A43:G43"/>
    <mergeCell ref="H43:J43"/>
    <mergeCell ref="K43:M43"/>
    <mergeCell ref="N43:P43"/>
    <mergeCell ref="Q43:S43"/>
    <mergeCell ref="AN43:AP43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T43:V43"/>
    <mergeCell ref="W43:Y43"/>
    <mergeCell ref="Z43:AB43"/>
    <mergeCell ref="AC43:AE43"/>
    <mergeCell ref="AF43:AI43"/>
    <mergeCell ref="AK43:AM43"/>
    <mergeCell ref="AU44:BD44"/>
    <mergeCell ref="Z44:AB44"/>
    <mergeCell ref="AC44:AE44"/>
    <mergeCell ref="A45:G45"/>
    <mergeCell ref="H45:J45"/>
    <mergeCell ref="K45:M45"/>
    <mergeCell ref="N45:P45"/>
    <mergeCell ref="Q45:S45"/>
    <mergeCell ref="T45:V45"/>
    <mergeCell ref="W45:Y45"/>
    <mergeCell ref="Z45:AB45"/>
    <mergeCell ref="AC45:AE45"/>
    <mergeCell ref="AF44:AI44"/>
    <mergeCell ref="AK44:AM44"/>
    <mergeCell ref="AN44:AP44"/>
    <mergeCell ref="AQ44:AS44"/>
    <mergeCell ref="AF45:AI45"/>
    <mergeCell ref="AK45:AM45"/>
    <mergeCell ref="AN45:AP45"/>
    <mergeCell ref="AQ45:AS45"/>
    <mergeCell ref="AU45:BD45"/>
    <mergeCell ref="A46:G46"/>
    <mergeCell ref="H46:J46"/>
    <mergeCell ref="K46:M46"/>
    <mergeCell ref="N46:P46"/>
    <mergeCell ref="Q46:S46"/>
    <mergeCell ref="AN46:AP46"/>
    <mergeCell ref="AQ46:AS46"/>
    <mergeCell ref="AU46:BD46"/>
    <mergeCell ref="A47:G47"/>
    <mergeCell ref="H47:J47"/>
    <mergeCell ref="K47:M47"/>
    <mergeCell ref="N47:P47"/>
    <mergeCell ref="Q47:S47"/>
    <mergeCell ref="T47:V47"/>
    <mergeCell ref="W47:Y47"/>
    <mergeCell ref="T46:V46"/>
    <mergeCell ref="W46:Y46"/>
    <mergeCell ref="Z46:AB46"/>
    <mergeCell ref="AC46:AE46"/>
    <mergeCell ref="AF46:AI46"/>
    <mergeCell ref="AK46:AM46"/>
    <mergeCell ref="AU47:BD47"/>
    <mergeCell ref="Z47:AB47"/>
    <mergeCell ref="AC47:AE47"/>
    <mergeCell ref="A48:G48"/>
    <mergeCell ref="H48:J48"/>
    <mergeCell ref="K48:M48"/>
    <mergeCell ref="N48:P48"/>
    <mergeCell ref="Q48:S48"/>
    <mergeCell ref="T48:V48"/>
    <mergeCell ref="W48:Y48"/>
    <mergeCell ref="Z48:AB48"/>
    <mergeCell ref="AC48:AE48"/>
    <mergeCell ref="AF47:AI47"/>
    <mergeCell ref="AK47:AM47"/>
    <mergeCell ref="AN47:AP47"/>
    <mergeCell ref="AQ47:AS47"/>
    <mergeCell ref="AF48:AI48"/>
    <mergeCell ref="AK48:AM48"/>
    <mergeCell ref="AN48:AP48"/>
    <mergeCell ref="AQ48:AS48"/>
    <mergeCell ref="AU48:BD48"/>
    <mergeCell ref="A49:G49"/>
    <mergeCell ref="H49:J49"/>
    <mergeCell ref="K49:M49"/>
    <mergeCell ref="N49:P49"/>
    <mergeCell ref="Q49:S49"/>
    <mergeCell ref="AN49:AP49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T49:V49"/>
    <mergeCell ref="W49:Y49"/>
    <mergeCell ref="Z49:AB49"/>
    <mergeCell ref="AC49:AE49"/>
    <mergeCell ref="AF49:AI49"/>
    <mergeCell ref="AK49:AM49"/>
    <mergeCell ref="AU50:BD50"/>
    <mergeCell ref="Z50:AB50"/>
    <mergeCell ref="AC50:AE50"/>
    <mergeCell ref="A51:G51"/>
    <mergeCell ref="H51:J51"/>
    <mergeCell ref="K51:M51"/>
    <mergeCell ref="N51:P51"/>
    <mergeCell ref="Q51:S51"/>
    <mergeCell ref="T51:V51"/>
    <mergeCell ref="W51:Y51"/>
    <mergeCell ref="Z51:AB51"/>
    <mergeCell ref="AC51:AE51"/>
    <mergeCell ref="AF50:AI50"/>
    <mergeCell ref="AK50:AM50"/>
    <mergeCell ref="AN50:AP50"/>
    <mergeCell ref="AQ50:AS50"/>
    <mergeCell ref="AF51:AI51"/>
    <mergeCell ref="AK51:AM51"/>
    <mergeCell ref="AN51:AP51"/>
    <mergeCell ref="AQ51:AS51"/>
    <mergeCell ref="AU51:BD51"/>
    <mergeCell ref="A52:G52"/>
    <mergeCell ref="H52:J52"/>
    <mergeCell ref="K52:M52"/>
    <mergeCell ref="N52:P52"/>
    <mergeCell ref="Q52:S52"/>
    <mergeCell ref="AN52:AP52"/>
    <mergeCell ref="AQ52:AS52"/>
    <mergeCell ref="AU52:BD52"/>
    <mergeCell ref="A53:P53"/>
    <mergeCell ref="Q53:S53"/>
    <mergeCell ref="T53:V53"/>
    <mergeCell ref="W53:Y53"/>
    <mergeCell ref="Z53:AB53"/>
    <mergeCell ref="AC53:AE53"/>
    <mergeCell ref="AF53:AI53"/>
    <mergeCell ref="T52:V52"/>
    <mergeCell ref="W52:Y52"/>
    <mergeCell ref="Z52:AB52"/>
    <mergeCell ref="AC52:AE52"/>
    <mergeCell ref="AF52:AI52"/>
    <mergeCell ref="AK52:AM52"/>
    <mergeCell ref="B58:AI58"/>
    <mergeCell ref="B59:AI59"/>
    <mergeCell ref="B60:AI60"/>
    <mergeCell ref="E62:K62"/>
    <mergeCell ref="V62:AI62"/>
    <mergeCell ref="AK53:AM53"/>
    <mergeCell ref="AN53:AP53"/>
    <mergeCell ref="AQ53:AS53"/>
    <mergeCell ref="AU53:BD53"/>
    <mergeCell ref="B56:AI56"/>
    <mergeCell ref="B57:AI57"/>
  </mergeCells>
  <conditionalFormatting sqref="AU33:BD52">
    <cfRule type="notContainsBlanks" dxfId="188" priority="11">
      <formula>LEN(TRIM(AU33))&gt;0</formula>
    </cfRule>
  </conditionalFormatting>
  <conditionalFormatting sqref="V62:AI62 E62:K62 Z19:AI21 G18:P19 G14:P16 G13:K13 G12:P12 Y9:AI9 Y7:AI7 F9:P9 F7:P7 BB29:BC30">
    <cfRule type="containsBlanks" dxfId="187" priority="10">
      <formula>LEN(TRIM(E7))=0</formula>
    </cfRule>
  </conditionalFormatting>
  <conditionalFormatting sqref="Q53:AE53">
    <cfRule type="containsText" dxfId="186" priority="9" operator="containsText" text="CALC.">
      <formula>NOT(ISERROR(SEARCH("CALC.",Q53)))</formula>
    </cfRule>
  </conditionalFormatting>
  <conditionalFormatting sqref="A33:S52">
    <cfRule type="notContainsBlanks" dxfId="185" priority="7">
      <formula>LEN(TRIM(A33))&gt;0</formula>
    </cfRule>
    <cfRule type="expression" dxfId="184" priority="8">
      <formula>NOT(ISBLANK($H33))</formula>
    </cfRule>
  </conditionalFormatting>
  <conditionalFormatting sqref="AU53:BD53">
    <cfRule type="notContainsBlanks" dxfId="183" priority="6">
      <formula>LEN(TRIM(AU53))&gt;0</formula>
    </cfRule>
  </conditionalFormatting>
  <conditionalFormatting sqref="Z13:Z15 AE14:AE15">
    <cfRule type="containsBlanks" dxfId="182" priority="5">
      <formula>LEN(TRIM(Z13))=0</formula>
    </cfRule>
  </conditionalFormatting>
  <conditionalFormatting sqref="T33:AC52">
    <cfRule type="notContainsBlanks" dxfId="181" priority="3">
      <formula>LEN(TRIM(T33))&gt;0</formula>
    </cfRule>
    <cfRule type="expression" dxfId="180" priority="4">
      <formula>NOT(ISBLANK($H33))</formula>
    </cfRule>
  </conditionalFormatting>
  <conditionalFormatting sqref="T33:AB52">
    <cfRule type="expression" dxfId="179" priority="2">
      <formula>$AC33&lt;&gt;""</formula>
    </cfRule>
  </conditionalFormatting>
  <conditionalFormatting sqref="M13:P13">
    <cfRule type="containsBlanks" dxfId="178" priority="1">
      <formula>LEN(TRIM(M13))=0</formula>
    </cfRule>
  </conditionalFormatting>
  <dataValidations count="4">
    <dataValidation type="list" allowBlank="1" showInputMessage="1" sqref="M13:P13" xr:uid="{692F2BF4-BDBD-49C2-AE35-22C1CF169217}">
      <formula1>"Rectangular,Round, Oval"</formula1>
    </dataValidation>
    <dataValidation allowBlank="1" showInputMessage="1" sqref="G15:P15" xr:uid="{7A98F96E-1485-451B-A575-3A6802A1E6B1}"/>
    <dataValidation type="list" allowBlank="1" showInputMessage="1" sqref="G13:K13" xr:uid="{B2191F4D-E231-4CE5-8789-C7D0FDD5E03C}">
      <formula1>"4,5,6,7,8,9,10,11,12,13,14,15,16,17,18,19,20"</formula1>
    </dataValidation>
    <dataValidation type="whole" allowBlank="1" showInputMessage="1" showErrorMessage="1" error="This Remarks section is limited to 5." sqref="A56:A60" xr:uid="{31B3863E-7C1E-40E4-A467-D01DA3AF68F5}">
      <formula1>1</formula1>
      <formula2>5</formula2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B49D8-F6F9-472D-BC3F-D73FD46FC38A}">
  <sheetPr codeName="Sheet29">
    <pageSetUpPr fitToPage="1"/>
  </sheetPr>
  <dimension ref="A1:BY62"/>
  <sheetViews>
    <sheetView zoomScaleNormal="100" workbookViewId="0">
      <selection sqref="A1:C1"/>
    </sheetView>
  </sheetViews>
  <sheetFormatPr defaultColWidth="0" defaultRowHeight="0" customHeight="1" zeroHeight="1" x14ac:dyDescent="0.2"/>
  <cols>
    <col min="1" max="71" width="2.7109375" style="12" customWidth="1"/>
    <col min="72" max="77" width="2.7109375" style="12" hidden="1" customWidth="1"/>
    <col min="78" max="16384" width="9.140625" style="12" hidden="1"/>
  </cols>
  <sheetData>
    <row r="1" spans="1:71" ht="12" customHeight="1" x14ac:dyDescent="0.2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57" t="s">
        <v>159</v>
      </c>
      <c r="AK1" s="957"/>
      <c r="AL1" s="957"/>
      <c r="AM1" s="957"/>
      <c r="AN1" s="957"/>
      <c r="AO1" s="957"/>
      <c r="AP1" s="957"/>
      <c r="AQ1" s="957"/>
      <c r="AR1" s="957"/>
      <c r="AS1" s="957"/>
      <c r="AT1" s="957"/>
      <c r="AU1" s="957"/>
      <c r="AV1" s="957"/>
      <c r="AW1" s="957"/>
      <c r="AX1" s="957"/>
      <c r="AY1" s="957"/>
      <c r="AZ1" s="957"/>
      <c r="BA1" s="957"/>
      <c r="BB1" s="957"/>
      <c r="BC1" s="957"/>
      <c r="BD1" s="957"/>
      <c r="BE1" s="957"/>
      <c r="BF1" s="957"/>
      <c r="BG1" s="957"/>
      <c r="BH1" s="957"/>
      <c r="BI1" s="957"/>
      <c r="BJ1" s="957"/>
      <c r="BK1" s="957"/>
      <c r="BL1" s="957"/>
      <c r="BM1" s="957"/>
      <c r="BN1" s="957"/>
      <c r="BO1" s="957"/>
      <c r="BP1" s="957"/>
      <c r="BQ1" s="957"/>
      <c r="BR1" s="957"/>
      <c r="BS1" s="957"/>
    </row>
    <row r="2" spans="1:71" ht="12" customHeight="1" thickBo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</row>
    <row r="3" spans="1:71" ht="12" customHeight="1" thickBo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471" t="s">
        <v>160</v>
      </c>
      <c r="AW3" s="472"/>
      <c r="AX3" s="472"/>
      <c r="AY3" s="472"/>
      <c r="AZ3" s="472"/>
      <c r="BA3" s="472"/>
      <c r="BB3" s="472"/>
      <c r="BC3" s="472"/>
      <c r="BD3" s="472"/>
      <c r="BE3" s="472"/>
      <c r="BF3" s="472"/>
      <c r="BG3" s="472"/>
      <c r="BH3" s="472"/>
      <c r="BI3" s="472"/>
      <c r="BJ3" s="473"/>
      <c r="BK3" s="107"/>
      <c r="BL3" s="107"/>
      <c r="BM3" s="107"/>
      <c r="BN3" s="107"/>
      <c r="BO3" s="107"/>
      <c r="BP3" s="107"/>
      <c r="BQ3" s="107"/>
      <c r="BR3" s="107"/>
      <c r="BS3" s="107"/>
    </row>
    <row r="4" spans="1:71" ht="12" customHeight="1" thickTop="1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324"/>
      <c r="AW4" s="547"/>
      <c r="AX4" s="547"/>
      <c r="AY4" s="547"/>
      <c r="AZ4" s="325"/>
      <c r="BA4" s="548"/>
      <c r="BB4" s="547"/>
      <c r="BC4" s="547"/>
      <c r="BD4" s="547"/>
      <c r="BE4" s="325"/>
      <c r="BF4" s="548"/>
      <c r="BG4" s="547"/>
      <c r="BH4" s="547"/>
      <c r="BI4" s="547"/>
      <c r="BJ4" s="549"/>
      <c r="BK4" s="107"/>
      <c r="BL4" s="107"/>
      <c r="BM4" s="107"/>
      <c r="BN4" s="107"/>
      <c r="BO4" s="107"/>
      <c r="BP4" s="107"/>
      <c r="BQ4" s="107"/>
      <c r="BR4" s="107"/>
      <c r="BS4" s="107"/>
    </row>
    <row r="5" spans="1:71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 t="s">
        <v>418</v>
      </c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521"/>
      <c r="AW5" s="522"/>
      <c r="AX5" s="522"/>
      <c r="AY5" s="522"/>
      <c r="AZ5" s="523"/>
      <c r="BA5" s="524"/>
      <c r="BB5" s="522"/>
      <c r="BC5" s="522"/>
      <c r="BD5" s="522"/>
      <c r="BE5" s="523"/>
      <c r="BF5" s="524"/>
      <c r="BG5" s="522"/>
      <c r="BH5" s="522"/>
      <c r="BI5" s="522"/>
      <c r="BJ5" s="525"/>
      <c r="BK5" s="107"/>
      <c r="BL5" s="107"/>
      <c r="BM5" s="107"/>
      <c r="BN5" s="107"/>
      <c r="BO5" s="107"/>
      <c r="BP5" s="107"/>
      <c r="BQ5" s="107"/>
      <c r="BR5" s="107"/>
      <c r="BS5" s="107"/>
    </row>
    <row r="6" spans="1:71" ht="12" customHeight="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521"/>
      <c r="AW6" s="522"/>
      <c r="AX6" s="522"/>
      <c r="AY6" s="522"/>
      <c r="AZ6" s="523"/>
      <c r="BA6" s="524"/>
      <c r="BB6" s="522"/>
      <c r="BC6" s="522"/>
      <c r="BD6" s="522"/>
      <c r="BE6" s="523"/>
      <c r="BF6" s="524"/>
      <c r="BG6" s="522"/>
      <c r="BH6" s="522"/>
      <c r="BI6" s="522"/>
      <c r="BJ6" s="525"/>
      <c r="BK6" s="107"/>
      <c r="BL6" s="107"/>
      <c r="BM6" s="107"/>
      <c r="BN6" s="107"/>
      <c r="BO6" s="107"/>
      <c r="BP6" s="107"/>
      <c r="BQ6" s="107"/>
      <c r="BR6" s="107"/>
      <c r="BS6" s="107"/>
    </row>
    <row r="7" spans="1:71" ht="12" customHeight="1" x14ac:dyDescent="0.2">
      <c r="A7" s="526" t="s">
        <v>161</v>
      </c>
      <c r="B7" s="526"/>
      <c r="C7" s="526"/>
      <c r="D7" s="526"/>
      <c r="E7" s="526"/>
      <c r="F7" s="527"/>
      <c r="G7" s="527"/>
      <c r="H7" s="527"/>
      <c r="I7" s="527"/>
      <c r="J7" s="527"/>
      <c r="K7" s="527"/>
      <c r="L7" s="527"/>
      <c r="M7" s="527"/>
      <c r="N7" s="527"/>
      <c r="O7" s="527"/>
      <c r="P7" s="527"/>
      <c r="Q7" s="42"/>
      <c r="R7" s="42"/>
      <c r="S7" s="42"/>
      <c r="T7" s="526" t="s">
        <v>162</v>
      </c>
      <c r="U7" s="526"/>
      <c r="V7" s="526"/>
      <c r="W7" s="526"/>
      <c r="X7" s="526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521"/>
      <c r="AW7" s="522"/>
      <c r="AX7" s="522"/>
      <c r="AY7" s="522"/>
      <c r="AZ7" s="523"/>
      <c r="BA7" s="524"/>
      <c r="BB7" s="522"/>
      <c r="BC7" s="522"/>
      <c r="BD7" s="522"/>
      <c r="BE7" s="523"/>
      <c r="BF7" s="524"/>
      <c r="BG7" s="522"/>
      <c r="BH7" s="522"/>
      <c r="BI7" s="522"/>
      <c r="BJ7" s="525"/>
      <c r="BK7" s="107"/>
      <c r="BL7" s="107"/>
      <c r="BM7" s="107"/>
      <c r="BN7" s="107"/>
      <c r="BO7" s="107"/>
      <c r="BP7" s="107"/>
      <c r="BQ7" s="107"/>
      <c r="BR7" s="107"/>
      <c r="BS7" s="107"/>
    </row>
    <row r="8" spans="1:71" ht="12" customHeight="1" x14ac:dyDescent="0.2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521"/>
      <c r="AW8" s="522"/>
      <c r="AX8" s="522"/>
      <c r="AY8" s="522"/>
      <c r="AZ8" s="523"/>
      <c r="BA8" s="524"/>
      <c r="BB8" s="522"/>
      <c r="BC8" s="522"/>
      <c r="BD8" s="522"/>
      <c r="BE8" s="523"/>
      <c r="BF8" s="524"/>
      <c r="BG8" s="522"/>
      <c r="BH8" s="522"/>
      <c r="BI8" s="522"/>
      <c r="BJ8" s="525"/>
      <c r="BK8" s="107"/>
      <c r="BL8" s="107"/>
      <c r="BM8" s="107"/>
      <c r="BN8" s="107"/>
      <c r="BO8" s="107"/>
      <c r="BP8" s="107"/>
      <c r="BQ8" s="107"/>
      <c r="BR8" s="107"/>
      <c r="BS8" s="107"/>
    </row>
    <row r="9" spans="1:71" ht="12" customHeight="1" thickBot="1" x14ac:dyDescent="0.25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526" t="s">
        <v>164</v>
      </c>
      <c r="U9" s="526"/>
      <c r="V9" s="526"/>
      <c r="W9" s="526"/>
      <c r="X9" s="526"/>
      <c r="Y9" s="527"/>
      <c r="Z9" s="527"/>
      <c r="AA9" s="527"/>
      <c r="AB9" s="527"/>
      <c r="AC9" s="527"/>
      <c r="AD9" s="527"/>
      <c r="AE9" s="527"/>
      <c r="AF9" s="527"/>
      <c r="AG9" s="527"/>
      <c r="AH9" s="527"/>
      <c r="AI9" s="52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528"/>
      <c r="AW9" s="529"/>
      <c r="AX9" s="529"/>
      <c r="AY9" s="529"/>
      <c r="AZ9" s="530"/>
      <c r="BA9" s="531"/>
      <c r="BB9" s="529"/>
      <c r="BC9" s="529"/>
      <c r="BD9" s="529"/>
      <c r="BE9" s="530"/>
      <c r="BF9" s="531"/>
      <c r="BG9" s="529"/>
      <c r="BH9" s="529"/>
      <c r="BI9" s="529"/>
      <c r="BJ9" s="532"/>
      <c r="BK9" s="107"/>
      <c r="BL9" s="107"/>
      <c r="BM9" s="107"/>
      <c r="BN9" s="107"/>
      <c r="BO9" s="107"/>
      <c r="BP9" s="107"/>
      <c r="BQ9" s="107"/>
      <c r="BR9" s="107"/>
      <c r="BS9" s="107"/>
    </row>
    <row r="10" spans="1:71" ht="12" customHeight="1" thickBo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</row>
    <row r="11" spans="1:71" ht="12" customHeight="1" thickBot="1" x14ac:dyDescent="0.25">
      <c r="A11" s="314" t="s">
        <v>419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6"/>
      <c r="Q11" s="42"/>
      <c r="R11" s="42"/>
      <c r="S11" s="314" t="s">
        <v>420</v>
      </c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6"/>
      <c r="AJ11" s="107"/>
      <c r="AK11" s="471" t="s">
        <v>421</v>
      </c>
      <c r="AL11" s="472"/>
      <c r="AM11" s="472"/>
      <c r="AN11" s="472"/>
      <c r="AO11" s="472"/>
      <c r="AP11" s="472"/>
      <c r="AQ11" s="472"/>
      <c r="AR11" s="472"/>
      <c r="AS11" s="472"/>
      <c r="AT11" s="472"/>
      <c r="AU11" s="472"/>
      <c r="AV11" s="472"/>
      <c r="AW11" s="472"/>
      <c r="AX11" s="472"/>
      <c r="AY11" s="472"/>
      <c r="AZ11" s="472"/>
      <c r="BA11" s="472"/>
      <c r="BB11" s="472"/>
      <c r="BC11" s="472"/>
      <c r="BD11" s="472"/>
      <c r="BE11" s="472"/>
      <c r="BF11" s="472"/>
      <c r="BG11" s="472"/>
      <c r="BH11" s="472"/>
      <c r="BI11" s="472"/>
      <c r="BJ11" s="472"/>
      <c r="BK11" s="472"/>
      <c r="BL11" s="472"/>
      <c r="BM11" s="472"/>
      <c r="BN11" s="472"/>
      <c r="BO11" s="473"/>
      <c r="BP11" s="107"/>
      <c r="BQ11" s="107"/>
      <c r="BR11" s="107"/>
      <c r="BS11" s="107"/>
    </row>
    <row r="12" spans="1:71" ht="14.25" thickTop="1" x14ac:dyDescent="0.2">
      <c r="A12" s="455" t="s">
        <v>422</v>
      </c>
      <c r="B12" s="456"/>
      <c r="C12" s="456"/>
      <c r="D12" s="456"/>
      <c r="E12" s="456"/>
      <c r="F12" s="456"/>
      <c r="G12" s="453"/>
      <c r="H12" s="453"/>
      <c r="I12" s="453"/>
      <c r="J12" s="453"/>
      <c r="K12" s="453"/>
      <c r="L12" s="453"/>
      <c r="M12" s="453"/>
      <c r="N12" s="453"/>
      <c r="O12" s="453"/>
      <c r="P12" s="454"/>
      <c r="Q12" s="42"/>
      <c r="R12" s="42"/>
      <c r="S12" s="1016"/>
      <c r="T12" s="1017"/>
      <c r="U12" s="1017"/>
      <c r="V12" s="1017"/>
      <c r="W12" s="1017"/>
      <c r="X12" s="1017"/>
      <c r="Y12" s="1017"/>
      <c r="Z12" s="869" t="s">
        <v>197</v>
      </c>
      <c r="AA12" s="869"/>
      <c r="AB12" s="869"/>
      <c r="AC12" s="869"/>
      <c r="AD12" s="869"/>
      <c r="AE12" s="869" t="s">
        <v>199</v>
      </c>
      <c r="AF12" s="869"/>
      <c r="AG12" s="869"/>
      <c r="AH12" s="869"/>
      <c r="AI12" s="1018"/>
      <c r="AJ12" s="107"/>
      <c r="AK12" s="736"/>
      <c r="AL12" s="737"/>
      <c r="AM12" s="738"/>
      <c r="AN12" s="327" t="s">
        <v>170</v>
      </c>
      <c r="AO12" s="327"/>
      <c r="AP12" s="327"/>
      <c r="AQ12" s="327" t="s">
        <v>171</v>
      </c>
      <c r="AR12" s="327"/>
      <c r="AS12" s="327"/>
      <c r="AT12" s="1022"/>
      <c r="AU12" s="1022"/>
      <c r="AV12" s="1022"/>
      <c r="AW12" s="1022"/>
      <c r="AX12" s="1022"/>
      <c r="AY12" s="1023"/>
      <c r="AZ12" s="327" t="s">
        <v>172</v>
      </c>
      <c r="BA12" s="327"/>
      <c r="BB12" s="327"/>
      <c r="BC12" s="327"/>
      <c r="BD12" s="327"/>
      <c r="BE12" s="327"/>
      <c r="BF12" s="327"/>
      <c r="BG12" s="327"/>
      <c r="BH12" s="1004" t="s">
        <v>173</v>
      </c>
      <c r="BI12" s="1005"/>
      <c r="BJ12" s="1005"/>
      <c r="BK12" s="1005"/>
      <c r="BL12" s="1005"/>
      <c r="BM12" s="1005"/>
      <c r="BN12" s="1005"/>
      <c r="BO12" s="1006"/>
      <c r="BP12" s="107"/>
      <c r="BQ12" s="107"/>
      <c r="BR12" s="107"/>
      <c r="BS12" s="107"/>
    </row>
    <row r="13" spans="1:71" ht="12" customHeight="1" x14ac:dyDescent="0.2">
      <c r="A13" s="333" t="s">
        <v>389</v>
      </c>
      <c r="B13" s="334"/>
      <c r="C13" s="334"/>
      <c r="D13" s="334"/>
      <c r="E13" s="334"/>
      <c r="F13" s="334"/>
      <c r="G13" s="952"/>
      <c r="H13" s="953"/>
      <c r="I13" s="953"/>
      <c r="J13" s="953"/>
      <c r="K13" s="953"/>
      <c r="L13" s="172" t="s">
        <v>201</v>
      </c>
      <c r="M13" s="419"/>
      <c r="N13" s="419"/>
      <c r="O13" s="419"/>
      <c r="P13" s="420"/>
      <c r="Q13" s="42"/>
      <c r="R13" s="42"/>
      <c r="S13" s="455" t="s">
        <v>228</v>
      </c>
      <c r="T13" s="456"/>
      <c r="U13" s="456"/>
      <c r="V13" s="456"/>
      <c r="W13" s="456"/>
      <c r="X13" s="456"/>
      <c r="Y13" s="456"/>
      <c r="Z13" s="1014"/>
      <c r="AA13" s="794"/>
      <c r="AB13" s="794"/>
      <c r="AC13" s="794"/>
      <c r="AD13" s="794"/>
      <c r="AE13" s="1014"/>
      <c r="AF13" s="794"/>
      <c r="AG13" s="794"/>
      <c r="AH13" s="794"/>
      <c r="AI13" s="1015"/>
      <c r="AJ13" s="107"/>
      <c r="AK13" s="457" t="s">
        <v>176</v>
      </c>
      <c r="AL13" s="289"/>
      <c r="AM13" s="289"/>
      <c r="AN13" s="520"/>
      <c r="AO13" s="520"/>
      <c r="AP13" s="520"/>
      <c r="AQ13" s="505"/>
      <c r="AR13" s="505"/>
      <c r="AS13" s="506"/>
      <c r="AT13" s="1019"/>
      <c r="AU13" s="1020"/>
      <c r="AV13" s="1020"/>
      <c r="AW13" s="1020"/>
      <c r="AX13" s="1020"/>
      <c r="AY13" s="1021"/>
      <c r="AZ13" s="1010" t="str">
        <f>IF(AN13="","",IF(100*(ABS(AN13-$AN$16)/$AN$16)&gt;10,"T1 Exceeds 10% by "&amp;ROUND(100*(ABS(AN13-$AN$16)/$AN$16)-10,1)&amp;"%",""))</f>
        <v/>
      </c>
      <c r="BA13" s="518"/>
      <c r="BB13" s="518"/>
      <c r="BC13" s="518"/>
      <c r="BD13" s="518"/>
      <c r="BE13" s="518"/>
      <c r="BF13" s="518"/>
      <c r="BG13" s="518"/>
      <c r="BH13" s="518" t="str">
        <f>IF(AQ13="","",IF(100*(ABS(AQ13-$AQ$16)/$AQ$16)&gt;2,"T1 Exceeds 2% by "&amp;ROUND(100*(ABS(AQ13-$AQ$16)/$AQ$16)-2,1)&amp;"%",""))</f>
        <v/>
      </c>
      <c r="BI13" s="518"/>
      <c r="BJ13" s="518"/>
      <c r="BK13" s="518"/>
      <c r="BL13" s="518"/>
      <c r="BM13" s="518"/>
      <c r="BN13" s="518"/>
      <c r="BO13" s="519"/>
      <c r="BP13" s="107"/>
      <c r="BQ13" s="107"/>
      <c r="BR13" s="107"/>
      <c r="BS13" s="107"/>
    </row>
    <row r="14" spans="1:71" ht="12" customHeight="1" x14ac:dyDescent="0.2">
      <c r="A14" s="333" t="s">
        <v>168</v>
      </c>
      <c r="B14" s="334"/>
      <c r="C14" s="334"/>
      <c r="D14" s="334"/>
      <c r="E14" s="334"/>
      <c r="F14" s="334"/>
      <c r="G14" s="413"/>
      <c r="H14" s="414"/>
      <c r="I14" s="414"/>
      <c r="J14" s="414"/>
      <c r="K14" s="414"/>
      <c r="L14" s="414"/>
      <c r="M14" s="414"/>
      <c r="N14" s="414"/>
      <c r="O14" s="414"/>
      <c r="P14" s="415"/>
      <c r="Q14" s="42"/>
      <c r="R14" s="42"/>
      <c r="S14" s="333" t="s">
        <v>170</v>
      </c>
      <c r="T14" s="334"/>
      <c r="U14" s="334"/>
      <c r="V14" s="334"/>
      <c r="W14" s="334"/>
      <c r="X14" s="334"/>
      <c r="Y14" s="334"/>
      <c r="Z14" s="1007"/>
      <c r="AA14" s="399"/>
      <c r="AB14" s="399"/>
      <c r="AC14" s="399"/>
      <c r="AD14" s="399"/>
      <c r="AE14" s="336" t="str">
        <f>IF(AT18="Single Phase",AN13,IF(AT18="Three Phase",IF(MOD(AN13,1)=0,AN13&amp;".0",AN13)&amp;", "&amp;IF(MOD(AN14,1)=0,AN14&amp;".0",AN14)&amp;", "&amp;IF(MOD(AN15,1)=0,AN15&amp;".0",AN15),""))</f>
        <v/>
      </c>
      <c r="AF14" s="336"/>
      <c r="AG14" s="336"/>
      <c r="AH14" s="336"/>
      <c r="AI14" s="337"/>
      <c r="AJ14" s="107"/>
      <c r="AK14" s="457" t="s">
        <v>180</v>
      </c>
      <c r="AL14" s="289"/>
      <c r="AM14" s="289"/>
      <c r="AN14" s="520"/>
      <c r="AO14" s="520"/>
      <c r="AP14" s="520"/>
      <c r="AQ14" s="505"/>
      <c r="AR14" s="505"/>
      <c r="AS14" s="506"/>
      <c r="AT14" s="1011"/>
      <c r="AU14" s="1012"/>
      <c r="AV14" s="1012"/>
      <c r="AW14" s="1012"/>
      <c r="AX14" s="1012"/>
      <c r="AY14" s="1013"/>
      <c r="AZ14" s="1010" t="str">
        <f>IF(AN14="","",IF(100*(ABS(AN14-$AN$16)/$AN$16)&gt;10,"T2 Exceeds 10% by "&amp;ROUND(100*(ABS(AN14-$AN$16)/$AN$16)-10,1)&amp;"%",""))</f>
        <v/>
      </c>
      <c r="BA14" s="518"/>
      <c r="BB14" s="518"/>
      <c r="BC14" s="518"/>
      <c r="BD14" s="518"/>
      <c r="BE14" s="518"/>
      <c r="BF14" s="518"/>
      <c r="BG14" s="518"/>
      <c r="BH14" s="518" t="str">
        <f>IF(AQ14="","",IF(100*(ABS(AQ14-$AQ$16)/$AQ$16)&gt;2,"T2 Exceeds 2% by "&amp;ROUND(100*(ABS(AQ14-$AQ$16)/$AQ$16)-2,1)&amp;"%",""))</f>
        <v/>
      </c>
      <c r="BI14" s="518"/>
      <c r="BJ14" s="518"/>
      <c r="BK14" s="518"/>
      <c r="BL14" s="518"/>
      <c r="BM14" s="518"/>
      <c r="BN14" s="518"/>
      <c r="BO14" s="519"/>
      <c r="BP14" s="107"/>
      <c r="BQ14" s="107"/>
      <c r="BR14" s="107"/>
      <c r="BS14" s="107"/>
    </row>
    <row r="15" spans="1:71" ht="12" customHeight="1" thickBot="1" x14ac:dyDescent="0.25">
      <c r="A15" s="406" t="s">
        <v>174</v>
      </c>
      <c r="B15" s="407"/>
      <c r="C15" s="407"/>
      <c r="D15" s="407"/>
      <c r="E15" s="407"/>
      <c r="F15" s="408"/>
      <c r="G15" s="413"/>
      <c r="H15" s="414"/>
      <c r="I15" s="414"/>
      <c r="J15" s="414"/>
      <c r="K15" s="414"/>
      <c r="L15" s="414"/>
      <c r="M15" s="414"/>
      <c r="N15" s="414"/>
      <c r="O15" s="414"/>
      <c r="P15" s="415"/>
      <c r="Q15" s="42"/>
      <c r="R15" s="42"/>
      <c r="S15" s="347" t="s">
        <v>171</v>
      </c>
      <c r="T15" s="348"/>
      <c r="U15" s="348"/>
      <c r="V15" s="348"/>
      <c r="W15" s="348"/>
      <c r="X15" s="348"/>
      <c r="Y15" s="348"/>
      <c r="Z15" s="555"/>
      <c r="AA15" s="555"/>
      <c r="AB15" s="555"/>
      <c r="AC15" s="555"/>
      <c r="AD15" s="555"/>
      <c r="AE15" s="350" t="str">
        <f>IF(AT18="Single Phase",AQ13,IF(AT18="Three Phase",AQ13 &amp;", "&amp; AQ14 &amp; ", " &amp; AQ15,""))</f>
        <v/>
      </c>
      <c r="AF15" s="350"/>
      <c r="AG15" s="350"/>
      <c r="AH15" s="350"/>
      <c r="AI15" s="991"/>
      <c r="AJ15" s="107"/>
      <c r="AK15" s="457" t="s">
        <v>183</v>
      </c>
      <c r="AL15" s="289"/>
      <c r="AM15" s="289"/>
      <c r="AN15" s="520"/>
      <c r="AO15" s="520"/>
      <c r="AP15" s="520"/>
      <c r="AQ15" s="505"/>
      <c r="AR15" s="505"/>
      <c r="AS15" s="506"/>
      <c r="AT15" s="1008"/>
      <c r="AU15" s="546"/>
      <c r="AV15" s="546"/>
      <c r="AW15" s="546"/>
      <c r="AX15" s="546"/>
      <c r="AY15" s="1009"/>
      <c r="AZ15" s="1010" t="str">
        <f>IF(AN15="","",IF(100*(ABS(AN15-$AN$16)/$AN$16)&gt;10,"T3 Exceeds 10% by "&amp;ROUND(100*(ABS(AN15-$AN$16)/$AN$16)-10,1)&amp;"%",""))</f>
        <v/>
      </c>
      <c r="BA15" s="518"/>
      <c r="BB15" s="518"/>
      <c r="BC15" s="518"/>
      <c r="BD15" s="518"/>
      <c r="BE15" s="518"/>
      <c r="BF15" s="518"/>
      <c r="BG15" s="518"/>
      <c r="BH15" s="518" t="str">
        <f>IF(AQ15="","",IF(100*(ABS(AQ15-$AQ$16)/$AQ$16)&gt;2,"T3 Exceeds 2% by "&amp;ROUND(100*(ABS(AQ15-$AQ$16)/$AQ$16)-2,1)&amp;"%",""))</f>
        <v/>
      </c>
      <c r="BI15" s="518"/>
      <c r="BJ15" s="518"/>
      <c r="BK15" s="518"/>
      <c r="BL15" s="518"/>
      <c r="BM15" s="518"/>
      <c r="BN15" s="518"/>
      <c r="BO15" s="519"/>
      <c r="BP15" s="107"/>
      <c r="BQ15" s="107"/>
      <c r="BR15" s="107"/>
      <c r="BS15" s="107"/>
    </row>
    <row r="16" spans="1:71" ht="12" customHeight="1" thickBot="1" x14ac:dyDescent="0.25">
      <c r="A16" s="406" t="s">
        <v>178</v>
      </c>
      <c r="B16" s="407"/>
      <c r="C16" s="407"/>
      <c r="D16" s="407"/>
      <c r="E16" s="407"/>
      <c r="F16" s="408"/>
      <c r="G16" s="400"/>
      <c r="H16" s="400"/>
      <c r="I16" s="400"/>
      <c r="J16" s="400"/>
      <c r="K16" s="400"/>
      <c r="L16" s="400"/>
      <c r="M16" s="400"/>
      <c r="N16" s="400"/>
      <c r="O16" s="400"/>
      <c r="P16" s="401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107"/>
      <c r="AK16" s="457" t="s">
        <v>188</v>
      </c>
      <c r="AL16" s="289"/>
      <c r="AM16" s="289"/>
      <c r="AN16" s="504" t="str">
        <f>IFERROR(AVERAGE(AN13:AP15),"")</f>
        <v/>
      </c>
      <c r="AO16" s="504"/>
      <c r="AP16" s="504"/>
      <c r="AQ16" s="458" t="str">
        <f>IFERROR(AVERAGE(AQ13:AS15),"")</f>
        <v/>
      </c>
      <c r="AR16" s="458"/>
      <c r="AS16" s="460"/>
      <c r="AT16" s="1001"/>
      <c r="AU16" s="1002"/>
      <c r="AV16" s="1002"/>
      <c r="AW16" s="1002"/>
      <c r="AX16" s="1002"/>
      <c r="AY16" s="1003"/>
      <c r="AZ16" s="479" t="s">
        <v>189</v>
      </c>
      <c r="BA16" s="479"/>
      <c r="BB16" s="479"/>
      <c r="BC16" s="479"/>
      <c r="BD16" s="479"/>
      <c r="BE16" s="479"/>
      <c r="BF16" s="479"/>
      <c r="BG16" s="479"/>
      <c r="BH16" s="479"/>
      <c r="BI16" s="479"/>
      <c r="BJ16" s="479"/>
      <c r="BK16" s="479"/>
      <c r="BL16" s="479"/>
      <c r="BM16" s="479"/>
      <c r="BN16" s="479"/>
      <c r="BO16" s="480"/>
      <c r="BP16" s="107"/>
      <c r="BQ16" s="107"/>
      <c r="BR16" s="107"/>
      <c r="BS16" s="107"/>
    </row>
    <row r="17" spans="1:71" ht="12" customHeight="1" thickBot="1" x14ac:dyDescent="0.25">
      <c r="A17" s="406" t="s">
        <v>181</v>
      </c>
      <c r="B17" s="407"/>
      <c r="C17" s="407"/>
      <c r="D17" s="407"/>
      <c r="E17" s="407"/>
      <c r="F17" s="408"/>
      <c r="G17" s="513" t="s">
        <v>182</v>
      </c>
      <c r="H17" s="513"/>
      <c r="I17" s="513"/>
      <c r="J17" s="513"/>
      <c r="K17" s="513"/>
      <c r="L17" s="513"/>
      <c r="M17" s="513"/>
      <c r="N17" s="513"/>
      <c r="O17" s="513"/>
      <c r="P17" s="514"/>
      <c r="Q17" s="42"/>
      <c r="R17" s="42"/>
      <c r="S17" s="94"/>
      <c r="T17" s="338" t="s">
        <v>423</v>
      </c>
      <c r="U17" s="339"/>
      <c r="V17" s="339"/>
      <c r="W17" s="339"/>
      <c r="X17" s="339"/>
      <c r="Y17" s="339"/>
      <c r="Z17" s="339"/>
      <c r="AA17" s="339"/>
      <c r="AB17" s="339"/>
      <c r="AC17" s="339"/>
      <c r="AD17" s="339"/>
      <c r="AE17" s="339"/>
      <c r="AF17" s="339"/>
      <c r="AG17" s="339"/>
      <c r="AH17" s="339"/>
      <c r="AI17" s="340"/>
      <c r="AJ17" s="107"/>
      <c r="AK17" s="994"/>
      <c r="AL17" s="995"/>
      <c r="AM17" s="995"/>
      <c r="AN17" s="995"/>
      <c r="AO17" s="995"/>
      <c r="AP17" s="995"/>
      <c r="AQ17" s="995"/>
      <c r="AR17" s="995"/>
      <c r="AS17" s="996"/>
      <c r="AT17" s="839" t="s">
        <v>191</v>
      </c>
      <c r="AU17" s="839"/>
      <c r="AV17" s="839"/>
      <c r="AW17" s="839"/>
      <c r="AX17" s="839"/>
      <c r="AY17" s="1000"/>
      <c r="AZ17" s="492" t="s">
        <v>192</v>
      </c>
      <c r="BA17" s="493"/>
      <c r="BB17" s="493"/>
      <c r="BC17" s="493"/>
      <c r="BD17" s="493"/>
      <c r="BE17" s="493"/>
      <c r="BF17" s="493"/>
      <c r="BG17" s="493"/>
      <c r="BH17" s="493"/>
      <c r="BI17" s="493"/>
      <c r="BJ17" s="493"/>
      <c r="BK17" s="493"/>
      <c r="BL17" s="493"/>
      <c r="BM17" s="493"/>
      <c r="BN17" s="493"/>
      <c r="BO17" s="494"/>
      <c r="BP17" s="107"/>
      <c r="BQ17" s="107"/>
      <c r="BR17" s="107"/>
      <c r="BS17" s="107"/>
    </row>
    <row r="18" spans="1:71" ht="12.75" customHeight="1" thickTop="1" thickBot="1" x14ac:dyDescent="0.25">
      <c r="A18" s="333" t="s">
        <v>185</v>
      </c>
      <c r="B18" s="334"/>
      <c r="C18" s="334"/>
      <c r="D18" s="334"/>
      <c r="E18" s="334"/>
      <c r="F18" s="334"/>
      <c r="G18" s="400"/>
      <c r="H18" s="400"/>
      <c r="I18" s="400"/>
      <c r="J18" s="400"/>
      <c r="K18" s="400"/>
      <c r="L18" s="400"/>
      <c r="M18" s="400"/>
      <c r="N18" s="400"/>
      <c r="O18" s="400"/>
      <c r="P18" s="401"/>
      <c r="Q18" s="42"/>
      <c r="R18" s="42"/>
      <c r="S18" s="42"/>
      <c r="T18" s="752"/>
      <c r="U18" s="753"/>
      <c r="V18" s="753"/>
      <c r="W18" s="753"/>
      <c r="X18" s="753"/>
      <c r="Y18" s="753"/>
      <c r="Z18" s="753" t="s">
        <v>197</v>
      </c>
      <c r="AA18" s="753"/>
      <c r="AB18" s="753"/>
      <c r="AC18" s="753"/>
      <c r="AD18" s="753"/>
      <c r="AE18" s="753" t="s">
        <v>199</v>
      </c>
      <c r="AF18" s="753"/>
      <c r="AG18" s="753"/>
      <c r="AH18" s="753"/>
      <c r="AI18" s="779"/>
      <c r="AJ18" s="107"/>
      <c r="AK18" s="997"/>
      <c r="AL18" s="998"/>
      <c r="AM18" s="998"/>
      <c r="AN18" s="998"/>
      <c r="AO18" s="998"/>
      <c r="AP18" s="998"/>
      <c r="AQ18" s="998"/>
      <c r="AR18" s="998"/>
      <c r="AS18" s="999"/>
      <c r="AT18" s="498"/>
      <c r="AU18" s="499"/>
      <c r="AV18" s="499"/>
      <c r="AW18" s="499"/>
      <c r="AX18" s="499"/>
      <c r="AY18" s="500"/>
      <c r="AZ18" s="495"/>
      <c r="BA18" s="496"/>
      <c r="BB18" s="496"/>
      <c r="BC18" s="496"/>
      <c r="BD18" s="496"/>
      <c r="BE18" s="496"/>
      <c r="BF18" s="496"/>
      <c r="BG18" s="496"/>
      <c r="BH18" s="496"/>
      <c r="BI18" s="496"/>
      <c r="BJ18" s="496"/>
      <c r="BK18" s="496"/>
      <c r="BL18" s="496"/>
      <c r="BM18" s="496"/>
      <c r="BN18" s="496"/>
      <c r="BO18" s="497"/>
      <c r="BP18" s="107"/>
      <c r="BQ18" s="107"/>
      <c r="BR18" s="107"/>
      <c r="BS18" s="107"/>
    </row>
    <row r="19" spans="1:71" ht="12" customHeight="1" thickBot="1" x14ac:dyDescent="0.25">
      <c r="A19" s="333" t="s">
        <v>396</v>
      </c>
      <c r="B19" s="334"/>
      <c r="C19" s="334"/>
      <c r="D19" s="334"/>
      <c r="E19" s="334"/>
      <c r="F19" s="334"/>
      <c r="G19" s="400"/>
      <c r="H19" s="400"/>
      <c r="I19" s="400"/>
      <c r="J19" s="400"/>
      <c r="K19" s="400"/>
      <c r="L19" s="400"/>
      <c r="M19" s="400"/>
      <c r="N19" s="400"/>
      <c r="O19" s="400"/>
      <c r="P19" s="401"/>
      <c r="Q19" s="42"/>
      <c r="R19" s="42"/>
      <c r="S19" s="42"/>
      <c r="T19" s="333" t="s">
        <v>97</v>
      </c>
      <c r="U19" s="334"/>
      <c r="V19" s="334"/>
      <c r="W19" s="334"/>
      <c r="X19" s="334"/>
      <c r="Y19" s="334"/>
      <c r="Z19" s="577"/>
      <c r="AA19" s="577"/>
      <c r="AB19" s="577"/>
      <c r="AC19" s="577"/>
      <c r="AD19" s="577"/>
      <c r="AE19" s="899" t="str">
        <f>AC53</f>
        <v/>
      </c>
      <c r="AF19" s="899"/>
      <c r="AG19" s="899"/>
      <c r="AH19" s="899"/>
      <c r="AI19" s="954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</row>
    <row r="20" spans="1:71" ht="12" customHeight="1" thickBot="1" x14ac:dyDescent="0.25">
      <c r="A20" s="347" t="s">
        <v>398</v>
      </c>
      <c r="B20" s="348"/>
      <c r="C20" s="348"/>
      <c r="D20" s="348"/>
      <c r="E20" s="348"/>
      <c r="F20" s="348"/>
      <c r="G20" s="466"/>
      <c r="H20" s="466"/>
      <c r="I20" s="466"/>
      <c r="J20" s="466"/>
      <c r="K20" s="466"/>
      <c r="L20" s="466"/>
      <c r="M20" s="466"/>
      <c r="N20" s="466"/>
      <c r="O20" s="466"/>
      <c r="P20" s="950"/>
      <c r="Q20" s="42"/>
      <c r="R20" s="42"/>
      <c r="S20" s="42"/>
      <c r="T20" s="333" t="s">
        <v>98</v>
      </c>
      <c r="U20" s="334"/>
      <c r="V20" s="334"/>
      <c r="W20" s="334"/>
      <c r="X20" s="334"/>
      <c r="Y20" s="334"/>
      <c r="Z20" s="577"/>
      <c r="AA20" s="577"/>
      <c r="AB20" s="577"/>
      <c r="AC20" s="577"/>
      <c r="AD20" s="577"/>
      <c r="AE20" s="899" t="str">
        <f>IFERROR(AE19-AE21,"")</f>
        <v/>
      </c>
      <c r="AF20" s="899"/>
      <c r="AG20" s="899"/>
      <c r="AH20" s="899"/>
      <c r="AI20" s="954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98"/>
      <c r="BD20" s="198"/>
      <c r="BE20" s="198"/>
      <c r="BF20" s="992" t="s">
        <v>196</v>
      </c>
      <c r="BG20" s="679"/>
      <c r="BH20" s="679"/>
      <c r="BI20" s="679"/>
      <c r="BJ20" s="679"/>
      <c r="BK20" s="679"/>
      <c r="BL20" s="679"/>
      <c r="BM20" s="679"/>
      <c r="BN20" s="679"/>
      <c r="BO20" s="679"/>
      <c r="BP20" s="679"/>
      <c r="BQ20" s="679"/>
      <c r="BR20" s="993"/>
      <c r="BS20" s="199"/>
    </row>
    <row r="21" spans="1:71" ht="12" customHeight="1" thickBo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333" t="s">
        <v>424</v>
      </c>
      <c r="U21" s="334"/>
      <c r="V21" s="334"/>
      <c r="W21" s="334"/>
      <c r="X21" s="334"/>
      <c r="Y21" s="334"/>
      <c r="Z21" s="577"/>
      <c r="AA21" s="577"/>
      <c r="AB21" s="577"/>
      <c r="AC21" s="577"/>
      <c r="AD21" s="577"/>
      <c r="AE21" s="577"/>
      <c r="AF21" s="577"/>
      <c r="AG21" s="577"/>
      <c r="AH21" s="577"/>
      <c r="AI21" s="578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  <c r="AY21" s="107"/>
      <c r="AZ21" s="107"/>
      <c r="BA21" s="107"/>
      <c r="BB21" s="107"/>
      <c r="BC21" s="171"/>
      <c r="BD21" s="171"/>
      <c r="BE21" s="171"/>
      <c r="BF21" s="110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12"/>
      <c r="BS21" s="171"/>
    </row>
    <row r="22" spans="1:71" ht="12" customHeight="1" thickBot="1" x14ac:dyDescent="0.25">
      <c r="A22" s="179"/>
      <c r="B22" s="130"/>
      <c r="C22" s="93"/>
      <c r="D22" s="130"/>
      <c r="E22" s="93"/>
      <c r="F22" s="130"/>
      <c r="G22" s="93"/>
      <c r="H22" s="130"/>
      <c r="I22" s="93"/>
      <c r="J22" s="130"/>
      <c r="K22" s="93"/>
      <c r="L22" s="130"/>
      <c r="M22" s="93"/>
      <c r="N22" s="130"/>
      <c r="O22" s="93"/>
      <c r="P22" s="194"/>
      <c r="Q22" s="42"/>
      <c r="R22" s="42"/>
      <c r="S22" s="42"/>
      <c r="T22" s="347" t="s">
        <v>413</v>
      </c>
      <c r="U22" s="348"/>
      <c r="V22" s="348"/>
      <c r="W22" s="348"/>
      <c r="X22" s="348"/>
      <c r="Y22" s="348"/>
      <c r="Z22" s="555"/>
      <c r="AA22" s="555"/>
      <c r="AB22" s="555"/>
      <c r="AC22" s="555"/>
      <c r="AD22" s="555"/>
      <c r="AE22" s="350" t="str">
        <f>IFERROR(AE21+AE20,"")</f>
        <v/>
      </c>
      <c r="AF22" s="350"/>
      <c r="AG22" s="350"/>
      <c r="AH22" s="350"/>
      <c r="AI22" s="991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71"/>
      <c r="BD22" s="171"/>
      <c r="BE22" s="171"/>
      <c r="BF22" s="110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12"/>
      <c r="BS22" s="171"/>
    </row>
    <row r="23" spans="1:71" ht="12" customHeight="1" thickBot="1" x14ac:dyDescent="0.25">
      <c r="A23" s="67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183"/>
      <c r="Q23" s="42"/>
      <c r="R23" s="42"/>
      <c r="S23" s="42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71"/>
      <c r="BD23" s="171"/>
      <c r="BE23" s="171"/>
      <c r="BF23" s="110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12"/>
      <c r="BS23" s="171"/>
    </row>
    <row r="24" spans="1:71" ht="12" customHeight="1" thickBot="1" x14ac:dyDescent="0.25">
      <c r="A24" s="67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183"/>
      <c r="Q24" s="42"/>
      <c r="R24" s="42"/>
      <c r="S24" s="42"/>
      <c r="T24" s="338" t="s">
        <v>425</v>
      </c>
      <c r="U24" s="339"/>
      <c r="V24" s="339"/>
      <c r="W24" s="339"/>
      <c r="X24" s="339"/>
      <c r="Y24" s="339"/>
      <c r="Z24" s="339"/>
      <c r="AA24" s="339"/>
      <c r="AB24" s="339"/>
      <c r="AC24" s="339"/>
      <c r="AD24" s="339"/>
      <c r="AE24" s="339"/>
      <c r="AF24" s="339"/>
      <c r="AG24" s="339"/>
      <c r="AH24" s="339"/>
      <c r="AI24" s="340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107"/>
      <c r="BB24" s="107"/>
      <c r="BC24" s="171"/>
      <c r="BD24" s="171"/>
      <c r="BE24" s="171"/>
      <c r="BF24" s="110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12"/>
      <c r="BS24" s="171"/>
    </row>
    <row r="25" spans="1:71" ht="12.75" customHeight="1" thickTop="1" thickBot="1" x14ac:dyDescent="0.25">
      <c r="A25" s="67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183"/>
      <c r="Q25" s="42"/>
      <c r="R25" s="42"/>
      <c r="S25" s="42"/>
      <c r="T25" s="985" t="s">
        <v>426</v>
      </c>
      <c r="U25" s="986"/>
      <c r="V25" s="986"/>
      <c r="W25" s="986"/>
      <c r="X25" s="986"/>
      <c r="Y25" s="986"/>
      <c r="Z25" s="986"/>
      <c r="AA25" s="986"/>
      <c r="AB25" s="986"/>
      <c r="AC25" s="986"/>
      <c r="AD25" s="986"/>
      <c r="AE25" s="987"/>
      <c r="AF25" s="988"/>
      <c r="AG25" s="988"/>
      <c r="AH25" s="989" t="str">
        <f>IF(ISNUMBER(AE25),"%","")</f>
        <v/>
      </c>
      <c r="AI25" s="990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71"/>
      <c r="BD25" s="171"/>
      <c r="BE25" s="171"/>
      <c r="BF25" s="110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12"/>
      <c r="BS25" s="171"/>
    </row>
    <row r="26" spans="1:71" ht="12" customHeight="1" x14ac:dyDescent="0.2">
      <c r="A26" s="67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183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71"/>
      <c r="BD26" s="171"/>
      <c r="BE26" s="171"/>
      <c r="BF26" s="110"/>
      <c r="BG26" s="171"/>
      <c r="BH26" s="171"/>
      <c r="BI26" s="171"/>
      <c r="BJ26" s="171"/>
      <c r="BK26" s="171"/>
      <c r="BL26" s="171"/>
      <c r="BM26" s="171"/>
      <c r="BN26" s="171"/>
      <c r="BO26" s="171"/>
      <c r="BP26" s="171"/>
      <c r="BQ26" s="171"/>
      <c r="BR26" s="112"/>
      <c r="BS26" s="171"/>
    </row>
    <row r="27" spans="1:71" ht="12" customHeight="1" thickBot="1" x14ac:dyDescent="0.25">
      <c r="A27" s="67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183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71"/>
      <c r="BD27" s="171"/>
      <c r="BE27" s="171"/>
      <c r="BF27" s="110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12"/>
      <c r="BS27" s="171"/>
    </row>
    <row r="28" spans="1:71" ht="12" customHeight="1" thickBot="1" x14ac:dyDescent="0.25">
      <c r="A28" s="67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183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47" t="s">
        <v>297</v>
      </c>
      <c r="AW28" s="472"/>
      <c r="AX28" s="472"/>
      <c r="AY28" s="472"/>
      <c r="AZ28" s="472"/>
      <c r="BA28" s="472"/>
      <c r="BB28" s="472"/>
      <c r="BC28" s="948"/>
      <c r="BD28" s="191"/>
      <c r="BE28" s="171"/>
      <c r="BF28" s="110"/>
      <c r="BG28" s="171"/>
      <c r="BH28" s="171"/>
      <c r="BI28" s="171"/>
      <c r="BJ28" s="171"/>
      <c r="BK28" s="171"/>
      <c r="BL28" s="171"/>
      <c r="BM28" s="171"/>
      <c r="BN28" s="171"/>
      <c r="BO28" s="171"/>
      <c r="BP28" s="171"/>
      <c r="BQ28" s="171"/>
      <c r="BR28" s="112"/>
      <c r="BS28" s="171"/>
    </row>
    <row r="29" spans="1:71" ht="12" customHeight="1" thickTop="1" thickBot="1" x14ac:dyDescent="0.25">
      <c r="A29" s="134"/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9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29" t="s">
        <v>298</v>
      </c>
      <c r="AW29" s="750"/>
      <c r="AX29" s="750"/>
      <c r="AY29" s="750"/>
      <c r="AZ29" s="750"/>
      <c r="BA29" s="751"/>
      <c r="BB29" s="930"/>
      <c r="BC29" s="931"/>
      <c r="BD29" s="193"/>
      <c r="BE29" s="171"/>
      <c r="BF29" s="110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12"/>
      <c r="BS29" s="171"/>
    </row>
    <row r="30" spans="1:71" ht="12" customHeight="1" thickBot="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660" t="s">
        <v>299</v>
      </c>
      <c r="AL30" s="661"/>
      <c r="AM30" s="661"/>
      <c r="AN30" s="661"/>
      <c r="AO30" s="661"/>
      <c r="AP30" s="661"/>
      <c r="AQ30" s="661"/>
      <c r="AR30" s="661"/>
      <c r="AS30" s="662"/>
      <c r="AT30" s="107"/>
      <c r="AU30" s="53"/>
      <c r="AV30" s="941" t="s">
        <v>300</v>
      </c>
      <c r="AW30" s="543"/>
      <c r="AX30" s="543"/>
      <c r="AY30" s="543"/>
      <c r="AZ30" s="543"/>
      <c r="BA30" s="544"/>
      <c r="BB30" s="942"/>
      <c r="BC30" s="943"/>
      <c r="BD30" s="55"/>
      <c r="BE30" s="171"/>
      <c r="BF30" s="110"/>
      <c r="BG30" s="171"/>
      <c r="BH30" s="171"/>
      <c r="BI30" s="171"/>
      <c r="BJ30" s="171"/>
      <c r="BK30" s="171"/>
      <c r="BL30" s="171"/>
      <c r="BM30" s="171"/>
      <c r="BN30" s="171"/>
      <c r="BO30" s="171"/>
      <c r="BP30" s="171"/>
      <c r="BQ30" s="171"/>
      <c r="BR30" s="112"/>
      <c r="BS30" s="171"/>
    </row>
    <row r="31" spans="1:71" ht="12" customHeight="1" thickBot="1" x14ac:dyDescent="0.25">
      <c r="A31" s="649" t="s">
        <v>301</v>
      </c>
      <c r="B31" s="650"/>
      <c r="C31" s="650"/>
      <c r="D31" s="650"/>
      <c r="E31" s="650"/>
      <c r="F31" s="650"/>
      <c r="G31" s="650"/>
      <c r="H31" s="653" t="s">
        <v>302</v>
      </c>
      <c r="I31" s="653"/>
      <c r="J31" s="653"/>
      <c r="K31" s="653"/>
      <c r="L31" s="653"/>
      <c r="M31" s="653"/>
      <c r="N31" s="653"/>
      <c r="O31" s="653"/>
      <c r="P31" s="653"/>
      <c r="Q31" s="650" t="s">
        <v>303</v>
      </c>
      <c r="R31" s="650"/>
      <c r="S31" s="650"/>
      <c r="T31" s="653" t="s">
        <v>304</v>
      </c>
      <c r="U31" s="653"/>
      <c r="V31" s="653"/>
      <c r="W31" s="653"/>
      <c r="X31" s="653"/>
      <c r="Y31" s="653"/>
      <c r="Z31" s="653"/>
      <c r="AA31" s="653"/>
      <c r="AB31" s="653"/>
      <c r="AC31" s="650" t="s">
        <v>305</v>
      </c>
      <c r="AD31" s="650"/>
      <c r="AE31" s="650"/>
      <c r="AF31" s="654" t="s">
        <v>262</v>
      </c>
      <c r="AG31" s="655"/>
      <c r="AH31" s="655"/>
      <c r="AI31" s="656"/>
      <c r="AJ31" s="107"/>
      <c r="AK31" s="663"/>
      <c r="AL31" s="664"/>
      <c r="AM31" s="664"/>
      <c r="AN31" s="664"/>
      <c r="AO31" s="664"/>
      <c r="AP31" s="664"/>
      <c r="AQ31" s="664"/>
      <c r="AR31" s="664"/>
      <c r="AS31" s="665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71"/>
      <c r="BF31" s="110"/>
      <c r="BG31" s="171"/>
      <c r="BH31" s="171"/>
      <c r="BI31" s="171"/>
      <c r="BJ31" s="171"/>
      <c r="BK31" s="171"/>
      <c r="BL31" s="171"/>
      <c r="BM31" s="171"/>
      <c r="BN31" s="171"/>
      <c r="BO31" s="171"/>
      <c r="BP31" s="171"/>
      <c r="BQ31" s="171"/>
      <c r="BR31" s="112"/>
      <c r="BS31" s="171"/>
    </row>
    <row r="32" spans="1:71" ht="12" customHeight="1" thickBot="1" x14ac:dyDescent="0.25">
      <c r="A32" s="651"/>
      <c r="B32" s="652"/>
      <c r="C32" s="652"/>
      <c r="D32" s="652"/>
      <c r="E32" s="652"/>
      <c r="F32" s="652"/>
      <c r="G32" s="652"/>
      <c r="H32" s="392" t="s">
        <v>306</v>
      </c>
      <c r="I32" s="392"/>
      <c r="J32" s="392"/>
      <c r="K32" s="392" t="s">
        <v>174</v>
      </c>
      <c r="L32" s="392"/>
      <c r="M32" s="392"/>
      <c r="N32" s="392" t="s">
        <v>315</v>
      </c>
      <c r="O32" s="392"/>
      <c r="P32" s="392"/>
      <c r="Q32" s="652"/>
      <c r="R32" s="652"/>
      <c r="S32" s="652"/>
      <c r="T32" s="392" t="s">
        <v>308</v>
      </c>
      <c r="U32" s="392"/>
      <c r="V32" s="392"/>
      <c r="W32" s="392" t="s">
        <v>180</v>
      </c>
      <c r="X32" s="392"/>
      <c r="Y32" s="392"/>
      <c r="Z32" s="392" t="s">
        <v>183</v>
      </c>
      <c r="AA32" s="392"/>
      <c r="AB32" s="392"/>
      <c r="AC32" s="652"/>
      <c r="AD32" s="652"/>
      <c r="AE32" s="652"/>
      <c r="AF32" s="657"/>
      <c r="AG32" s="658"/>
      <c r="AH32" s="658"/>
      <c r="AI32" s="659"/>
      <c r="AJ32" s="107"/>
      <c r="AK32" s="666"/>
      <c r="AL32" s="667"/>
      <c r="AM32" s="667"/>
      <c r="AN32" s="667"/>
      <c r="AO32" s="667"/>
      <c r="AP32" s="667"/>
      <c r="AQ32" s="667"/>
      <c r="AR32" s="667"/>
      <c r="AS32" s="668"/>
      <c r="AT32" s="107"/>
      <c r="AU32" s="471" t="s">
        <v>309</v>
      </c>
      <c r="AV32" s="472"/>
      <c r="AW32" s="472"/>
      <c r="AX32" s="472"/>
      <c r="AY32" s="472"/>
      <c r="AZ32" s="472"/>
      <c r="BA32" s="472"/>
      <c r="BB32" s="472"/>
      <c r="BC32" s="472"/>
      <c r="BD32" s="473"/>
      <c r="BE32" s="171"/>
      <c r="BF32" s="110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12"/>
      <c r="BS32" s="171"/>
    </row>
    <row r="33" spans="1:71" ht="12.75" thickTop="1" x14ac:dyDescent="0.2">
      <c r="A33" s="926"/>
      <c r="B33" s="927"/>
      <c r="C33" s="927"/>
      <c r="D33" s="927"/>
      <c r="E33" s="927"/>
      <c r="F33" s="927"/>
      <c r="G33" s="927"/>
      <c r="H33" s="453"/>
      <c r="I33" s="453"/>
      <c r="J33" s="453"/>
      <c r="K33" s="453"/>
      <c r="L33" s="453"/>
      <c r="M33" s="453"/>
      <c r="N33" s="453"/>
      <c r="O33" s="453"/>
      <c r="P33" s="453"/>
      <c r="Q33" s="453"/>
      <c r="R33" s="453"/>
      <c r="S33" s="453"/>
      <c r="T33" s="638"/>
      <c r="U33" s="638"/>
      <c r="V33" s="638"/>
      <c r="W33" s="638"/>
      <c r="X33" s="638"/>
      <c r="Y33" s="638"/>
      <c r="Z33" s="638"/>
      <c r="AA33" s="638"/>
      <c r="AB33" s="638"/>
      <c r="AC33" s="638"/>
      <c r="AD33" s="638"/>
      <c r="AE33" s="638"/>
      <c r="AF33" s="453"/>
      <c r="AG33" s="453"/>
      <c r="AH33" s="453"/>
      <c r="AI33" s="454"/>
      <c r="AJ33" s="107"/>
      <c r="AK33" s="920" t="str">
        <f>IFERROR(AN33*(1-$BB$30),"")</f>
        <v/>
      </c>
      <c r="AL33" s="921"/>
      <c r="AM33" s="921"/>
      <c r="AN33" s="921" t="str">
        <f>IFERROR(($AK$53*Q33),"")</f>
        <v/>
      </c>
      <c r="AO33" s="921"/>
      <c r="AP33" s="921"/>
      <c r="AQ33" s="921" t="str">
        <f>IFERROR(AN33*(1+$BB$29),"")</f>
        <v/>
      </c>
      <c r="AR33" s="921"/>
      <c r="AS33" s="922"/>
      <c r="AT33" s="107"/>
      <c r="AU33" s="923" t="str">
        <f t="shared" ref="AU33:AU52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24"/>
      <c r="AW33" s="924"/>
      <c r="AX33" s="924"/>
      <c r="AY33" s="924"/>
      <c r="AZ33" s="924"/>
      <c r="BA33" s="924"/>
      <c r="BB33" s="924"/>
      <c r="BC33" s="924"/>
      <c r="BD33" s="925"/>
      <c r="BE33" s="171"/>
      <c r="BF33" s="110"/>
      <c r="BG33" s="171"/>
      <c r="BH33" s="171"/>
      <c r="BI33" s="171"/>
      <c r="BJ33" s="171"/>
      <c r="BK33" s="171"/>
      <c r="BL33" s="171"/>
      <c r="BM33" s="171"/>
      <c r="BN33" s="171"/>
      <c r="BO33" s="171"/>
      <c r="BP33" s="171"/>
      <c r="BQ33" s="171"/>
      <c r="BR33" s="112"/>
      <c r="BS33" s="171"/>
    </row>
    <row r="34" spans="1:71" ht="12" customHeight="1" x14ac:dyDescent="0.2">
      <c r="A34" s="926"/>
      <c r="B34" s="927"/>
      <c r="C34" s="927"/>
      <c r="D34" s="927"/>
      <c r="E34" s="927"/>
      <c r="F34" s="927"/>
      <c r="G34" s="927"/>
      <c r="H34" s="453"/>
      <c r="I34" s="453"/>
      <c r="J34" s="453"/>
      <c r="K34" s="453"/>
      <c r="L34" s="453"/>
      <c r="M34" s="453"/>
      <c r="N34" s="453"/>
      <c r="O34" s="453"/>
      <c r="P34" s="453"/>
      <c r="Q34" s="453"/>
      <c r="R34" s="453"/>
      <c r="S34" s="453"/>
      <c r="T34" s="638"/>
      <c r="U34" s="638"/>
      <c r="V34" s="638"/>
      <c r="W34" s="638"/>
      <c r="X34" s="638"/>
      <c r="Y34" s="638"/>
      <c r="Z34" s="638"/>
      <c r="AA34" s="638"/>
      <c r="AB34" s="638"/>
      <c r="AC34" s="638"/>
      <c r="AD34" s="638"/>
      <c r="AE34" s="638"/>
      <c r="AF34" s="400"/>
      <c r="AG34" s="400"/>
      <c r="AH34" s="400"/>
      <c r="AI34" s="401"/>
      <c r="AJ34" s="107"/>
      <c r="AK34" s="920" t="str">
        <f t="shared" ref="AK34:AK52" si="1">IFERROR(AN34*(1-$BB$30),"")</f>
        <v/>
      </c>
      <c r="AL34" s="921"/>
      <c r="AM34" s="921"/>
      <c r="AN34" s="921" t="str">
        <f t="shared" ref="AN34:AN52" si="2">IFERROR(($AK$53*Q34),"")</f>
        <v/>
      </c>
      <c r="AO34" s="921"/>
      <c r="AP34" s="921"/>
      <c r="AQ34" s="921" t="str">
        <f t="shared" ref="AQ34:AQ52" si="3">IFERROR(AN34*(1+$BB$29),"")</f>
        <v/>
      </c>
      <c r="AR34" s="921"/>
      <c r="AS34" s="922"/>
      <c r="AT34" s="107"/>
      <c r="AU34" s="923" t="str">
        <f t="shared" si="0"/>
        <v/>
      </c>
      <c r="AV34" s="924"/>
      <c r="AW34" s="924"/>
      <c r="AX34" s="924"/>
      <c r="AY34" s="924"/>
      <c r="AZ34" s="924"/>
      <c r="BA34" s="924"/>
      <c r="BB34" s="924"/>
      <c r="BC34" s="924"/>
      <c r="BD34" s="925"/>
      <c r="BE34" s="171"/>
      <c r="BF34" s="110"/>
      <c r="BG34" s="171"/>
      <c r="BH34" s="171"/>
      <c r="BI34" s="171"/>
      <c r="BJ34" s="171"/>
      <c r="BK34" s="171"/>
      <c r="BL34" s="171"/>
      <c r="BM34" s="171"/>
      <c r="BN34" s="171"/>
      <c r="BO34" s="171"/>
      <c r="BP34" s="171"/>
      <c r="BQ34" s="171"/>
      <c r="BR34" s="112"/>
      <c r="BS34" s="171"/>
    </row>
    <row r="35" spans="1:71" ht="12" customHeight="1" thickBot="1" x14ac:dyDescent="0.25">
      <c r="A35" s="926"/>
      <c r="B35" s="927"/>
      <c r="C35" s="927"/>
      <c r="D35" s="927"/>
      <c r="E35" s="927"/>
      <c r="F35" s="927"/>
      <c r="G35" s="927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638"/>
      <c r="U35" s="638"/>
      <c r="V35" s="638"/>
      <c r="W35" s="638"/>
      <c r="X35" s="638"/>
      <c r="Y35" s="638"/>
      <c r="Z35" s="638"/>
      <c r="AA35" s="638"/>
      <c r="AB35" s="638"/>
      <c r="AC35" s="638"/>
      <c r="AD35" s="638"/>
      <c r="AE35" s="638"/>
      <c r="AF35" s="400"/>
      <c r="AG35" s="400"/>
      <c r="AH35" s="400"/>
      <c r="AI35" s="401"/>
      <c r="AJ35" s="107"/>
      <c r="AK35" s="920" t="str">
        <f t="shared" si="1"/>
        <v/>
      </c>
      <c r="AL35" s="921"/>
      <c r="AM35" s="921"/>
      <c r="AN35" s="921" t="str">
        <f t="shared" si="2"/>
        <v/>
      </c>
      <c r="AO35" s="921"/>
      <c r="AP35" s="921"/>
      <c r="AQ35" s="921" t="str">
        <f t="shared" si="3"/>
        <v/>
      </c>
      <c r="AR35" s="921"/>
      <c r="AS35" s="922"/>
      <c r="AT35" s="107"/>
      <c r="AU35" s="923" t="str">
        <f t="shared" si="0"/>
        <v/>
      </c>
      <c r="AV35" s="924"/>
      <c r="AW35" s="924"/>
      <c r="AX35" s="924"/>
      <c r="AY35" s="924"/>
      <c r="AZ35" s="924"/>
      <c r="BA35" s="924"/>
      <c r="BB35" s="924"/>
      <c r="BC35" s="924"/>
      <c r="BD35" s="925"/>
      <c r="BE35" s="171"/>
      <c r="BF35" s="113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5"/>
      <c r="BS35" s="171"/>
    </row>
    <row r="36" spans="1:71" ht="12" customHeight="1" x14ac:dyDescent="0.2">
      <c r="A36" s="926"/>
      <c r="B36" s="927"/>
      <c r="C36" s="927"/>
      <c r="D36" s="927"/>
      <c r="E36" s="927"/>
      <c r="F36" s="927"/>
      <c r="G36" s="927"/>
      <c r="H36" s="453"/>
      <c r="I36" s="453"/>
      <c r="J36" s="453"/>
      <c r="K36" s="453"/>
      <c r="L36" s="453"/>
      <c r="M36" s="453"/>
      <c r="N36" s="453"/>
      <c r="O36" s="453"/>
      <c r="P36" s="453"/>
      <c r="Q36" s="453"/>
      <c r="R36" s="453"/>
      <c r="S36" s="453"/>
      <c r="T36" s="638"/>
      <c r="U36" s="638"/>
      <c r="V36" s="638"/>
      <c r="W36" s="638"/>
      <c r="X36" s="638"/>
      <c r="Y36" s="638"/>
      <c r="Z36" s="638"/>
      <c r="AA36" s="638"/>
      <c r="AB36" s="638"/>
      <c r="AC36" s="638"/>
      <c r="AD36" s="638"/>
      <c r="AE36" s="638"/>
      <c r="AF36" s="400"/>
      <c r="AG36" s="400"/>
      <c r="AH36" s="400"/>
      <c r="AI36" s="401"/>
      <c r="AJ36" s="107"/>
      <c r="AK36" s="920" t="str">
        <f t="shared" si="1"/>
        <v/>
      </c>
      <c r="AL36" s="921"/>
      <c r="AM36" s="921"/>
      <c r="AN36" s="921" t="str">
        <f t="shared" si="2"/>
        <v/>
      </c>
      <c r="AO36" s="921"/>
      <c r="AP36" s="921"/>
      <c r="AQ36" s="921" t="str">
        <f t="shared" si="3"/>
        <v/>
      </c>
      <c r="AR36" s="921"/>
      <c r="AS36" s="922"/>
      <c r="AT36" s="107"/>
      <c r="AU36" s="923" t="str">
        <f t="shared" si="0"/>
        <v/>
      </c>
      <c r="AV36" s="924"/>
      <c r="AW36" s="924"/>
      <c r="AX36" s="924"/>
      <c r="AY36" s="924"/>
      <c r="AZ36" s="924"/>
      <c r="BA36" s="924"/>
      <c r="BB36" s="924"/>
      <c r="BC36" s="924"/>
      <c r="BD36" s="925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</row>
    <row r="37" spans="1:71" ht="12" customHeight="1" x14ac:dyDescent="0.2">
      <c r="A37" s="926"/>
      <c r="B37" s="927"/>
      <c r="C37" s="927"/>
      <c r="D37" s="927"/>
      <c r="E37" s="927"/>
      <c r="F37" s="927"/>
      <c r="G37" s="927"/>
      <c r="H37" s="453"/>
      <c r="I37" s="453"/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638"/>
      <c r="U37" s="638"/>
      <c r="V37" s="638"/>
      <c r="W37" s="638"/>
      <c r="X37" s="638"/>
      <c r="Y37" s="638"/>
      <c r="Z37" s="638"/>
      <c r="AA37" s="638"/>
      <c r="AB37" s="638"/>
      <c r="AC37" s="638"/>
      <c r="AD37" s="638"/>
      <c r="AE37" s="638"/>
      <c r="AF37" s="400"/>
      <c r="AG37" s="400"/>
      <c r="AH37" s="400"/>
      <c r="AI37" s="401"/>
      <c r="AJ37" s="107"/>
      <c r="AK37" s="920" t="str">
        <f t="shared" si="1"/>
        <v/>
      </c>
      <c r="AL37" s="921"/>
      <c r="AM37" s="921"/>
      <c r="AN37" s="921" t="str">
        <f t="shared" si="2"/>
        <v/>
      </c>
      <c r="AO37" s="921"/>
      <c r="AP37" s="921"/>
      <c r="AQ37" s="921" t="str">
        <f t="shared" si="3"/>
        <v/>
      </c>
      <c r="AR37" s="921"/>
      <c r="AS37" s="922"/>
      <c r="AT37" s="107"/>
      <c r="AU37" s="923" t="str">
        <f t="shared" si="0"/>
        <v/>
      </c>
      <c r="AV37" s="924"/>
      <c r="AW37" s="924"/>
      <c r="AX37" s="924"/>
      <c r="AY37" s="924"/>
      <c r="AZ37" s="924"/>
      <c r="BA37" s="924"/>
      <c r="BB37" s="924"/>
      <c r="BC37" s="924"/>
      <c r="BD37" s="925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</row>
    <row r="38" spans="1:71" ht="12" customHeight="1" x14ac:dyDescent="0.2">
      <c r="A38" s="926"/>
      <c r="B38" s="927"/>
      <c r="C38" s="927"/>
      <c r="D38" s="927"/>
      <c r="E38" s="927"/>
      <c r="F38" s="927"/>
      <c r="G38" s="927"/>
      <c r="H38" s="453"/>
      <c r="I38" s="453"/>
      <c r="J38" s="453"/>
      <c r="K38" s="453"/>
      <c r="L38" s="453"/>
      <c r="M38" s="453"/>
      <c r="N38" s="453"/>
      <c r="O38" s="453"/>
      <c r="P38" s="453"/>
      <c r="Q38" s="453"/>
      <c r="R38" s="453"/>
      <c r="S38" s="453"/>
      <c r="T38" s="638"/>
      <c r="U38" s="638"/>
      <c r="V38" s="638"/>
      <c r="W38" s="638"/>
      <c r="X38" s="638"/>
      <c r="Y38" s="638"/>
      <c r="Z38" s="638"/>
      <c r="AA38" s="638"/>
      <c r="AB38" s="638"/>
      <c r="AC38" s="638"/>
      <c r="AD38" s="638"/>
      <c r="AE38" s="638"/>
      <c r="AF38" s="400"/>
      <c r="AG38" s="400"/>
      <c r="AH38" s="400"/>
      <c r="AI38" s="401"/>
      <c r="AJ38" s="107"/>
      <c r="AK38" s="920" t="str">
        <f t="shared" si="1"/>
        <v/>
      </c>
      <c r="AL38" s="921"/>
      <c r="AM38" s="921"/>
      <c r="AN38" s="921" t="str">
        <f t="shared" si="2"/>
        <v/>
      </c>
      <c r="AO38" s="921"/>
      <c r="AP38" s="921"/>
      <c r="AQ38" s="921" t="str">
        <f t="shared" si="3"/>
        <v/>
      </c>
      <c r="AR38" s="921"/>
      <c r="AS38" s="922"/>
      <c r="AT38" s="107"/>
      <c r="AU38" s="923" t="str">
        <f t="shared" si="0"/>
        <v/>
      </c>
      <c r="AV38" s="924"/>
      <c r="AW38" s="924"/>
      <c r="AX38" s="924"/>
      <c r="AY38" s="924"/>
      <c r="AZ38" s="924"/>
      <c r="BA38" s="924"/>
      <c r="BB38" s="924"/>
      <c r="BC38" s="924"/>
      <c r="BD38" s="925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</row>
    <row r="39" spans="1:71" ht="12" customHeight="1" x14ac:dyDescent="0.2">
      <c r="A39" s="926"/>
      <c r="B39" s="927"/>
      <c r="C39" s="927"/>
      <c r="D39" s="927"/>
      <c r="E39" s="927"/>
      <c r="F39" s="927"/>
      <c r="G39" s="927"/>
      <c r="H39" s="453"/>
      <c r="I39" s="453"/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638"/>
      <c r="U39" s="638"/>
      <c r="V39" s="638"/>
      <c r="W39" s="638"/>
      <c r="X39" s="638"/>
      <c r="Y39" s="638"/>
      <c r="Z39" s="638"/>
      <c r="AA39" s="638"/>
      <c r="AB39" s="638"/>
      <c r="AC39" s="638"/>
      <c r="AD39" s="638"/>
      <c r="AE39" s="638"/>
      <c r="AF39" s="400"/>
      <c r="AG39" s="400"/>
      <c r="AH39" s="400"/>
      <c r="AI39" s="401"/>
      <c r="AJ39" s="107"/>
      <c r="AK39" s="920" t="str">
        <f t="shared" si="1"/>
        <v/>
      </c>
      <c r="AL39" s="921"/>
      <c r="AM39" s="921"/>
      <c r="AN39" s="921" t="str">
        <f t="shared" si="2"/>
        <v/>
      </c>
      <c r="AO39" s="921"/>
      <c r="AP39" s="921"/>
      <c r="AQ39" s="921" t="str">
        <f t="shared" si="3"/>
        <v/>
      </c>
      <c r="AR39" s="921"/>
      <c r="AS39" s="922"/>
      <c r="AT39" s="107"/>
      <c r="AU39" s="923" t="str">
        <f t="shared" si="0"/>
        <v/>
      </c>
      <c r="AV39" s="924"/>
      <c r="AW39" s="924"/>
      <c r="AX39" s="924"/>
      <c r="AY39" s="924"/>
      <c r="AZ39" s="924"/>
      <c r="BA39" s="924"/>
      <c r="BB39" s="924"/>
      <c r="BC39" s="924"/>
      <c r="BD39" s="925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</row>
    <row r="40" spans="1:71" ht="12" customHeight="1" x14ac:dyDescent="0.2">
      <c r="A40" s="926"/>
      <c r="B40" s="927"/>
      <c r="C40" s="927"/>
      <c r="D40" s="927"/>
      <c r="E40" s="927"/>
      <c r="F40" s="927"/>
      <c r="G40" s="927"/>
      <c r="H40" s="453"/>
      <c r="I40" s="453"/>
      <c r="J40" s="453"/>
      <c r="K40" s="453"/>
      <c r="L40" s="453"/>
      <c r="M40" s="453"/>
      <c r="N40" s="453"/>
      <c r="O40" s="453"/>
      <c r="P40" s="453"/>
      <c r="Q40" s="453"/>
      <c r="R40" s="453"/>
      <c r="S40" s="453"/>
      <c r="T40" s="638"/>
      <c r="U40" s="638"/>
      <c r="V40" s="638"/>
      <c r="W40" s="638"/>
      <c r="X40" s="638"/>
      <c r="Y40" s="638"/>
      <c r="Z40" s="638"/>
      <c r="AA40" s="638"/>
      <c r="AB40" s="638"/>
      <c r="AC40" s="638"/>
      <c r="AD40" s="638"/>
      <c r="AE40" s="638"/>
      <c r="AF40" s="400"/>
      <c r="AG40" s="400"/>
      <c r="AH40" s="400"/>
      <c r="AI40" s="401"/>
      <c r="AJ40" s="107"/>
      <c r="AK40" s="920" t="str">
        <f t="shared" si="1"/>
        <v/>
      </c>
      <c r="AL40" s="921"/>
      <c r="AM40" s="921"/>
      <c r="AN40" s="921" t="str">
        <f t="shared" si="2"/>
        <v/>
      </c>
      <c r="AO40" s="921"/>
      <c r="AP40" s="921"/>
      <c r="AQ40" s="921" t="str">
        <f t="shared" si="3"/>
        <v/>
      </c>
      <c r="AR40" s="921"/>
      <c r="AS40" s="922"/>
      <c r="AT40" s="107"/>
      <c r="AU40" s="923" t="str">
        <f t="shared" si="0"/>
        <v/>
      </c>
      <c r="AV40" s="924"/>
      <c r="AW40" s="924"/>
      <c r="AX40" s="924"/>
      <c r="AY40" s="924"/>
      <c r="AZ40" s="924"/>
      <c r="BA40" s="924"/>
      <c r="BB40" s="924"/>
      <c r="BC40" s="924"/>
      <c r="BD40" s="925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</row>
    <row r="41" spans="1:71" ht="12" customHeight="1" x14ac:dyDescent="0.2">
      <c r="A41" s="926"/>
      <c r="B41" s="927"/>
      <c r="C41" s="927"/>
      <c r="D41" s="927"/>
      <c r="E41" s="927"/>
      <c r="F41" s="927"/>
      <c r="G41" s="927"/>
      <c r="H41" s="453"/>
      <c r="I41" s="453"/>
      <c r="J41" s="453"/>
      <c r="K41" s="453"/>
      <c r="L41" s="453"/>
      <c r="M41" s="453"/>
      <c r="N41" s="453"/>
      <c r="O41" s="453"/>
      <c r="P41" s="453"/>
      <c r="Q41" s="453"/>
      <c r="R41" s="453"/>
      <c r="S41" s="453"/>
      <c r="T41" s="638"/>
      <c r="U41" s="638"/>
      <c r="V41" s="638"/>
      <c r="W41" s="638"/>
      <c r="X41" s="638"/>
      <c r="Y41" s="638"/>
      <c r="Z41" s="638"/>
      <c r="AA41" s="638"/>
      <c r="AB41" s="638"/>
      <c r="AC41" s="638"/>
      <c r="AD41" s="638"/>
      <c r="AE41" s="638"/>
      <c r="AF41" s="400"/>
      <c r="AG41" s="400"/>
      <c r="AH41" s="400"/>
      <c r="AI41" s="401"/>
      <c r="AJ41" s="107"/>
      <c r="AK41" s="920" t="str">
        <f t="shared" si="1"/>
        <v/>
      </c>
      <c r="AL41" s="921"/>
      <c r="AM41" s="921"/>
      <c r="AN41" s="921" t="str">
        <f t="shared" si="2"/>
        <v/>
      </c>
      <c r="AO41" s="921"/>
      <c r="AP41" s="921"/>
      <c r="AQ41" s="921" t="str">
        <f t="shared" si="3"/>
        <v/>
      </c>
      <c r="AR41" s="921"/>
      <c r="AS41" s="922"/>
      <c r="AT41" s="107"/>
      <c r="AU41" s="923" t="str">
        <f t="shared" si="0"/>
        <v/>
      </c>
      <c r="AV41" s="924"/>
      <c r="AW41" s="924"/>
      <c r="AX41" s="924"/>
      <c r="AY41" s="924"/>
      <c r="AZ41" s="924"/>
      <c r="BA41" s="924"/>
      <c r="BB41" s="924"/>
      <c r="BC41" s="924"/>
      <c r="BD41" s="925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</row>
    <row r="42" spans="1:71" ht="12" customHeight="1" x14ac:dyDescent="0.2">
      <c r="A42" s="926"/>
      <c r="B42" s="927"/>
      <c r="C42" s="927"/>
      <c r="D42" s="927"/>
      <c r="E42" s="927"/>
      <c r="F42" s="927"/>
      <c r="G42" s="927"/>
      <c r="H42" s="453"/>
      <c r="I42" s="453"/>
      <c r="J42" s="453"/>
      <c r="K42" s="453"/>
      <c r="L42" s="453"/>
      <c r="M42" s="453"/>
      <c r="N42" s="453"/>
      <c r="O42" s="453"/>
      <c r="P42" s="453"/>
      <c r="Q42" s="453"/>
      <c r="R42" s="453"/>
      <c r="S42" s="453"/>
      <c r="T42" s="638"/>
      <c r="U42" s="638"/>
      <c r="V42" s="638"/>
      <c r="W42" s="638"/>
      <c r="X42" s="638"/>
      <c r="Y42" s="638"/>
      <c r="Z42" s="638"/>
      <c r="AA42" s="638"/>
      <c r="AB42" s="638"/>
      <c r="AC42" s="638"/>
      <c r="AD42" s="638"/>
      <c r="AE42" s="638"/>
      <c r="AF42" s="400"/>
      <c r="AG42" s="400"/>
      <c r="AH42" s="400"/>
      <c r="AI42" s="401"/>
      <c r="AJ42" s="107"/>
      <c r="AK42" s="920" t="str">
        <f t="shared" si="1"/>
        <v/>
      </c>
      <c r="AL42" s="921"/>
      <c r="AM42" s="921"/>
      <c r="AN42" s="921" t="str">
        <f t="shared" si="2"/>
        <v/>
      </c>
      <c r="AO42" s="921"/>
      <c r="AP42" s="921"/>
      <c r="AQ42" s="921" t="str">
        <f t="shared" si="3"/>
        <v/>
      </c>
      <c r="AR42" s="921"/>
      <c r="AS42" s="922"/>
      <c r="AT42" s="107"/>
      <c r="AU42" s="923" t="str">
        <f t="shared" si="0"/>
        <v/>
      </c>
      <c r="AV42" s="924"/>
      <c r="AW42" s="924"/>
      <c r="AX42" s="924"/>
      <c r="AY42" s="924"/>
      <c r="AZ42" s="924"/>
      <c r="BA42" s="924"/>
      <c r="BB42" s="924"/>
      <c r="BC42" s="924"/>
      <c r="BD42" s="925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</row>
    <row r="43" spans="1:71" ht="12" customHeight="1" x14ac:dyDescent="0.2">
      <c r="A43" s="926"/>
      <c r="B43" s="927"/>
      <c r="C43" s="927"/>
      <c r="D43" s="927"/>
      <c r="E43" s="927"/>
      <c r="F43" s="927"/>
      <c r="G43" s="927"/>
      <c r="H43" s="453"/>
      <c r="I43" s="453"/>
      <c r="J43" s="453"/>
      <c r="K43" s="453"/>
      <c r="L43" s="453"/>
      <c r="M43" s="453"/>
      <c r="N43" s="453"/>
      <c r="O43" s="453"/>
      <c r="P43" s="453"/>
      <c r="Q43" s="453"/>
      <c r="R43" s="453"/>
      <c r="S43" s="453"/>
      <c r="T43" s="638"/>
      <c r="U43" s="638"/>
      <c r="V43" s="638"/>
      <c r="W43" s="638"/>
      <c r="X43" s="638"/>
      <c r="Y43" s="638"/>
      <c r="Z43" s="638"/>
      <c r="AA43" s="638"/>
      <c r="AB43" s="638"/>
      <c r="AC43" s="638"/>
      <c r="AD43" s="638"/>
      <c r="AE43" s="638"/>
      <c r="AF43" s="400"/>
      <c r="AG43" s="400"/>
      <c r="AH43" s="400"/>
      <c r="AI43" s="401"/>
      <c r="AJ43" s="107"/>
      <c r="AK43" s="920" t="str">
        <f t="shared" si="1"/>
        <v/>
      </c>
      <c r="AL43" s="921"/>
      <c r="AM43" s="921"/>
      <c r="AN43" s="921" t="str">
        <f t="shared" si="2"/>
        <v/>
      </c>
      <c r="AO43" s="921"/>
      <c r="AP43" s="921"/>
      <c r="AQ43" s="921" t="str">
        <f t="shared" si="3"/>
        <v/>
      </c>
      <c r="AR43" s="921"/>
      <c r="AS43" s="922"/>
      <c r="AT43" s="107"/>
      <c r="AU43" s="923" t="str">
        <f t="shared" si="0"/>
        <v/>
      </c>
      <c r="AV43" s="924"/>
      <c r="AW43" s="924"/>
      <c r="AX43" s="924"/>
      <c r="AY43" s="924"/>
      <c r="AZ43" s="924"/>
      <c r="BA43" s="924"/>
      <c r="BB43" s="924"/>
      <c r="BC43" s="924"/>
      <c r="BD43" s="925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</row>
    <row r="44" spans="1:71" ht="12" customHeight="1" x14ac:dyDescent="0.2">
      <c r="A44" s="926"/>
      <c r="B44" s="927"/>
      <c r="C44" s="927"/>
      <c r="D44" s="927"/>
      <c r="E44" s="927"/>
      <c r="F44" s="927"/>
      <c r="G44" s="927"/>
      <c r="H44" s="453"/>
      <c r="I44" s="453"/>
      <c r="J44" s="453"/>
      <c r="K44" s="453"/>
      <c r="L44" s="453"/>
      <c r="M44" s="453"/>
      <c r="N44" s="453"/>
      <c r="O44" s="453"/>
      <c r="P44" s="453"/>
      <c r="Q44" s="453"/>
      <c r="R44" s="453"/>
      <c r="S44" s="453"/>
      <c r="T44" s="638"/>
      <c r="U44" s="638"/>
      <c r="V44" s="638"/>
      <c r="W44" s="638"/>
      <c r="X44" s="638"/>
      <c r="Y44" s="638"/>
      <c r="Z44" s="638"/>
      <c r="AA44" s="638"/>
      <c r="AB44" s="638"/>
      <c r="AC44" s="638"/>
      <c r="AD44" s="638"/>
      <c r="AE44" s="638"/>
      <c r="AF44" s="400"/>
      <c r="AG44" s="400"/>
      <c r="AH44" s="400"/>
      <c r="AI44" s="401"/>
      <c r="AJ44" s="107"/>
      <c r="AK44" s="920" t="str">
        <f t="shared" si="1"/>
        <v/>
      </c>
      <c r="AL44" s="921"/>
      <c r="AM44" s="921"/>
      <c r="AN44" s="921" t="str">
        <f t="shared" si="2"/>
        <v/>
      </c>
      <c r="AO44" s="921"/>
      <c r="AP44" s="921"/>
      <c r="AQ44" s="921" t="str">
        <f t="shared" si="3"/>
        <v/>
      </c>
      <c r="AR44" s="921"/>
      <c r="AS44" s="922"/>
      <c r="AT44" s="107"/>
      <c r="AU44" s="923" t="str">
        <f t="shared" si="0"/>
        <v/>
      </c>
      <c r="AV44" s="924"/>
      <c r="AW44" s="924"/>
      <c r="AX44" s="924"/>
      <c r="AY44" s="924"/>
      <c r="AZ44" s="924"/>
      <c r="BA44" s="924"/>
      <c r="BB44" s="924"/>
      <c r="BC44" s="924"/>
      <c r="BD44" s="925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</row>
    <row r="45" spans="1:71" ht="12" customHeight="1" x14ac:dyDescent="0.2">
      <c r="A45" s="926"/>
      <c r="B45" s="927"/>
      <c r="C45" s="927"/>
      <c r="D45" s="927"/>
      <c r="E45" s="927"/>
      <c r="F45" s="927"/>
      <c r="G45" s="927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53"/>
      <c r="S45" s="453"/>
      <c r="T45" s="638"/>
      <c r="U45" s="638"/>
      <c r="V45" s="638"/>
      <c r="W45" s="638"/>
      <c r="X45" s="638"/>
      <c r="Y45" s="638"/>
      <c r="Z45" s="638"/>
      <c r="AA45" s="638"/>
      <c r="AB45" s="638"/>
      <c r="AC45" s="638"/>
      <c r="AD45" s="638"/>
      <c r="AE45" s="638"/>
      <c r="AF45" s="400"/>
      <c r="AG45" s="400"/>
      <c r="AH45" s="400"/>
      <c r="AI45" s="401"/>
      <c r="AJ45" s="107"/>
      <c r="AK45" s="920" t="str">
        <f t="shared" si="1"/>
        <v/>
      </c>
      <c r="AL45" s="921"/>
      <c r="AM45" s="921"/>
      <c r="AN45" s="921" t="str">
        <f t="shared" si="2"/>
        <v/>
      </c>
      <c r="AO45" s="921"/>
      <c r="AP45" s="921"/>
      <c r="AQ45" s="921" t="str">
        <f t="shared" si="3"/>
        <v/>
      </c>
      <c r="AR45" s="921"/>
      <c r="AS45" s="922"/>
      <c r="AT45" s="107"/>
      <c r="AU45" s="923" t="str">
        <f t="shared" si="0"/>
        <v/>
      </c>
      <c r="AV45" s="924"/>
      <c r="AW45" s="924"/>
      <c r="AX45" s="924"/>
      <c r="AY45" s="924"/>
      <c r="AZ45" s="924"/>
      <c r="BA45" s="924"/>
      <c r="BB45" s="924"/>
      <c r="BC45" s="924"/>
      <c r="BD45" s="925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</row>
    <row r="46" spans="1:71" ht="12" customHeight="1" x14ac:dyDescent="0.2">
      <c r="A46" s="926"/>
      <c r="B46" s="927"/>
      <c r="C46" s="927"/>
      <c r="D46" s="927"/>
      <c r="E46" s="927"/>
      <c r="F46" s="927"/>
      <c r="G46" s="927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638"/>
      <c r="U46" s="638"/>
      <c r="V46" s="638"/>
      <c r="W46" s="638"/>
      <c r="X46" s="638"/>
      <c r="Y46" s="638"/>
      <c r="Z46" s="638"/>
      <c r="AA46" s="638"/>
      <c r="AB46" s="638"/>
      <c r="AC46" s="638"/>
      <c r="AD46" s="638"/>
      <c r="AE46" s="638"/>
      <c r="AF46" s="400"/>
      <c r="AG46" s="400"/>
      <c r="AH46" s="400"/>
      <c r="AI46" s="401"/>
      <c r="AJ46" s="107"/>
      <c r="AK46" s="920" t="str">
        <f t="shared" si="1"/>
        <v/>
      </c>
      <c r="AL46" s="921"/>
      <c r="AM46" s="921"/>
      <c r="AN46" s="921" t="str">
        <f t="shared" si="2"/>
        <v/>
      </c>
      <c r="AO46" s="921"/>
      <c r="AP46" s="921"/>
      <c r="AQ46" s="921" t="str">
        <f t="shared" si="3"/>
        <v/>
      </c>
      <c r="AR46" s="921"/>
      <c r="AS46" s="922"/>
      <c r="AT46" s="107"/>
      <c r="AU46" s="923" t="str">
        <f t="shared" si="0"/>
        <v/>
      </c>
      <c r="AV46" s="924"/>
      <c r="AW46" s="924"/>
      <c r="AX46" s="924"/>
      <c r="AY46" s="924"/>
      <c r="AZ46" s="924"/>
      <c r="BA46" s="924"/>
      <c r="BB46" s="924"/>
      <c r="BC46" s="924"/>
      <c r="BD46" s="925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</row>
    <row r="47" spans="1:71" ht="12" customHeight="1" x14ac:dyDescent="0.2">
      <c r="A47" s="926"/>
      <c r="B47" s="927"/>
      <c r="C47" s="927"/>
      <c r="D47" s="927"/>
      <c r="E47" s="927"/>
      <c r="F47" s="927"/>
      <c r="G47" s="927"/>
      <c r="H47" s="453"/>
      <c r="I47" s="453"/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638"/>
      <c r="U47" s="638"/>
      <c r="V47" s="638"/>
      <c r="W47" s="638"/>
      <c r="X47" s="638"/>
      <c r="Y47" s="638"/>
      <c r="Z47" s="638"/>
      <c r="AA47" s="638"/>
      <c r="AB47" s="638"/>
      <c r="AC47" s="638"/>
      <c r="AD47" s="638"/>
      <c r="AE47" s="638"/>
      <c r="AF47" s="400"/>
      <c r="AG47" s="400"/>
      <c r="AH47" s="400"/>
      <c r="AI47" s="401"/>
      <c r="AJ47" s="107"/>
      <c r="AK47" s="920" t="str">
        <f t="shared" si="1"/>
        <v/>
      </c>
      <c r="AL47" s="921"/>
      <c r="AM47" s="921"/>
      <c r="AN47" s="921" t="str">
        <f t="shared" si="2"/>
        <v/>
      </c>
      <c r="AO47" s="921"/>
      <c r="AP47" s="921"/>
      <c r="AQ47" s="921" t="str">
        <f t="shared" si="3"/>
        <v/>
      </c>
      <c r="AR47" s="921"/>
      <c r="AS47" s="922"/>
      <c r="AT47" s="107"/>
      <c r="AU47" s="923" t="str">
        <f t="shared" si="0"/>
        <v/>
      </c>
      <c r="AV47" s="924"/>
      <c r="AW47" s="924"/>
      <c r="AX47" s="924"/>
      <c r="AY47" s="924"/>
      <c r="AZ47" s="924"/>
      <c r="BA47" s="924"/>
      <c r="BB47" s="924"/>
      <c r="BC47" s="924"/>
      <c r="BD47" s="925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</row>
    <row r="48" spans="1:71" ht="12" customHeight="1" x14ac:dyDescent="0.2">
      <c r="A48" s="926"/>
      <c r="B48" s="927"/>
      <c r="C48" s="927"/>
      <c r="D48" s="927"/>
      <c r="E48" s="927"/>
      <c r="F48" s="927"/>
      <c r="G48" s="927"/>
      <c r="H48" s="453"/>
      <c r="I48" s="453"/>
      <c r="J48" s="453"/>
      <c r="K48" s="453"/>
      <c r="L48" s="453"/>
      <c r="M48" s="453"/>
      <c r="N48" s="453"/>
      <c r="O48" s="453"/>
      <c r="P48" s="453"/>
      <c r="Q48" s="453"/>
      <c r="R48" s="453"/>
      <c r="S48" s="453"/>
      <c r="T48" s="638"/>
      <c r="U48" s="638"/>
      <c r="V48" s="638"/>
      <c r="W48" s="638"/>
      <c r="X48" s="638"/>
      <c r="Y48" s="638"/>
      <c r="Z48" s="638"/>
      <c r="AA48" s="638"/>
      <c r="AB48" s="638"/>
      <c r="AC48" s="638"/>
      <c r="AD48" s="638"/>
      <c r="AE48" s="638"/>
      <c r="AF48" s="400"/>
      <c r="AG48" s="400"/>
      <c r="AH48" s="400"/>
      <c r="AI48" s="401"/>
      <c r="AJ48" s="107"/>
      <c r="AK48" s="920" t="str">
        <f t="shared" si="1"/>
        <v/>
      </c>
      <c r="AL48" s="921"/>
      <c r="AM48" s="921"/>
      <c r="AN48" s="921" t="str">
        <f t="shared" si="2"/>
        <v/>
      </c>
      <c r="AO48" s="921"/>
      <c r="AP48" s="921"/>
      <c r="AQ48" s="921" t="str">
        <f t="shared" si="3"/>
        <v/>
      </c>
      <c r="AR48" s="921"/>
      <c r="AS48" s="922"/>
      <c r="AT48" s="107"/>
      <c r="AU48" s="923" t="str">
        <f t="shared" si="0"/>
        <v/>
      </c>
      <c r="AV48" s="924"/>
      <c r="AW48" s="924"/>
      <c r="AX48" s="924"/>
      <c r="AY48" s="924"/>
      <c r="AZ48" s="924"/>
      <c r="BA48" s="924"/>
      <c r="BB48" s="924"/>
      <c r="BC48" s="924"/>
      <c r="BD48" s="925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</row>
    <row r="49" spans="1:71" ht="12" customHeight="1" x14ac:dyDescent="0.2">
      <c r="A49" s="926"/>
      <c r="B49" s="927"/>
      <c r="C49" s="927"/>
      <c r="D49" s="927"/>
      <c r="E49" s="927"/>
      <c r="F49" s="927"/>
      <c r="G49" s="927"/>
      <c r="H49" s="453"/>
      <c r="I49" s="453"/>
      <c r="J49" s="453"/>
      <c r="K49" s="453"/>
      <c r="L49" s="453"/>
      <c r="M49" s="453"/>
      <c r="N49" s="453"/>
      <c r="O49" s="453"/>
      <c r="P49" s="453"/>
      <c r="Q49" s="453"/>
      <c r="R49" s="453"/>
      <c r="S49" s="453"/>
      <c r="T49" s="638"/>
      <c r="U49" s="638"/>
      <c r="V49" s="638"/>
      <c r="W49" s="638"/>
      <c r="X49" s="638"/>
      <c r="Y49" s="638"/>
      <c r="Z49" s="638"/>
      <c r="AA49" s="638"/>
      <c r="AB49" s="638"/>
      <c r="AC49" s="638"/>
      <c r="AD49" s="638"/>
      <c r="AE49" s="638"/>
      <c r="AF49" s="400"/>
      <c r="AG49" s="400"/>
      <c r="AH49" s="400"/>
      <c r="AI49" s="401"/>
      <c r="AJ49" s="107"/>
      <c r="AK49" s="920" t="str">
        <f t="shared" si="1"/>
        <v/>
      </c>
      <c r="AL49" s="921"/>
      <c r="AM49" s="921"/>
      <c r="AN49" s="921" t="str">
        <f t="shared" si="2"/>
        <v/>
      </c>
      <c r="AO49" s="921"/>
      <c r="AP49" s="921"/>
      <c r="AQ49" s="921" t="str">
        <f t="shared" si="3"/>
        <v/>
      </c>
      <c r="AR49" s="921"/>
      <c r="AS49" s="922"/>
      <c r="AT49" s="107"/>
      <c r="AU49" s="923" t="str">
        <f t="shared" si="0"/>
        <v/>
      </c>
      <c r="AV49" s="924"/>
      <c r="AW49" s="924"/>
      <c r="AX49" s="924"/>
      <c r="AY49" s="924"/>
      <c r="AZ49" s="924"/>
      <c r="BA49" s="924"/>
      <c r="BB49" s="924"/>
      <c r="BC49" s="924"/>
      <c r="BD49" s="925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</row>
    <row r="50" spans="1:71" ht="12" customHeight="1" x14ac:dyDescent="0.2">
      <c r="A50" s="926"/>
      <c r="B50" s="927"/>
      <c r="C50" s="927"/>
      <c r="D50" s="927"/>
      <c r="E50" s="927"/>
      <c r="F50" s="927"/>
      <c r="G50" s="927"/>
      <c r="H50" s="453"/>
      <c r="I50" s="453"/>
      <c r="J50" s="453"/>
      <c r="K50" s="453"/>
      <c r="L50" s="453"/>
      <c r="M50" s="453"/>
      <c r="N50" s="453"/>
      <c r="O50" s="453"/>
      <c r="P50" s="453"/>
      <c r="Q50" s="453"/>
      <c r="R50" s="453"/>
      <c r="S50" s="453"/>
      <c r="T50" s="638"/>
      <c r="U50" s="638"/>
      <c r="V50" s="638"/>
      <c r="W50" s="638"/>
      <c r="X50" s="638"/>
      <c r="Y50" s="638"/>
      <c r="Z50" s="638"/>
      <c r="AA50" s="638"/>
      <c r="AB50" s="638"/>
      <c r="AC50" s="638"/>
      <c r="AD50" s="638"/>
      <c r="AE50" s="638"/>
      <c r="AF50" s="400"/>
      <c r="AG50" s="400"/>
      <c r="AH50" s="400"/>
      <c r="AI50" s="401"/>
      <c r="AJ50" s="107"/>
      <c r="AK50" s="920" t="str">
        <f t="shared" si="1"/>
        <v/>
      </c>
      <c r="AL50" s="921"/>
      <c r="AM50" s="921"/>
      <c r="AN50" s="921" t="str">
        <f t="shared" si="2"/>
        <v/>
      </c>
      <c r="AO50" s="921"/>
      <c r="AP50" s="921"/>
      <c r="AQ50" s="921" t="str">
        <f t="shared" si="3"/>
        <v/>
      </c>
      <c r="AR50" s="921"/>
      <c r="AS50" s="922"/>
      <c r="AT50" s="107"/>
      <c r="AU50" s="923" t="str">
        <f t="shared" si="0"/>
        <v/>
      </c>
      <c r="AV50" s="924"/>
      <c r="AW50" s="924"/>
      <c r="AX50" s="924"/>
      <c r="AY50" s="924"/>
      <c r="AZ50" s="924"/>
      <c r="BA50" s="924"/>
      <c r="BB50" s="924"/>
      <c r="BC50" s="924"/>
      <c r="BD50" s="925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</row>
    <row r="51" spans="1:71" ht="12" customHeight="1" x14ac:dyDescent="0.2">
      <c r="A51" s="926"/>
      <c r="B51" s="927"/>
      <c r="C51" s="927"/>
      <c r="D51" s="927"/>
      <c r="E51" s="927"/>
      <c r="F51" s="927"/>
      <c r="G51" s="927"/>
      <c r="H51" s="453"/>
      <c r="I51" s="453"/>
      <c r="J51" s="453"/>
      <c r="K51" s="453"/>
      <c r="L51" s="453"/>
      <c r="M51" s="453"/>
      <c r="N51" s="453"/>
      <c r="O51" s="453"/>
      <c r="P51" s="453"/>
      <c r="Q51" s="453"/>
      <c r="R51" s="453"/>
      <c r="S51" s="453"/>
      <c r="T51" s="638"/>
      <c r="U51" s="638"/>
      <c r="V51" s="638"/>
      <c r="W51" s="638"/>
      <c r="X51" s="638"/>
      <c r="Y51" s="638"/>
      <c r="Z51" s="638"/>
      <c r="AA51" s="638"/>
      <c r="AB51" s="638"/>
      <c r="AC51" s="638"/>
      <c r="AD51" s="638"/>
      <c r="AE51" s="638"/>
      <c r="AF51" s="400"/>
      <c r="AG51" s="400"/>
      <c r="AH51" s="400"/>
      <c r="AI51" s="401"/>
      <c r="AJ51" s="107"/>
      <c r="AK51" s="920" t="str">
        <f t="shared" si="1"/>
        <v/>
      </c>
      <c r="AL51" s="921"/>
      <c r="AM51" s="921"/>
      <c r="AN51" s="921" t="str">
        <f t="shared" si="2"/>
        <v/>
      </c>
      <c r="AO51" s="921"/>
      <c r="AP51" s="921"/>
      <c r="AQ51" s="921" t="str">
        <f t="shared" si="3"/>
        <v/>
      </c>
      <c r="AR51" s="921"/>
      <c r="AS51" s="922"/>
      <c r="AT51" s="107"/>
      <c r="AU51" s="923" t="str">
        <f t="shared" si="0"/>
        <v/>
      </c>
      <c r="AV51" s="924"/>
      <c r="AW51" s="924"/>
      <c r="AX51" s="924"/>
      <c r="AY51" s="924"/>
      <c r="AZ51" s="924"/>
      <c r="BA51" s="924"/>
      <c r="BB51" s="924"/>
      <c r="BC51" s="924"/>
      <c r="BD51" s="925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</row>
    <row r="52" spans="1:71" ht="12" customHeight="1" x14ac:dyDescent="0.2">
      <c r="A52" s="926"/>
      <c r="B52" s="927"/>
      <c r="C52" s="927"/>
      <c r="D52" s="927"/>
      <c r="E52" s="927"/>
      <c r="F52" s="927"/>
      <c r="G52" s="927"/>
      <c r="H52" s="453"/>
      <c r="I52" s="453"/>
      <c r="J52" s="453"/>
      <c r="K52" s="453"/>
      <c r="L52" s="453"/>
      <c r="M52" s="453"/>
      <c r="N52" s="453"/>
      <c r="O52" s="453"/>
      <c r="P52" s="453"/>
      <c r="Q52" s="453"/>
      <c r="R52" s="453"/>
      <c r="S52" s="453"/>
      <c r="T52" s="638"/>
      <c r="U52" s="638"/>
      <c r="V52" s="638"/>
      <c r="W52" s="638"/>
      <c r="X52" s="638"/>
      <c r="Y52" s="638"/>
      <c r="Z52" s="638"/>
      <c r="AA52" s="638"/>
      <c r="AB52" s="638"/>
      <c r="AC52" s="638"/>
      <c r="AD52" s="638"/>
      <c r="AE52" s="638"/>
      <c r="AF52" s="400"/>
      <c r="AG52" s="400"/>
      <c r="AH52" s="400"/>
      <c r="AI52" s="401"/>
      <c r="AJ52" s="107"/>
      <c r="AK52" s="920" t="str">
        <f t="shared" si="1"/>
        <v/>
      </c>
      <c r="AL52" s="921"/>
      <c r="AM52" s="921"/>
      <c r="AN52" s="921" t="str">
        <f t="shared" si="2"/>
        <v/>
      </c>
      <c r="AO52" s="921"/>
      <c r="AP52" s="921"/>
      <c r="AQ52" s="921" t="str">
        <f t="shared" si="3"/>
        <v/>
      </c>
      <c r="AR52" s="921"/>
      <c r="AS52" s="922"/>
      <c r="AT52" s="107"/>
      <c r="AU52" s="923" t="str">
        <f t="shared" si="0"/>
        <v/>
      </c>
      <c r="AV52" s="924"/>
      <c r="AW52" s="924"/>
      <c r="AX52" s="924"/>
      <c r="AY52" s="924"/>
      <c r="AZ52" s="924"/>
      <c r="BA52" s="924"/>
      <c r="BB52" s="924"/>
      <c r="BC52" s="924"/>
      <c r="BD52" s="925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</row>
    <row r="53" spans="1:71" ht="12" customHeight="1" thickBot="1" x14ac:dyDescent="0.25">
      <c r="A53" s="618" t="s">
        <v>379</v>
      </c>
      <c r="B53" s="619"/>
      <c r="C53" s="619"/>
      <c r="D53" s="619"/>
      <c r="E53" s="619"/>
      <c r="F53" s="619"/>
      <c r="G53" s="619"/>
      <c r="H53" s="619"/>
      <c r="I53" s="619"/>
      <c r="J53" s="619"/>
      <c r="K53" s="619"/>
      <c r="L53" s="619"/>
      <c r="M53" s="619"/>
      <c r="N53" s="619"/>
      <c r="O53" s="619"/>
      <c r="P53" s="619"/>
      <c r="Q53" s="350" t="str">
        <f>IF(SUM(Q33:S52)&lt;&gt;0,SUM(Q33:S52),"")</f>
        <v/>
      </c>
      <c r="R53" s="350"/>
      <c r="S53" s="350"/>
      <c r="T53" s="350" t="str">
        <f>IF(SUM(T33:V52)&lt;&gt;0,SUM(T33:V52),"")</f>
        <v/>
      </c>
      <c r="U53" s="350"/>
      <c r="V53" s="350"/>
      <c r="W53" s="350" t="str">
        <f>IF(SUM(W33:Y52)&lt;&gt;0,SUM(W33:Y52),"")</f>
        <v/>
      </c>
      <c r="X53" s="350"/>
      <c r="Y53" s="350"/>
      <c r="Z53" s="350" t="str">
        <f>IF(SUM(Z33:AB52)&lt;&gt;0,SUM(Z33:AB52),"")</f>
        <v/>
      </c>
      <c r="AA53" s="350"/>
      <c r="AB53" s="350"/>
      <c r="AC53" s="350" t="str">
        <f>IF(SUM(AC33:AE52)&lt;&gt;0,SUM(AC33:AE52),"")</f>
        <v/>
      </c>
      <c r="AD53" s="350"/>
      <c r="AE53" s="350"/>
      <c r="AF53" s="616"/>
      <c r="AG53" s="616"/>
      <c r="AH53" s="616"/>
      <c r="AI53" s="617"/>
      <c r="AJ53" s="107"/>
      <c r="AK53" s="912" t="str">
        <f>IFERROR((T53/Q53),"")</f>
        <v/>
      </c>
      <c r="AL53" s="913"/>
      <c r="AM53" s="914"/>
      <c r="AN53" s="915"/>
      <c r="AO53" s="915"/>
      <c r="AP53" s="915"/>
      <c r="AQ53" s="915"/>
      <c r="AR53" s="915"/>
      <c r="AS53" s="916"/>
      <c r="AT53" s="107"/>
      <c r="AU53" s="917" t="str">
        <f>IFERROR(IF(AC53="","",IF(AC53&lt;Q53-(Q53*$BB$30),"Below "&amp;$BB$30*100&amp;"% by "&amp;Q53-(Q53*$BB$30)-AC53&amp;" CFM",IF(AC53&gt;Q53+(Q53*$BB$29),"Above "&amp;$BB$29*100&amp;"% by "&amp;AC53-Q53-(Q53*$BB$29)&amp;" CFM",""))),"")</f>
        <v/>
      </c>
      <c r="AV53" s="918"/>
      <c r="AW53" s="918"/>
      <c r="AX53" s="918"/>
      <c r="AY53" s="918"/>
      <c r="AZ53" s="918"/>
      <c r="BA53" s="918"/>
      <c r="BB53" s="918"/>
      <c r="BC53" s="918"/>
      <c r="BD53" s="919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</row>
    <row r="54" spans="1:71" ht="12" customHeight="1" x14ac:dyDescent="0.2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</row>
    <row r="55" spans="1:71" ht="12" customHeight="1" x14ac:dyDescent="0.2">
      <c r="A55" s="42" t="s">
        <v>262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</row>
    <row r="56" spans="1:71" ht="12" customHeight="1" x14ac:dyDescent="0.2">
      <c r="A56" s="84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</row>
    <row r="57" spans="1:71" ht="12" customHeight="1" x14ac:dyDescent="0.2">
      <c r="A57" s="84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</row>
    <row r="58" spans="1:71" ht="12" customHeight="1" x14ac:dyDescent="0.2">
      <c r="A58" s="84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</row>
    <row r="59" spans="1:71" ht="12" customHeight="1" x14ac:dyDescent="0.2">
      <c r="A59" s="84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</row>
    <row r="60" spans="1:71" ht="12" customHeight="1" x14ac:dyDescent="0.2">
      <c r="A60" s="84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</row>
    <row r="61" spans="1:71" ht="12" customHeight="1" x14ac:dyDescent="0.2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</row>
    <row r="62" spans="1:71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</row>
  </sheetData>
  <mergeCells count="434">
    <mergeCell ref="AJ1:BS1"/>
    <mergeCell ref="AV3:BJ3"/>
    <mergeCell ref="AV4:AZ4"/>
    <mergeCell ref="BA4:BE4"/>
    <mergeCell ref="BF4:BJ4"/>
    <mergeCell ref="M5:AI5"/>
    <mergeCell ref="AV5:AZ5"/>
    <mergeCell ref="BA5:BE5"/>
    <mergeCell ref="BF5:BJ5"/>
    <mergeCell ref="AV6:AZ6"/>
    <mergeCell ref="BA6:BE6"/>
    <mergeCell ref="BF6:BJ6"/>
    <mergeCell ref="A7:E7"/>
    <mergeCell ref="F7:P7"/>
    <mergeCell ref="T7:X7"/>
    <mergeCell ref="Y7:AI7"/>
    <mergeCell ref="AV7:AZ7"/>
    <mergeCell ref="BA7:BE7"/>
    <mergeCell ref="BF7:BJ7"/>
    <mergeCell ref="AV8:AZ8"/>
    <mergeCell ref="BA8:BE8"/>
    <mergeCell ref="BF8:BJ8"/>
    <mergeCell ref="A9:E9"/>
    <mergeCell ref="F9:P9"/>
    <mergeCell ref="T9:X9"/>
    <mergeCell ref="Y9:AI9"/>
    <mergeCell ref="AV9:AZ9"/>
    <mergeCell ref="BA9:BE9"/>
    <mergeCell ref="BF9:BJ9"/>
    <mergeCell ref="A13:F13"/>
    <mergeCell ref="G13:K13"/>
    <mergeCell ref="M13:P13"/>
    <mergeCell ref="S13:Y13"/>
    <mergeCell ref="Z13:AD13"/>
    <mergeCell ref="AE13:AI13"/>
    <mergeCell ref="A11:P11"/>
    <mergeCell ref="S11:AI11"/>
    <mergeCell ref="AK11:BO11"/>
    <mergeCell ref="A12:F12"/>
    <mergeCell ref="G12:P12"/>
    <mergeCell ref="S12:Y12"/>
    <mergeCell ref="Z12:AD12"/>
    <mergeCell ref="AE12:AI12"/>
    <mergeCell ref="AK12:AM12"/>
    <mergeCell ref="AN12:AP12"/>
    <mergeCell ref="AK13:AM13"/>
    <mergeCell ref="AN13:AP13"/>
    <mergeCell ref="AQ13:AS13"/>
    <mergeCell ref="AT13:AY13"/>
    <mergeCell ref="AZ13:BG13"/>
    <mergeCell ref="BH13:BO13"/>
    <mergeCell ref="AQ12:AS12"/>
    <mergeCell ref="AT12:AY12"/>
    <mergeCell ref="AZ12:BG12"/>
    <mergeCell ref="BH12:BO12"/>
    <mergeCell ref="A15:F15"/>
    <mergeCell ref="G15:P15"/>
    <mergeCell ref="S15:Y15"/>
    <mergeCell ref="Z15:AD15"/>
    <mergeCell ref="AE15:AI15"/>
    <mergeCell ref="A14:F14"/>
    <mergeCell ref="G14:P14"/>
    <mergeCell ref="S14:Y14"/>
    <mergeCell ref="Z14:AD14"/>
    <mergeCell ref="AE14:AI14"/>
    <mergeCell ref="AK15:AM15"/>
    <mergeCell ref="AN15:AP15"/>
    <mergeCell ref="AQ15:AS15"/>
    <mergeCell ref="AT15:AY15"/>
    <mergeCell ref="AZ15:BG15"/>
    <mergeCell ref="BH15:BO15"/>
    <mergeCell ref="AN14:AP14"/>
    <mergeCell ref="AQ14:AS14"/>
    <mergeCell ref="AT14:AY14"/>
    <mergeCell ref="AZ14:BG14"/>
    <mergeCell ref="BH14:BO14"/>
    <mergeCell ref="AK14:AM14"/>
    <mergeCell ref="AZ16:BO16"/>
    <mergeCell ref="A17:F17"/>
    <mergeCell ref="G17:P17"/>
    <mergeCell ref="T17:AI17"/>
    <mergeCell ref="AK17:AS18"/>
    <mergeCell ref="AT17:AY17"/>
    <mergeCell ref="AZ17:BO18"/>
    <mergeCell ref="A18:F18"/>
    <mergeCell ref="G18:P18"/>
    <mergeCell ref="T18:Y18"/>
    <mergeCell ref="A16:F16"/>
    <mergeCell ref="G16:P16"/>
    <mergeCell ref="AK16:AM16"/>
    <mergeCell ref="AN16:AP16"/>
    <mergeCell ref="AQ16:AS16"/>
    <mergeCell ref="AT16:AY16"/>
    <mergeCell ref="A20:F20"/>
    <mergeCell ref="G20:P20"/>
    <mergeCell ref="T20:Y20"/>
    <mergeCell ref="Z20:AD20"/>
    <mergeCell ref="AE20:AI20"/>
    <mergeCell ref="BF20:BR20"/>
    <mergeCell ref="Z18:AD18"/>
    <mergeCell ref="AE18:AI18"/>
    <mergeCell ref="AT18:AY18"/>
    <mergeCell ref="A19:F19"/>
    <mergeCell ref="G19:P19"/>
    <mergeCell ref="T19:Y19"/>
    <mergeCell ref="Z19:AD19"/>
    <mergeCell ref="AE19:AI19"/>
    <mergeCell ref="AV28:BC28"/>
    <mergeCell ref="AV29:BA29"/>
    <mergeCell ref="BB29:BC29"/>
    <mergeCell ref="T21:Y21"/>
    <mergeCell ref="Z21:AD21"/>
    <mergeCell ref="AE21:AI21"/>
    <mergeCell ref="T22:Y22"/>
    <mergeCell ref="Z22:AD22"/>
    <mergeCell ref="AE22:AI22"/>
    <mergeCell ref="A31:G32"/>
    <mergeCell ref="H31:P31"/>
    <mergeCell ref="Q31:S32"/>
    <mergeCell ref="T31:AB31"/>
    <mergeCell ref="AC31:AE32"/>
    <mergeCell ref="AF31:AI32"/>
    <mergeCell ref="H32:J32"/>
    <mergeCell ref="T24:AI24"/>
    <mergeCell ref="T25:AD25"/>
    <mergeCell ref="AE25:AG25"/>
    <mergeCell ref="AH25:AI25"/>
    <mergeCell ref="K32:M32"/>
    <mergeCell ref="N32:P32"/>
    <mergeCell ref="T32:V32"/>
    <mergeCell ref="W32:Y32"/>
    <mergeCell ref="Z32:AB32"/>
    <mergeCell ref="AU32:BD32"/>
    <mergeCell ref="AK30:AS32"/>
    <mergeCell ref="AV30:BA30"/>
    <mergeCell ref="BB30:BC30"/>
    <mergeCell ref="AU34:BD34"/>
    <mergeCell ref="AQ33:AS33"/>
    <mergeCell ref="AU33:BD33"/>
    <mergeCell ref="A34:G34"/>
    <mergeCell ref="H34:J34"/>
    <mergeCell ref="K34:M34"/>
    <mergeCell ref="N34:P34"/>
    <mergeCell ref="Q34:S34"/>
    <mergeCell ref="T34:V34"/>
    <mergeCell ref="W34:Y34"/>
    <mergeCell ref="Z34:AB34"/>
    <mergeCell ref="W33:Y33"/>
    <mergeCell ref="Z33:AB33"/>
    <mergeCell ref="AC33:AE33"/>
    <mergeCell ref="AF33:AI33"/>
    <mergeCell ref="AK33:AM33"/>
    <mergeCell ref="AN33:AP33"/>
    <mergeCell ref="A33:G33"/>
    <mergeCell ref="H33:J33"/>
    <mergeCell ref="K33:M33"/>
    <mergeCell ref="N33:P33"/>
    <mergeCell ref="Q33:S33"/>
    <mergeCell ref="T33:V33"/>
    <mergeCell ref="K35:M35"/>
    <mergeCell ref="N35:P35"/>
    <mergeCell ref="Q35:S35"/>
    <mergeCell ref="T35:V35"/>
    <mergeCell ref="AC34:AE34"/>
    <mergeCell ref="AF34:AI34"/>
    <mergeCell ref="AK34:AM34"/>
    <mergeCell ref="AN34:AP34"/>
    <mergeCell ref="AQ34:AS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C35:AE35"/>
    <mergeCell ref="AF35:AI35"/>
    <mergeCell ref="AK35:AM35"/>
    <mergeCell ref="AN35:AP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AU33:BD52">
    <cfRule type="notContainsBlanks" dxfId="177" priority="15">
      <formula>LEN(TRIM(AU33))&gt;0</formula>
    </cfRule>
  </conditionalFormatting>
  <conditionalFormatting sqref="V62:AI62 E62:K62 Z19:Z22 AE21 G18:P20 G14:P16 G13:K13 G12:P12 Y9:AI9 Y7:AI7 F9:P9 F7:P7 BB29:BC30 Z13:AD15 AE13 AE25 AH25">
    <cfRule type="containsBlanks" dxfId="176" priority="14">
      <formula>LEN(TRIM(E7))=0</formula>
    </cfRule>
  </conditionalFormatting>
  <conditionalFormatting sqref="Q53:AE53 AE14:AI15">
    <cfRule type="containsText" dxfId="175" priority="13" operator="containsText" text="CALC.">
      <formula>NOT(ISERROR(SEARCH("CALC.",Q14)))</formula>
    </cfRule>
  </conditionalFormatting>
  <conditionalFormatting sqref="A33:S52">
    <cfRule type="notContainsBlanks" dxfId="174" priority="11">
      <formula>LEN(TRIM(A33))&gt;0</formula>
    </cfRule>
    <cfRule type="expression" dxfId="173" priority="12">
      <formula>NOT(ISBLANK($H33))</formula>
    </cfRule>
  </conditionalFormatting>
  <conditionalFormatting sqref="AU53:BD53">
    <cfRule type="notContainsBlanks" dxfId="172" priority="10">
      <formula>LEN(TRIM(AU53))&gt;0</formula>
    </cfRule>
  </conditionalFormatting>
  <conditionalFormatting sqref="T33:AC52">
    <cfRule type="notContainsBlanks" dxfId="171" priority="8">
      <formula>LEN(TRIM(T33))&gt;0</formula>
    </cfRule>
    <cfRule type="expression" dxfId="170" priority="9">
      <formula>NOT(ISBLANK($H33))</formula>
    </cfRule>
  </conditionalFormatting>
  <conditionalFormatting sqref="T33:AB52">
    <cfRule type="expression" dxfId="169" priority="7">
      <formula>$AC33&lt;&gt;""</formula>
    </cfRule>
  </conditionalFormatting>
  <conditionalFormatting sqref="AZ13:BO15">
    <cfRule type="notContainsBlanks" dxfId="168" priority="6">
      <formula>LEN(TRIM(AZ13))&gt;0</formula>
    </cfRule>
  </conditionalFormatting>
  <conditionalFormatting sqref="AN13:AS15 AT18">
    <cfRule type="containsBlanks" dxfId="167" priority="5">
      <formula>LEN(TRIM(AN13))=0</formula>
    </cfRule>
  </conditionalFormatting>
  <conditionalFormatting sqref="AN16:AS16">
    <cfRule type="containsText" dxfId="166" priority="4" operator="containsText" text="CALC.">
      <formula>NOT(ISERROR(SEARCH("CALC.",AN16)))</formula>
    </cfRule>
  </conditionalFormatting>
  <conditionalFormatting sqref="AK14:AS16 AZ12:BO18">
    <cfRule type="expression" dxfId="165" priority="3">
      <formula>$AT$18="Single Phase"</formula>
    </cfRule>
  </conditionalFormatting>
  <conditionalFormatting sqref="AH25:AI25">
    <cfRule type="expression" dxfId="164" priority="2">
      <formula>OR($AE$25="HIGH",$AE$25="MEDIUM",$AE$25="LOW")</formula>
    </cfRule>
  </conditionalFormatting>
  <conditionalFormatting sqref="M13:P13">
    <cfRule type="containsBlanks" dxfId="163" priority="1">
      <formula>LEN(TRIM(M13))=0</formula>
    </cfRule>
  </conditionalFormatting>
  <dataValidations count="9">
    <dataValidation type="list" allowBlank="1" showInputMessage="1" sqref="M13:P13" xr:uid="{77D66CB5-E8BE-4375-A416-B98ADC9AF43E}">
      <formula1>"Rectangular,Round, Oval"</formula1>
    </dataValidation>
    <dataValidation type="list" errorStyle="warning" allowBlank="1" showInputMessage="1" error="Use exact dropdown list (HIGH,MEDIUM,LOW) or input percent value ranging from 0-100 and include &quot;%&quot; symbol on right." sqref="AE25:AG25" xr:uid="{EBE57B93-1B16-4E7D-A928-E54C6D97A132}">
      <formula1>"LOW,MEDIUM,HIGH"</formula1>
    </dataValidation>
    <dataValidation type="list" allowBlank="1" showInputMessage="1" showErrorMessage="1" promptTitle="Phase Selection" prompt="Select Single or Three Phase" sqref="AT18:AY18" xr:uid="{85B09E33-8BB3-4B3C-99B3-4354FD33EE17}">
      <formula1>"Single Phase, Three Phase"</formula1>
    </dataValidation>
    <dataValidation allowBlank="1" showInputMessage="1" showErrorMessage="1" prompt="If EFF is unatainable use .90" sqref="AT14:AY14" xr:uid="{9C4A2626-7614-4ED3-AC33-5F2779851980}"/>
    <dataValidation allowBlank="1" showInputMessage="1" showErrorMessage="1" prompt="If PF is unattainable use .80" sqref="AT16:AY16" xr:uid="{56B08F1B-369D-412A-8A1D-539CA7959298}"/>
    <dataValidation type="list" allowBlank="1" showInputMessage="1" sqref="Z13:AI13" xr:uid="{F449FDBD-4742-46DB-9B21-15866B6A5568}">
      <formula1>".17,.25,.33,.5,.75,1,2,3,5,7.5,10,15,20,25,30,40,50,60,75,100,125,150,200"</formula1>
    </dataValidation>
    <dataValidation type="whole" allowBlank="1" showInputMessage="1" showErrorMessage="1" error="This Remarks section is limited to 5." sqref="A56:A60" xr:uid="{4E6665E5-E684-416F-8D50-2E08EEC33F26}">
      <formula1>1</formula1>
      <formula2>5</formula2>
    </dataValidation>
    <dataValidation type="list" allowBlank="1" showInputMessage="1" sqref="G13:K13" xr:uid="{45AA0F4F-43C5-4E5D-B7D2-247CB78E3AB2}">
      <formula1>"4,5,6,7,8,9,10,11,12,13,14,15,16,17,18,19,20"</formula1>
    </dataValidation>
    <dataValidation allowBlank="1" showInputMessage="1" sqref="G15:P15" xr:uid="{9F1639DF-2353-4AB5-AC82-76A61DC16F8F}"/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B674-10AF-4C9D-BB33-2E303D23A89E}">
  <sheetPr codeName="Sheet23">
    <pageSetUpPr fitToPage="1"/>
  </sheetPr>
  <dimension ref="A1:BV62"/>
  <sheetViews>
    <sheetView zoomScaleNormal="100" workbookViewId="0">
      <selection sqref="A1:C1"/>
    </sheetView>
  </sheetViews>
  <sheetFormatPr defaultColWidth="0" defaultRowHeight="12.75" customHeight="1" zeroHeight="1" x14ac:dyDescent="0.2"/>
  <cols>
    <col min="1" max="71" width="2.7109375" style="12" customWidth="1"/>
    <col min="72" max="74" width="2.7109375" style="12" hidden="1" customWidth="1"/>
    <col min="75" max="16384" width="9.140625" style="12" hidden="1"/>
  </cols>
  <sheetData>
    <row r="1" spans="1:71" ht="12" customHeight="1" x14ac:dyDescent="0.2">
      <c r="A1" s="200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57" t="s">
        <v>159</v>
      </c>
      <c r="AK1" s="957"/>
      <c r="AL1" s="957"/>
      <c r="AM1" s="957"/>
      <c r="AN1" s="957"/>
      <c r="AO1" s="957"/>
      <c r="AP1" s="957"/>
      <c r="AQ1" s="957"/>
      <c r="AR1" s="957"/>
      <c r="AS1" s="957"/>
      <c r="AT1" s="957"/>
      <c r="AU1" s="957"/>
      <c r="AV1" s="957"/>
      <c r="AW1" s="957"/>
      <c r="AX1" s="957"/>
      <c r="AY1" s="957"/>
      <c r="AZ1" s="957"/>
      <c r="BA1" s="957"/>
      <c r="BB1" s="957"/>
      <c r="BC1" s="957"/>
      <c r="BD1" s="957"/>
      <c r="BE1" s="957"/>
      <c r="BF1" s="957"/>
      <c r="BG1" s="957"/>
      <c r="BH1" s="957"/>
      <c r="BI1" s="957"/>
      <c r="BJ1" s="957"/>
      <c r="BK1" s="957"/>
      <c r="BL1" s="957"/>
      <c r="BM1" s="957"/>
      <c r="BN1" s="957"/>
      <c r="BO1" s="957"/>
      <c r="BP1" s="957"/>
      <c r="BQ1" s="957"/>
      <c r="BR1" s="957"/>
      <c r="BS1" s="957"/>
    </row>
    <row r="2" spans="1:71" ht="12" customHeight="1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</row>
    <row r="3" spans="1:71" ht="12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</row>
    <row r="4" spans="1:71" ht="12" customHeight="1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</row>
    <row r="5" spans="1:71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 t="s">
        <v>427</v>
      </c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</row>
    <row r="6" spans="1:71" ht="12" customHeight="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</row>
    <row r="7" spans="1:71" ht="12" customHeight="1" x14ac:dyDescent="0.2">
      <c r="A7" s="526" t="s">
        <v>161</v>
      </c>
      <c r="B7" s="526"/>
      <c r="C7" s="526"/>
      <c r="D7" s="526"/>
      <c r="E7" s="526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42"/>
      <c r="R7" s="42"/>
      <c r="S7" s="42"/>
      <c r="T7" s="526" t="s">
        <v>162</v>
      </c>
      <c r="U7" s="526"/>
      <c r="V7" s="526"/>
      <c r="W7" s="526"/>
      <c r="X7" s="526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</row>
    <row r="8" spans="1:71" ht="12" customHeight="1" x14ac:dyDescent="0.2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</row>
    <row r="9" spans="1:71" ht="12" customHeight="1" x14ac:dyDescent="0.2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526" t="s">
        <v>164</v>
      </c>
      <c r="U9" s="526"/>
      <c r="V9" s="526"/>
      <c r="W9" s="526"/>
      <c r="X9" s="526"/>
      <c r="Y9" s="527"/>
      <c r="Z9" s="527"/>
      <c r="AA9" s="527"/>
      <c r="AB9" s="527"/>
      <c r="AC9" s="527"/>
      <c r="AD9" s="527"/>
      <c r="AE9" s="527"/>
      <c r="AF9" s="527"/>
      <c r="AG9" s="527"/>
      <c r="AH9" s="527"/>
      <c r="AI9" s="52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</row>
    <row r="10" spans="1:71" ht="12" customHeight="1" thickBo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</row>
    <row r="11" spans="1:71" ht="12" customHeight="1" thickBot="1" x14ac:dyDescent="0.25">
      <c r="A11" s="314" t="s">
        <v>419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6"/>
      <c r="Q11" s="42"/>
      <c r="R11" s="42"/>
      <c r="S11" s="314" t="s">
        <v>420</v>
      </c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6"/>
      <c r="AJ11" s="107"/>
      <c r="AK11" s="471" t="s">
        <v>421</v>
      </c>
      <c r="AL11" s="472"/>
      <c r="AM11" s="472"/>
      <c r="AN11" s="472"/>
      <c r="AO11" s="472"/>
      <c r="AP11" s="472"/>
      <c r="AQ11" s="472"/>
      <c r="AR11" s="472"/>
      <c r="AS11" s="472"/>
      <c r="AT11" s="472"/>
      <c r="AU11" s="472"/>
      <c r="AV11" s="472"/>
      <c r="AW11" s="472"/>
      <c r="AX11" s="472"/>
      <c r="AY11" s="472"/>
      <c r="AZ11" s="472"/>
      <c r="BA11" s="472"/>
      <c r="BB11" s="472"/>
      <c r="BC11" s="472"/>
      <c r="BD11" s="472"/>
      <c r="BE11" s="472"/>
      <c r="BF11" s="472"/>
      <c r="BG11" s="472"/>
      <c r="BH11" s="472"/>
      <c r="BI11" s="472"/>
      <c r="BJ11" s="472"/>
      <c r="BK11" s="472"/>
      <c r="BL11" s="472"/>
      <c r="BM11" s="472"/>
      <c r="BN11" s="472"/>
      <c r="BO11" s="473"/>
      <c r="BP11" s="107"/>
      <c r="BQ11" s="107"/>
      <c r="BR11" s="107"/>
      <c r="BS11" s="107"/>
    </row>
    <row r="12" spans="1:71" ht="14.25" thickTop="1" x14ac:dyDescent="0.2">
      <c r="A12" s="455" t="s">
        <v>422</v>
      </c>
      <c r="B12" s="456"/>
      <c r="C12" s="456"/>
      <c r="D12" s="456"/>
      <c r="E12" s="456"/>
      <c r="F12" s="456"/>
      <c r="G12" s="453"/>
      <c r="H12" s="453"/>
      <c r="I12" s="453"/>
      <c r="J12" s="453"/>
      <c r="K12" s="453"/>
      <c r="L12" s="453"/>
      <c r="M12" s="453"/>
      <c r="N12" s="453"/>
      <c r="O12" s="453"/>
      <c r="P12" s="454"/>
      <c r="Q12" s="42"/>
      <c r="R12" s="42"/>
      <c r="S12" s="1016"/>
      <c r="T12" s="1017"/>
      <c r="U12" s="1017"/>
      <c r="V12" s="1017"/>
      <c r="W12" s="1017"/>
      <c r="X12" s="1017"/>
      <c r="Y12" s="1017"/>
      <c r="Z12" s="869" t="s">
        <v>197</v>
      </c>
      <c r="AA12" s="869"/>
      <c r="AB12" s="869"/>
      <c r="AC12" s="869"/>
      <c r="AD12" s="869"/>
      <c r="AE12" s="869" t="s">
        <v>199</v>
      </c>
      <c r="AF12" s="869"/>
      <c r="AG12" s="869"/>
      <c r="AH12" s="869"/>
      <c r="AI12" s="1018"/>
      <c r="AJ12" s="107"/>
      <c r="AK12" s="736"/>
      <c r="AL12" s="737"/>
      <c r="AM12" s="738"/>
      <c r="AN12" s="327" t="s">
        <v>170</v>
      </c>
      <c r="AO12" s="327"/>
      <c r="AP12" s="327"/>
      <c r="AQ12" s="327" t="s">
        <v>171</v>
      </c>
      <c r="AR12" s="327"/>
      <c r="AS12" s="327"/>
      <c r="AT12" s="1022"/>
      <c r="AU12" s="1022"/>
      <c r="AV12" s="1022"/>
      <c r="AW12" s="1022"/>
      <c r="AX12" s="1022"/>
      <c r="AY12" s="1023"/>
      <c r="AZ12" s="327" t="s">
        <v>172</v>
      </c>
      <c r="BA12" s="327"/>
      <c r="BB12" s="327"/>
      <c r="BC12" s="327"/>
      <c r="BD12" s="327"/>
      <c r="BE12" s="327"/>
      <c r="BF12" s="327"/>
      <c r="BG12" s="327"/>
      <c r="BH12" s="1004" t="s">
        <v>173</v>
      </c>
      <c r="BI12" s="1005"/>
      <c r="BJ12" s="1005"/>
      <c r="BK12" s="1005"/>
      <c r="BL12" s="1005"/>
      <c r="BM12" s="1005"/>
      <c r="BN12" s="1005"/>
      <c r="BO12" s="1006"/>
      <c r="BP12" s="107"/>
      <c r="BQ12" s="107"/>
      <c r="BR12" s="107"/>
      <c r="BS12" s="107"/>
    </row>
    <row r="13" spans="1:71" ht="12" customHeight="1" x14ac:dyDescent="0.2">
      <c r="A13" s="333" t="s">
        <v>389</v>
      </c>
      <c r="B13" s="334"/>
      <c r="C13" s="334"/>
      <c r="D13" s="334"/>
      <c r="E13" s="334"/>
      <c r="F13" s="334"/>
      <c r="G13" s="952"/>
      <c r="H13" s="953"/>
      <c r="I13" s="953"/>
      <c r="J13" s="953"/>
      <c r="K13" s="953"/>
      <c r="L13" s="172" t="s">
        <v>201</v>
      </c>
      <c r="M13" s="419"/>
      <c r="N13" s="419"/>
      <c r="O13" s="419"/>
      <c r="P13" s="420"/>
      <c r="Q13" s="42"/>
      <c r="R13" s="42"/>
      <c r="S13" s="455" t="s">
        <v>228</v>
      </c>
      <c r="T13" s="456"/>
      <c r="U13" s="456"/>
      <c r="V13" s="456"/>
      <c r="W13" s="456"/>
      <c r="X13" s="456"/>
      <c r="Y13" s="456"/>
      <c r="Z13" s="1014"/>
      <c r="AA13" s="794"/>
      <c r="AB13" s="794"/>
      <c r="AC13" s="794"/>
      <c r="AD13" s="794"/>
      <c r="AE13" s="1014"/>
      <c r="AF13" s="794"/>
      <c r="AG13" s="794"/>
      <c r="AH13" s="794"/>
      <c r="AI13" s="1015"/>
      <c r="AJ13" s="107"/>
      <c r="AK13" s="457" t="s">
        <v>176</v>
      </c>
      <c r="AL13" s="289"/>
      <c r="AM13" s="289"/>
      <c r="AN13" s="520"/>
      <c r="AO13" s="520"/>
      <c r="AP13" s="520"/>
      <c r="AQ13" s="505"/>
      <c r="AR13" s="505"/>
      <c r="AS13" s="506"/>
      <c r="AT13" s="1019"/>
      <c r="AU13" s="1020"/>
      <c r="AV13" s="1020"/>
      <c r="AW13" s="1020"/>
      <c r="AX13" s="1020"/>
      <c r="AY13" s="1021"/>
      <c r="AZ13" s="1010" t="str">
        <f>IF(AN13="","",IF(100*(ABS(AN13-$AN$16)/$AN$16)&gt;10,"T1 Exceeds 10% by "&amp;ROUND(100*(ABS(AN13-$AN$16)/$AN$16)-10,1)&amp;"%",""))</f>
        <v/>
      </c>
      <c r="BA13" s="518"/>
      <c r="BB13" s="518"/>
      <c r="BC13" s="518"/>
      <c r="BD13" s="518"/>
      <c r="BE13" s="518"/>
      <c r="BF13" s="518"/>
      <c r="BG13" s="518"/>
      <c r="BH13" s="518" t="str">
        <f>IF(AQ13="","",IF(100*(ABS(AQ13-$AQ$16)/$AQ$16)&gt;2,"T1 Exceeds 2% by "&amp;ROUND(100*(ABS(AQ13-$AQ$16)/$AQ$16)-2,1)&amp;"%",""))</f>
        <v/>
      </c>
      <c r="BI13" s="518"/>
      <c r="BJ13" s="518"/>
      <c r="BK13" s="518"/>
      <c r="BL13" s="518"/>
      <c r="BM13" s="518"/>
      <c r="BN13" s="518"/>
      <c r="BO13" s="519"/>
      <c r="BP13" s="107"/>
      <c r="BQ13" s="107"/>
      <c r="BR13" s="107"/>
      <c r="BS13" s="107"/>
    </row>
    <row r="14" spans="1:71" ht="12" customHeight="1" x14ac:dyDescent="0.2">
      <c r="A14" s="333" t="s">
        <v>168</v>
      </c>
      <c r="B14" s="334"/>
      <c r="C14" s="334"/>
      <c r="D14" s="334"/>
      <c r="E14" s="334"/>
      <c r="F14" s="334"/>
      <c r="G14" s="400"/>
      <c r="H14" s="400"/>
      <c r="I14" s="400"/>
      <c r="J14" s="400"/>
      <c r="K14" s="400"/>
      <c r="L14" s="400"/>
      <c r="M14" s="400"/>
      <c r="N14" s="400"/>
      <c r="O14" s="400"/>
      <c r="P14" s="401"/>
      <c r="Q14" s="42"/>
      <c r="R14" s="42"/>
      <c r="S14" s="333" t="s">
        <v>170</v>
      </c>
      <c r="T14" s="334"/>
      <c r="U14" s="334"/>
      <c r="V14" s="334"/>
      <c r="W14" s="334"/>
      <c r="X14" s="334"/>
      <c r="Y14" s="334"/>
      <c r="Z14" s="1007"/>
      <c r="AA14" s="399"/>
      <c r="AB14" s="399"/>
      <c r="AC14" s="399"/>
      <c r="AD14" s="399"/>
      <c r="AE14" s="336" t="str">
        <f>IF(AT18="Single Phase",AN13,IF(AT18="Three Phase",IF(MOD(AN13,1)=0,AN13&amp;".0",AN13)&amp;", "&amp;IF(MOD(AN14,1)=0,AN14&amp;".0",AN14)&amp;", "&amp;IF(MOD(AN15,1)=0,AN15&amp;".0",AN15),""))</f>
        <v/>
      </c>
      <c r="AF14" s="336"/>
      <c r="AG14" s="336"/>
      <c r="AH14" s="336"/>
      <c r="AI14" s="337"/>
      <c r="AJ14" s="107"/>
      <c r="AK14" s="457" t="s">
        <v>180</v>
      </c>
      <c r="AL14" s="289"/>
      <c r="AM14" s="289"/>
      <c r="AN14" s="520"/>
      <c r="AO14" s="520"/>
      <c r="AP14" s="520"/>
      <c r="AQ14" s="505"/>
      <c r="AR14" s="505"/>
      <c r="AS14" s="506"/>
      <c r="AT14" s="1011"/>
      <c r="AU14" s="1012"/>
      <c r="AV14" s="1012"/>
      <c r="AW14" s="1012"/>
      <c r="AX14" s="1012"/>
      <c r="AY14" s="1013"/>
      <c r="AZ14" s="1010" t="str">
        <f>IF(AN14="","",IF(100*(ABS(AN14-$AN$16)/$AN$16)&gt;10,"T2 Exceeds 10% by "&amp;ROUND(100*(ABS(AN14-$AN$16)/$AN$16)-10,1)&amp;"%",""))</f>
        <v/>
      </c>
      <c r="BA14" s="518"/>
      <c r="BB14" s="518"/>
      <c r="BC14" s="518"/>
      <c r="BD14" s="518"/>
      <c r="BE14" s="518"/>
      <c r="BF14" s="518"/>
      <c r="BG14" s="518"/>
      <c r="BH14" s="518" t="str">
        <f>IF(AQ14="","",IF(100*(ABS(AQ14-$AQ$16)/$AQ$16)&gt;2,"T2 Exceeds 2% by "&amp;ROUND(100*(ABS(AQ14-$AQ$16)/$AQ$16)-2,1)&amp;"%",""))</f>
        <v/>
      </c>
      <c r="BI14" s="518"/>
      <c r="BJ14" s="518"/>
      <c r="BK14" s="518"/>
      <c r="BL14" s="518"/>
      <c r="BM14" s="518"/>
      <c r="BN14" s="518"/>
      <c r="BO14" s="519"/>
      <c r="BP14" s="107"/>
      <c r="BQ14" s="107"/>
      <c r="BR14" s="107"/>
      <c r="BS14" s="107"/>
    </row>
    <row r="15" spans="1:71" ht="12" customHeight="1" thickBot="1" x14ac:dyDescent="0.25">
      <c r="A15" s="406" t="s">
        <v>174</v>
      </c>
      <c r="B15" s="407"/>
      <c r="C15" s="407"/>
      <c r="D15" s="407"/>
      <c r="E15" s="407"/>
      <c r="F15" s="408"/>
      <c r="G15" s="400"/>
      <c r="H15" s="400"/>
      <c r="I15" s="400"/>
      <c r="J15" s="400"/>
      <c r="K15" s="400"/>
      <c r="L15" s="400"/>
      <c r="M15" s="400"/>
      <c r="N15" s="400"/>
      <c r="O15" s="400"/>
      <c r="P15" s="401"/>
      <c r="Q15" s="42"/>
      <c r="R15" s="42"/>
      <c r="S15" s="347" t="s">
        <v>171</v>
      </c>
      <c r="T15" s="348"/>
      <c r="U15" s="348"/>
      <c r="V15" s="348"/>
      <c r="W15" s="348"/>
      <c r="X15" s="348"/>
      <c r="Y15" s="348"/>
      <c r="Z15" s="555"/>
      <c r="AA15" s="555"/>
      <c r="AB15" s="555"/>
      <c r="AC15" s="555"/>
      <c r="AD15" s="555"/>
      <c r="AE15" s="350" t="str">
        <f>IF(AT18="Single Phase",AQ13,IF(AT18="Three Phase",AQ13 &amp;", "&amp; AQ14 &amp; ", " &amp; AQ15,""))</f>
        <v/>
      </c>
      <c r="AF15" s="350"/>
      <c r="AG15" s="350"/>
      <c r="AH15" s="350"/>
      <c r="AI15" s="991"/>
      <c r="AJ15" s="107"/>
      <c r="AK15" s="457" t="s">
        <v>183</v>
      </c>
      <c r="AL15" s="289"/>
      <c r="AM15" s="289"/>
      <c r="AN15" s="520"/>
      <c r="AO15" s="520"/>
      <c r="AP15" s="520"/>
      <c r="AQ15" s="505"/>
      <c r="AR15" s="505"/>
      <c r="AS15" s="506"/>
      <c r="AT15" s="1008"/>
      <c r="AU15" s="546"/>
      <c r="AV15" s="546"/>
      <c r="AW15" s="546"/>
      <c r="AX15" s="546"/>
      <c r="AY15" s="1009"/>
      <c r="AZ15" s="1010" t="str">
        <f>IF(AN15="","",IF(100*(ABS(AN15-$AN$16)/$AN$16)&gt;10,"T3 Exceeds 10% by "&amp;ROUND(100*(ABS(AN15-$AN$16)/$AN$16)-10,1)&amp;"%",""))</f>
        <v/>
      </c>
      <c r="BA15" s="518"/>
      <c r="BB15" s="518"/>
      <c r="BC15" s="518"/>
      <c r="BD15" s="518"/>
      <c r="BE15" s="518"/>
      <c r="BF15" s="518"/>
      <c r="BG15" s="518"/>
      <c r="BH15" s="518" t="str">
        <f>IF(AQ15="","",IF(100*(ABS(AQ15-$AQ$16)/$AQ$16)&gt;2,"T3 Exceeds 2% by "&amp;ROUND(100*(ABS(AQ15-$AQ$16)/$AQ$16)-2,1)&amp;"%",""))</f>
        <v/>
      </c>
      <c r="BI15" s="518"/>
      <c r="BJ15" s="518"/>
      <c r="BK15" s="518"/>
      <c r="BL15" s="518"/>
      <c r="BM15" s="518"/>
      <c r="BN15" s="518"/>
      <c r="BO15" s="519"/>
      <c r="BP15" s="107"/>
      <c r="BQ15" s="107"/>
      <c r="BR15" s="107"/>
      <c r="BS15" s="107"/>
    </row>
    <row r="16" spans="1:71" ht="12" customHeight="1" thickBot="1" x14ac:dyDescent="0.25">
      <c r="A16" s="406" t="s">
        <v>178</v>
      </c>
      <c r="B16" s="407"/>
      <c r="C16" s="407"/>
      <c r="D16" s="407"/>
      <c r="E16" s="407"/>
      <c r="F16" s="408"/>
      <c r="G16" s="400"/>
      <c r="H16" s="400"/>
      <c r="I16" s="400"/>
      <c r="J16" s="400"/>
      <c r="K16" s="400"/>
      <c r="L16" s="400"/>
      <c r="M16" s="400"/>
      <c r="N16" s="400"/>
      <c r="O16" s="400"/>
      <c r="P16" s="401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107"/>
      <c r="AK16" s="457" t="s">
        <v>188</v>
      </c>
      <c r="AL16" s="289"/>
      <c r="AM16" s="289"/>
      <c r="AN16" s="504" t="str">
        <f>IFERROR(AVERAGE(AN13:AP15),"")</f>
        <v/>
      </c>
      <c r="AO16" s="504"/>
      <c r="AP16" s="504"/>
      <c r="AQ16" s="458" t="str">
        <f>IFERROR(AVERAGE(AQ13:AS15),"")</f>
        <v/>
      </c>
      <c r="AR16" s="458"/>
      <c r="AS16" s="460"/>
      <c r="AT16" s="1001"/>
      <c r="AU16" s="1002"/>
      <c r="AV16" s="1002"/>
      <c r="AW16" s="1002"/>
      <c r="AX16" s="1002"/>
      <c r="AY16" s="1003"/>
      <c r="AZ16" s="479" t="s">
        <v>189</v>
      </c>
      <c r="BA16" s="479"/>
      <c r="BB16" s="479"/>
      <c r="BC16" s="479"/>
      <c r="BD16" s="479"/>
      <c r="BE16" s="479"/>
      <c r="BF16" s="479"/>
      <c r="BG16" s="479"/>
      <c r="BH16" s="479"/>
      <c r="BI16" s="479"/>
      <c r="BJ16" s="479"/>
      <c r="BK16" s="479"/>
      <c r="BL16" s="479"/>
      <c r="BM16" s="479"/>
      <c r="BN16" s="479"/>
      <c r="BO16" s="480"/>
      <c r="BP16" s="107"/>
      <c r="BQ16" s="107"/>
      <c r="BR16" s="107"/>
      <c r="BS16" s="107"/>
    </row>
    <row r="17" spans="1:71" ht="12" customHeight="1" thickBot="1" x14ac:dyDescent="0.25">
      <c r="A17" s="406" t="s">
        <v>181</v>
      </c>
      <c r="B17" s="407"/>
      <c r="C17" s="407"/>
      <c r="D17" s="407"/>
      <c r="E17" s="407"/>
      <c r="F17" s="408"/>
      <c r="G17" s="513" t="s">
        <v>182</v>
      </c>
      <c r="H17" s="513"/>
      <c r="I17" s="513"/>
      <c r="J17" s="513"/>
      <c r="K17" s="513"/>
      <c r="L17" s="513"/>
      <c r="M17" s="513"/>
      <c r="N17" s="513"/>
      <c r="O17" s="513"/>
      <c r="P17" s="514"/>
      <c r="Q17" s="42"/>
      <c r="R17" s="42"/>
      <c r="S17" s="94"/>
      <c r="T17" s="338" t="s">
        <v>423</v>
      </c>
      <c r="U17" s="339"/>
      <c r="V17" s="339"/>
      <c r="W17" s="339"/>
      <c r="X17" s="339"/>
      <c r="Y17" s="339"/>
      <c r="Z17" s="339"/>
      <c r="AA17" s="339"/>
      <c r="AB17" s="339"/>
      <c r="AC17" s="339"/>
      <c r="AD17" s="339"/>
      <c r="AE17" s="339"/>
      <c r="AF17" s="339"/>
      <c r="AG17" s="339"/>
      <c r="AH17" s="339"/>
      <c r="AI17" s="340"/>
      <c r="AJ17" s="107"/>
      <c r="AK17" s="994"/>
      <c r="AL17" s="995"/>
      <c r="AM17" s="995"/>
      <c r="AN17" s="995"/>
      <c r="AO17" s="995"/>
      <c r="AP17" s="995"/>
      <c r="AQ17" s="995"/>
      <c r="AR17" s="995"/>
      <c r="AS17" s="996"/>
      <c r="AT17" s="839" t="s">
        <v>191</v>
      </c>
      <c r="AU17" s="839"/>
      <c r="AV17" s="839"/>
      <c r="AW17" s="839"/>
      <c r="AX17" s="839"/>
      <c r="AY17" s="1000"/>
      <c r="AZ17" s="492" t="s">
        <v>192</v>
      </c>
      <c r="BA17" s="493"/>
      <c r="BB17" s="493"/>
      <c r="BC17" s="493"/>
      <c r="BD17" s="493"/>
      <c r="BE17" s="493"/>
      <c r="BF17" s="493"/>
      <c r="BG17" s="493"/>
      <c r="BH17" s="493"/>
      <c r="BI17" s="493"/>
      <c r="BJ17" s="493"/>
      <c r="BK17" s="493"/>
      <c r="BL17" s="493"/>
      <c r="BM17" s="493"/>
      <c r="BN17" s="493"/>
      <c r="BO17" s="494"/>
      <c r="BP17" s="107"/>
      <c r="BQ17" s="107"/>
      <c r="BR17" s="107"/>
      <c r="BS17" s="107"/>
    </row>
    <row r="18" spans="1:71" ht="12.75" customHeight="1" thickTop="1" thickBot="1" x14ac:dyDescent="0.25">
      <c r="A18" s="333" t="s">
        <v>185</v>
      </c>
      <c r="B18" s="334"/>
      <c r="C18" s="334"/>
      <c r="D18" s="334"/>
      <c r="E18" s="334"/>
      <c r="F18" s="334"/>
      <c r="G18" s="400"/>
      <c r="H18" s="400"/>
      <c r="I18" s="400"/>
      <c r="J18" s="400"/>
      <c r="K18" s="400"/>
      <c r="L18" s="400"/>
      <c r="M18" s="400"/>
      <c r="N18" s="400"/>
      <c r="O18" s="400"/>
      <c r="P18" s="401"/>
      <c r="Q18" s="42"/>
      <c r="R18" s="42"/>
      <c r="S18" s="42"/>
      <c r="T18" s="752"/>
      <c r="U18" s="753"/>
      <c r="V18" s="753"/>
      <c r="W18" s="753"/>
      <c r="X18" s="753"/>
      <c r="Y18" s="753"/>
      <c r="Z18" s="753" t="s">
        <v>197</v>
      </c>
      <c r="AA18" s="753"/>
      <c r="AB18" s="753"/>
      <c r="AC18" s="753"/>
      <c r="AD18" s="753"/>
      <c r="AE18" s="753" t="s">
        <v>199</v>
      </c>
      <c r="AF18" s="753"/>
      <c r="AG18" s="753"/>
      <c r="AH18" s="753"/>
      <c r="AI18" s="779"/>
      <c r="AJ18" s="107"/>
      <c r="AK18" s="997"/>
      <c r="AL18" s="998"/>
      <c r="AM18" s="998"/>
      <c r="AN18" s="998"/>
      <c r="AO18" s="998"/>
      <c r="AP18" s="998"/>
      <c r="AQ18" s="998"/>
      <c r="AR18" s="998"/>
      <c r="AS18" s="999"/>
      <c r="AT18" s="498"/>
      <c r="AU18" s="499"/>
      <c r="AV18" s="499"/>
      <c r="AW18" s="499"/>
      <c r="AX18" s="499"/>
      <c r="AY18" s="500"/>
      <c r="AZ18" s="495"/>
      <c r="BA18" s="496"/>
      <c r="BB18" s="496"/>
      <c r="BC18" s="496"/>
      <c r="BD18" s="496"/>
      <c r="BE18" s="496"/>
      <c r="BF18" s="496"/>
      <c r="BG18" s="496"/>
      <c r="BH18" s="496"/>
      <c r="BI18" s="496"/>
      <c r="BJ18" s="496"/>
      <c r="BK18" s="496"/>
      <c r="BL18" s="496"/>
      <c r="BM18" s="496"/>
      <c r="BN18" s="496"/>
      <c r="BO18" s="497"/>
      <c r="BP18" s="107"/>
      <c r="BQ18" s="107"/>
      <c r="BR18" s="107"/>
      <c r="BS18" s="107"/>
    </row>
    <row r="19" spans="1:71" ht="12" customHeight="1" thickBot="1" x14ac:dyDescent="0.25">
      <c r="A19" s="333" t="s">
        <v>396</v>
      </c>
      <c r="B19" s="334"/>
      <c r="C19" s="334"/>
      <c r="D19" s="334"/>
      <c r="E19" s="334"/>
      <c r="F19" s="334"/>
      <c r="G19" s="400"/>
      <c r="H19" s="400"/>
      <c r="I19" s="400"/>
      <c r="J19" s="400"/>
      <c r="K19" s="400"/>
      <c r="L19" s="400"/>
      <c r="M19" s="400"/>
      <c r="N19" s="400"/>
      <c r="O19" s="400"/>
      <c r="P19" s="401"/>
      <c r="Q19" s="42"/>
      <c r="R19" s="42"/>
      <c r="S19" s="42"/>
      <c r="T19" s="333" t="s">
        <v>97</v>
      </c>
      <c r="U19" s="334"/>
      <c r="V19" s="334"/>
      <c r="W19" s="334"/>
      <c r="X19" s="334"/>
      <c r="Y19" s="334"/>
      <c r="Z19" s="577"/>
      <c r="AA19" s="577"/>
      <c r="AB19" s="577"/>
      <c r="AC19" s="577"/>
      <c r="AD19" s="577"/>
      <c r="AE19" s="899" t="str">
        <f>AC53</f>
        <v/>
      </c>
      <c r="AF19" s="899"/>
      <c r="AG19" s="899"/>
      <c r="AH19" s="899"/>
      <c r="AI19" s="954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</row>
    <row r="20" spans="1:71" ht="12" customHeight="1" thickBot="1" x14ac:dyDescent="0.25">
      <c r="A20" s="347" t="s">
        <v>398</v>
      </c>
      <c r="B20" s="348"/>
      <c r="C20" s="348"/>
      <c r="D20" s="348"/>
      <c r="E20" s="348"/>
      <c r="F20" s="348"/>
      <c r="G20" s="466"/>
      <c r="H20" s="466"/>
      <c r="I20" s="466"/>
      <c r="J20" s="466"/>
      <c r="K20" s="466"/>
      <c r="L20" s="466"/>
      <c r="M20" s="466"/>
      <c r="N20" s="466"/>
      <c r="O20" s="466"/>
      <c r="P20" s="950"/>
      <c r="Q20" s="42"/>
      <c r="R20" s="42"/>
      <c r="S20" s="42"/>
      <c r="T20" s="333" t="s">
        <v>98</v>
      </c>
      <c r="U20" s="334"/>
      <c r="V20" s="334"/>
      <c r="W20" s="334"/>
      <c r="X20" s="334"/>
      <c r="Y20" s="334"/>
      <c r="Z20" s="577"/>
      <c r="AA20" s="577"/>
      <c r="AB20" s="577"/>
      <c r="AC20" s="577"/>
      <c r="AD20" s="577"/>
      <c r="AE20" s="899" t="str">
        <f>IFERROR(AE19-AE21,"")</f>
        <v/>
      </c>
      <c r="AF20" s="899"/>
      <c r="AG20" s="899"/>
      <c r="AH20" s="899"/>
      <c r="AI20" s="954"/>
      <c r="AJ20" s="107"/>
      <c r="AK20" s="471" t="s">
        <v>160</v>
      </c>
      <c r="AL20" s="472"/>
      <c r="AM20" s="472"/>
      <c r="AN20" s="472"/>
      <c r="AO20" s="472"/>
      <c r="AP20" s="472"/>
      <c r="AQ20" s="472"/>
      <c r="AR20" s="472"/>
      <c r="AS20" s="472"/>
      <c r="AT20" s="472"/>
      <c r="AU20" s="472"/>
      <c r="AV20" s="472"/>
      <c r="AW20" s="472"/>
      <c r="AX20" s="472"/>
      <c r="AY20" s="473"/>
      <c r="AZ20" s="107"/>
      <c r="BA20" s="107"/>
      <c r="BB20" s="107"/>
      <c r="BC20" s="107"/>
      <c r="BD20" s="107"/>
      <c r="BE20" s="107"/>
      <c r="BF20" s="992" t="s">
        <v>196</v>
      </c>
      <c r="BG20" s="679"/>
      <c r="BH20" s="679"/>
      <c r="BI20" s="679"/>
      <c r="BJ20" s="679"/>
      <c r="BK20" s="679"/>
      <c r="BL20" s="679"/>
      <c r="BM20" s="679"/>
      <c r="BN20" s="679"/>
      <c r="BO20" s="679"/>
      <c r="BP20" s="679"/>
      <c r="BQ20" s="679"/>
      <c r="BR20" s="679"/>
      <c r="BS20" s="993"/>
    </row>
    <row r="21" spans="1:71" ht="12" customHeight="1" thickTop="1" thickBo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333" t="s">
        <v>424</v>
      </c>
      <c r="U21" s="334"/>
      <c r="V21" s="334"/>
      <c r="W21" s="334"/>
      <c r="X21" s="334"/>
      <c r="Y21" s="334"/>
      <c r="Z21" s="577"/>
      <c r="AA21" s="577"/>
      <c r="AB21" s="577"/>
      <c r="AC21" s="577"/>
      <c r="AD21" s="577"/>
      <c r="AE21" s="577"/>
      <c r="AF21" s="577"/>
      <c r="AG21" s="577"/>
      <c r="AH21" s="577"/>
      <c r="AI21" s="578"/>
      <c r="AJ21" s="107"/>
      <c r="AK21" s="324"/>
      <c r="AL21" s="547"/>
      <c r="AM21" s="547"/>
      <c r="AN21" s="547"/>
      <c r="AO21" s="325"/>
      <c r="AP21" s="548"/>
      <c r="AQ21" s="547"/>
      <c r="AR21" s="547"/>
      <c r="AS21" s="547"/>
      <c r="AT21" s="325"/>
      <c r="AU21" s="548"/>
      <c r="AV21" s="547"/>
      <c r="AW21" s="547"/>
      <c r="AX21" s="547"/>
      <c r="AY21" s="549"/>
      <c r="AZ21" s="107"/>
      <c r="BA21" s="107"/>
      <c r="BB21" s="107"/>
      <c r="BC21" s="107"/>
      <c r="BD21" s="107"/>
      <c r="BE21" s="107"/>
      <c r="BF21" s="110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71"/>
      <c r="BS21" s="112"/>
    </row>
    <row r="22" spans="1:71" ht="12" customHeight="1" thickBot="1" x14ac:dyDescent="0.25">
      <c r="A22" s="338" t="s">
        <v>425</v>
      </c>
      <c r="B22" s="339"/>
      <c r="C22" s="339"/>
      <c r="D22" s="339"/>
      <c r="E22" s="339"/>
      <c r="F22" s="339"/>
      <c r="G22" s="339"/>
      <c r="H22" s="339"/>
      <c r="I22" s="339"/>
      <c r="J22" s="339"/>
      <c r="K22" s="339"/>
      <c r="L22" s="339"/>
      <c r="M22" s="339"/>
      <c r="N22" s="339"/>
      <c r="O22" s="339"/>
      <c r="P22" s="340"/>
      <c r="Q22" s="42"/>
      <c r="R22" s="42"/>
      <c r="S22" s="42"/>
      <c r="T22" s="347" t="s">
        <v>413</v>
      </c>
      <c r="U22" s="348"/>
      <c r="V22" s="348"/>
      <c r="W22" s="348"/>
      <c r="X22" s="348"/>
      <c r="Y22" s="348"/>
      <c r="Z22" s="555"/>
      <c r="AA22" s="555"/>
      <c r="AB22" s="555"/>
      <c r="AC22" s="555"/>
      <c r="AD22" s="555"/>
      <c r="AE22" s="350" t="str">
        <f>IFERROR(AE21+AE20,"")</f>
        <v/>
      </c>
      <c r="AF22" s="350"/>
      <c r="AG22" s="350"/>
      <c r="AH22" s="350"/>
      <c r="AI22" s="991"/>
      <c r="AJ22" s="107"/>
      <c r="AK22" s="521"/>
      <c r="AL22" s="522"/>
      <c r="AM22" s="522"/>
      <c r="AN22" s="522"/>
      <c r="AO22" s="523"/>
      <c r="AP22" s="524"/>
      <c r="AQ22" s="522"/>
      <c r="AR22" s="522"/>
      <c r="AS22" s="522"/>
      <c r="AT22" s="523"/>
      <c r="AU22" s="524"/>
      <c r="AV22" s="522"/>
      <c r="AW22" s="522"/>
      <c r="AX22" s="522"/>
      <c r="AY22" s="525"/>
      <c r="AZ22" s="107"/>
      <c r="BA22" s="107"/>
      <c r="BB22" s="107"/>
      <c r="BC22" s="107"/>
      <c r="BD22" s="107"/>
      <c r="BE22" s="107"/>
      <c r="BF22" s="110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12"/>
    </row>
    <row r="23" spans="1:71" ht="12" customHeight="1" thickTop="1" thickBot="1" x14ac:dyDescent="0.25">
      <c r="A23" s="985" t="s">
        <v>426</v>
      </c>
      <c r="B23" s="986"/>
      <c r="C23" s="986"/>
      <c r="D23" s="986"/>
      <c r="E23" s="986"/>
      <c r="F23" s="986"/>
      <c r="G23" s="986"/>
      <c r="H23" s="986"/>
      <c r="I23" s="986"/>
      <c r="J23" s="986"/>
      <c r="K23" s="986"/>
      <c r="L23" s="987"/>
      <c r="M23" s="988"/>
      <c r="N23" s="988"/>
      <c r="O23" s="989" t="str">
        <f>IF(ISNUMBER(L23),"%","")</f>
        <v/>
      </c>
      <c r="P23" s="990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107"/>
      <c r="AK23" s="521"/>
      <c r="AL23" s="522"/>
      <c r="AM23" s="522"/>
      <c r="AN23" s="522"/>
      <c r="AO23" s="523"/>
      <c r="AP23" s="524"/>
      <c r="AQ23" s="522"/>
      <c r="AR23" s="522"/>
      <c r="AS23" s="522"/>
      <c r="AT23" s="523"/>
      <c r="AU23" s="524"/>
      <c r="AV23" s="522"/>
      <c r="AW23" s="522"/>
      <c r="AX23" s="522"/>
      <c r="AY23" s="525"/>
      <c r="AZ23" s="107"/>
      <c r="BA23" s="107"/>
      <c r="BB23" s="107"/>
      <c r="BC23" s="107"/>
      <c r="BD23" s="107"/>
      <c r="BE23" s="107"/>
      <c r="BF23" s="110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71"/>
      <c r="BS23" s="112"/>
    </row>
    <row r="24" spans="1:71" ht="12" customHeight="1" thickBot="1" x14ac:dyDescent="0.25">
      <c r="A24" s="201"/>
      <c r="B24" s="201"/>
      <c r="C24" s="201"/>
      <c r="D24" s="201"/>
      <c r="E24" s="201"/>
      <c r="F24" s="201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42"/>
      <c r="R24" s="42"/>
      <c r="S24" s="42"/>
      <c r="T24" s="314" t="s">
        <v>428</v>
      </c>
      <c r="U24" s="315"/>
      <c r="V24" s="315"/>
      <c r="W24" s="315"/>
      <c r="X24" s="315"/>
      <c r="Y24" s="315"/>
      <c r="Z24" s="315"/>
      <c r="AA24" s="315"/>
      <c r="AB24" s="315"/>
      <c r="AC24" s="315"/>
      <c r="AD24" s="315"/>
      <c r="AE24" s="315"/>
      <c r="AF24" s="315"/>
      <c r="AG24" s="315"/>
      <c r="AH24" s="315"/>
      <c r="AI24" s="316"/>
      <c r="AJ24" s="107"/>
      <c r="AK24" s="521"/>
      <c r="AL24" s="522"/>
      <c r="AM24" s="522"/>
      <c r="AN24" s="522"/>
      <c r="AO24" s="523"/>
      <c r="AP24" s="524"/>
      <c r="AQ24" s="522"/>
      <c r="AR24" s="522"/>
      <c r="AS24" s="522"/>
      <c r="AT24" s="523"/>
      <c r="AU24" s="524"/>
      <c r="AV24" s="522"/>
      <c r="AW24" s="522"/>
      <c r="AX24" s="522"/>
      <c r="AY24" s="525"/>
      <c r="AZ24" s="107"/>
      <c r="BA24" s="107"/>
      <c r="BB24" s="107"/>
      <c r="BC24" s="107"/>
      <c r="BD24" s="107"/>
      <c r="BE24" s="107"/>
      <c r="BF24" s="110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71"/>
      <c r="BS24" s="112"/>
    </row>
    <row r="25" spans="1:71" ht="12.75" customHeight="1" x14ac:dyDescent="0.2">
      <c r="A25" s="202"/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203"/>
      <c r="M25" s="203"/>
      <c r="N25" s="203"/>
      <c r="O25" s="203"/>
      <c r="P25" s="204"/>
      <c r="Q25" s="42"/>
      <c r="R25" s="42"/>
      <c r="S25" s="42"/>
      <c r="T25" s="1038" t="s">
        <v>389</v>
      </c>
      <c r="U25" s="1039"/>
      <c r="V25" s="1039"/>
      <c r="W25" s="1039"/>
      <c r="X25" s="1039"/>
      <c r="Y25" s="1039"/>
      <c r="Z25" s="952"/>
      <c r="AA25" s="953"/>
      <c r="AB25" s="953"/>
      <c r="AC25" s="953"/>
      <c r="AD25" s="953"/>
      <c r="AE25" s="172" t="s">
        <v>201</v>
      </c>
      <c r="AF25" s="419"/>
      <c r="AG25" s="419"/>
      <c r="AH25" s="419"/>
      <c r="AI25" s="420"/>
      <c r="AJ25" s="107"/>
      <c r="AK25" s="521"/>
      <c r="AL25" s="522"/>
      <c r="AM25" s="522"/>
      <c r="AN25" s="522"/>
      <c r="AO25" s="523"/>
      <c r="AP25" s="524"/>
      <c r="AQ25" s="522"/>
      <c r="AR25" s="522"/>
      <c r="AS25" s="522"/>
      <c r="AT25" s="523"/>
      <c r="AU25" s="524"/>
      <c r="AV25" s="522"/>
      <c r="AW25" s="522"/>
      <c r="AX25" s="522"/>
      <c r="AY25" s="525"/>
      <c r="AZ25" s="107"/>
      <c r="BA25" s="107"/>
      <c r="BB25" s="107"/>
      <c r="BC25" s="107"/>
      <c r="BD25" s="107"/>
      <c r="BE25" s="107"/>
      <c r="BF25" s="110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12"/>
    </row>
    <row r="26" spans="1:71" ht="12" customHeight="1" thickBot="1" x14ac:dyDescent="0.25">
      <c r="A26" s="2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206"/>
      <c r="Q26" s="42"/>
      <c r="R26" s="42"/>
      <c r="S26" s="42"/>
      <c r="T26" s="333" t="s">
        <v>396</v>
      </c>
      <c r="U26" s="334"/>
      <c r="V26" s="334"/>
      <c r="W26" s="334"/>
      <c r="X26" s="334"/>
      <c r="Y26" s="334"/>
      <c r="Z26" s="400"/>
      <c r="AA26" s="400"/>
      <c r="AB26" s="400"/>
      <c r="AC26" s="400"/>
      <c r="AD26" s="400"/>
      <c r="AE26" s="400"/>
      <c r="AF26" s="400"/>
      <c r="AG26" s="400"/>
      <c r="AH26" s="400"/>
      <c r="AI26" s="401"/>
      <c r="AJ26" s="107"/>
      <c r="AK26" s="528"/>
      <c r="AL26" s="529"/>
      <c r="AM26" s="529"/>
      <c r="AN26" s="529"/>
      <c r="AO26" s="530"/>
      <c r="AP26" s="531"/>
      <c r="AQ26" s="529"/>
      <c r="AR26" s="529"/>
      <c r="AS26" s="529"/>
      <c r="AT26" s="530"/>
      <c r="AU26" s="531"/>
      <c r="AV26" s="529"/>
      <c r="AW26" s="529"/>
      <c r="AX26" s="529"/>
      <c r="AY26" s="532"/>
      <c r="AZ26" s="107"/>
      <c r="BA26" s="107"/>
      <c r="BB26" s="107"/>
      <c r="BC26" s="107"/>
      <c r="BD26" s="107"/>
      <c r="BE26" s="107"/>
      <c r="BF26" s="110"/>
      <c r="BG26" s="171"/>
      <c r="BH26" s="171"/>
      <c r="BI26" s="171"/>
      <c r="BJ26" s="171"/>
      <c r="BK26" s="171"/>
      <c r="BL26" s="171"/>
      <c r="BM26" s="171"/>
      <c r="BN26" s="171"/>
      <c r="BO26" s="171"/>
      <c r="BP26" s="171"/>
      <c r="BQ26" s="171"/>
      <c r="BR26" s="171"/>
      <c r="BS26" s="112"/>
    </row>
    <row r="27" spans="1:71" ht="12" customHeight="1" x14ac:dyDescent="0.2">
      <c r="A27" s="2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206"/>
      <c r="Q27" s="42"/>
      <c r="R27" s="42"/>
      <c r="S27" s="42"/>
      <c r="T27" s="333" t="s">
        <v>398</v>
      </c>
      <c r="U27" s="334"/>
      <c r="V27" s="334"/>
      <c r="W27" s="334"/>
      <c r="X27" s="334"/>
      <c r="Y27" s="334"/>
      <c r="Z27" s="409"/>
      <c r="AA27" s="409"/>
      <c r="AB27" s="409"/>
      <c r="AC27" s="409"/>
      <c r="AD27" s="409"/>
      <c r="AE27" s="409"/>
      <c r="AF27" s="409"/>
      <c r="AG27" s="409"/>
      <c r="AH27" s="409"/>
      <c r="AI27" s="410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10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12"/>
    </row>
    <row r="28" spans="1:71" ht="12" customHeight="1" x14ac:dyDescent="0.2">
      <c r="A28" s="2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206"/>
      <c r="Q28" s="42"/>
      <c r="R28" s="42"/>
      <c r="S28" s="42"/>
      <c r="T28" s="730"/>
      <c r="U28" s="731"/>
      <c r="V28" s="731"/>
      <c r="W28" s="731"/>
      <c r="X28" s="731"/>
      <c r="Y28" s="731"/>
      <c r="Z28" s="1036" t="s">
        <v>197</v>
      </c>
      <c r="AA28" s="1036"/>
      <c r="AB28" s="1036"/>
      <c r="AC28" s="1036"/>
      <c r="AD28" s="1036"/>
      <c r="AE28" s="1036" t="s">
        <v>199</v>
      </c>
      <c r="AF28" s="1036"/>
      <c r="AG28" s="1036"/>
      <c r="AH28" s="1036"/>
      <c r="AI28" s="103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10"/>
      <c r="BG28" s="171"/>
      <c r="BH28" s="171"/>
      <c r="BI28" s="171"/>
      <c r="BJ28" s="171"/>
      <c r="BK28" s="171"/>
      <c r="BL28" s="171"/>
      <c r="BM28" s="171"/>
      <c r="BN28" s="171"/>
      <c r="BO28" s="171"/>
      <c r="BP28" s="171"/>
      <c r="BQ28" s="171"/>
      <c r="BR28" s="171"/>
      <c r="BS28" s="112"/>
    </row>
    <row r="29" spans="1:71" ht="12" customHeight="1" x14ac:dyDescent="0.2">
      <c r="A29" s="2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206"/>
      <c r="Q29" s="42"/>
      <c r="R29" s="42"/>
      <c r="S29" s="42"/>
      <c r="T29" s="333" t="s">
        <v>106</v>
      </c>
      <c r="U29" s="334"/>
      <c r="V29" s="334"/>
      <c r="W29" s="334"/>
      <c r="X29" s="334"/>
      <c r="Y29" s="334"/>
      <c r="Z29" s="577"/>
      <c r="AA29" s="577"/>
      <c r="AB29" s="577"/>
      <c r="AC29" s="577"/>
      <c r="AD29" s="577"/>
      <c r="AE29" s="577"/>
      <c r="AF29" s="577"/>
      <c r="AG29" s="577"/>
      <c r="AH29" s="577"/>
      <c r="AI29" s="578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10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71"/>
      <c r="BS29" s="112"/>
    </row>
    <row r="30" spans="1:71" ht="12" customHeight="1" thickBot="1" x14ac:dyDescent="0.25">
      <c r="A30" s="2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206"/>
      <c r="Q30" s="42"/>
      <c r="R30" s="42"/>
      <c r="S30" s="42"/>
      <c r="T30" s="347" t="s">
        <v>105</v>
      </c>
      <c r="U30" s="348"/>
      <c r="V30" s="348"/>
      <c r="W30" s="348"/>
      <c r="X30" s="348"/>
      <c r="Y30" s="348"/>
      <c r="Z30" s="555"/>
      <c r="AA30" s="555"/>
      <c r="AB30" s="555"/>
      <c r="AC30" s="555"/>
      <c r="AD30" s="555"/>
      <c r="AE30" s="555"/>
      <c r="AF30" s="555"/>
      <c r="AG30" s="555"/>
      <c r="AH30" s="555"/>
      <c r="AI30" s="951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10"/>
      <c r="BG30" s="171"/>
      <c r="BH30" s="171"/>
      <c r="BI30" s="171"/>
      <c r="BJ30" s="171"/>
      <c r="BK30" s="171"/>
      <c r="BL30" s="171"/>
      <c r="BM30" s="171"/>
      <c r="BN30" s="171"/>
      <c r="BO30" s="171"/>
      <c r="BP30" s="171"/>
      <c r="BQ30" s="171"/>
      <c r="BR30" s="171"/>
      <c r="BS30" s="112"/>
    </row>
    <row r="31" spans="1:71" ht="12" customHeight="1" thickBot="1" x14ac:dyDescent="0.25">
      <c r="A31" s="67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183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90"/>
      <c r="AV31" s="947" t="s">
        <v>297</v>
      </c>
      <c r="AW31" s="472"/>
      <c r="AX31" s="472"/>
      <c r="AY31" s="472"/>
      <c r="AZ31" s="472"/>
      <c r="BA31" s="472"/>
      <c r="BB31" s="472"/>
      <c r="BC31" s="948"/>
      <c r="BD31" s="191"/>
      <c r="BE31" s="171"/>
      <c r="BF31" s="110"/>
      <c r="BG31" s="171"/>
      <c r="BH31" s="171"/>
      <c r="BI31" s="171"/>
      <c r="BJ31" s="171"/>
      <c r="BK31" s="171"/>
      <c r="BL31" s="171"/>
      <c r="BM31" s="171"/>
      <c r="BN31" s="171"/>
      <c r="BO31" s="171"/>
      <c r="BP31" s="171"/>
      <c r="BQ31" s="171"/>
      <c r="BR31" s="171"/>
      <c r="BS31" s="112"/>
    </row>
    <row r="32" spans="1:71" ht="12" customHeight="1" thickTop="1" thickBot="1" x14ac:dyDescent="0.25">
      <c r="A32" s="134"/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9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53"/>
      <c r="AV32" s="929" t="s">
        <v>298</v>
      </c>
      <c r="AW32" s="750"/>
      <c r="AX32" s="750"/>
      <c r="AY32" s="750"/>
      <c r="AZ32" s="750"/>
      <c r="BA32" s="751"/>
      <c r="BB32" s="930"/>
      <c r="BC32" s="931"/>
      <c r="BD32" s="193"/>
      <c r="BE32" s="171"/>
      <c r="BF32" s="110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12"/>
    </row>
    <row r="33" spans="1:71" thickBot="1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107"/>
      <c r="AK33" s="660" t="s">
        <v>299</v>
      </c>
      <c r="AL33" s="661"/>
      <c r="AM33" s="661"/>
      <c r="AN33" s="661"/>
      <c r="AO33" s="661"/>
      <c r="AP33" s="661"/>
      <c r="AQ33" s="661"/>
      <c r="AR33" s="661"/>
      <c r="AS33" s="662"/>
      <c r="AT33" s="107"/>
      <c r="AU33" s="53"/>
      <c r="AV33" s="941" t="s">
        <v>300</v>
      </c>
      <c r="AW33" s="543"/>
      <c r="AX33" s="543"/>
      <c r="AY33" s="543"/>
      <c r="AZ33" s="543"/>
      <c r="BA33" s="544"/>
      <c r="BB33" s="942"/>
      <c r="BC33" s="943"/>
      <c r="BD33" s="55"/>
      <c r="BE33" s="171"/>
      <c r="BF33" s="110"/>
      <c r="BG33" s="171"/>
      <c r="BH33" s="171"/>
      <c r="BI33" s="171"/>
      <c r="BJ33" s="171"/>
      <c r="BK33" s="171"/>
      <c r="BL33" s="171"/>
      <c r="BM33" s="171"/>
      <c r="BN33" s="171"/>
      <c r="BO33" s="171"/>
      <c r="BP33" s="171"/>
      <c r="BQ33" s="171"/>
      <c r="BR33" s="171"/>
      <c r="BS33" s="112"/>
    </row>
    <row r="34" spans="1:71" ht="12" customHeight="1" thickBot="1" x14ac:dyDescent="0.25">
      <c r="A34" s="649" t="s">
        <v>301</v>
      </c>
      <c r="B34" s="650"/>
      <c r="C34" s="650"/>
      <c r="D34" s="650"/>
      <c r="E34" s="650"/>
      <c r="F34" s="650"/>
      <c r="G34" s="650"/>
      <c r="H34" s="653" t="s">
        <v>302</v>
      </c>
      <c r="I34" s="653"/>
      <c r="J34" s="653"/>
      <c r="K34" s="653"/>
      <c r="L34" s="653"/>
      <c r="M34" s="653"/>
      <c r="N34" s="653"/>
      <c r="O34" s="653"/>
      <c r="P34" s="653"/>
      <c r="Q34" s="650" t="s">
        <v>303</v>
      </c>
      <c r="R34" s="650"/>
      <c r="S34" s="650"/>
      <c r="T34" s="653" t="s">
        <v>304</v>
      </c>
      <c r="U34" s="653"/>
      <c r="V34" s="653"/>
      <c r="W34" s="653"/>
      <c r="X34" s="653"/>
      <c r="Y34" s="653"/>
      <c r="Z34" s="653"/>
      <c r="AA34" s="653"/>
      <c r="AB34" s="653"/>
      <c r="AC34" s="650" t="s">
        <v>305</v>
      </c>
      <c r="AD34" s="650"/>
      <c r="AE34" s="650"/>
      <c r="AF34" s="654" t="s">
        <v>262</v>
      </c>
      <c r="AG34" s="655"/>
      <c r="AH34" s="655"/>
      <c r="AI34" s="656"/>
      <c r="AJ34" s="107"/>
      <c r="AK34" s="663"/>
      <c r="AL34" s="664"/>
      <c r="AM34" s="664"/>
      <c r="AN34" s="664"/>
      <c r="AO34" s="664"/>
      <c r="AP34" s="664"/>
      <c r="AQ34" s="664"/>
      <c r="AR34" s="664"/>
      <c r="AS34" s="665"/>
      <c r="AT34" s="107"/>
      <c r="AU34" s="58"/>
      <c r="AV34" s="59"/>
      <c r="AW34" s="59"/>
      <c r="AX34" s="59"/>
      <c r="AY34" s="59"/>
      <c r="AZ34" s="59"/>
      <c r="BA34" s="59"/>
      <c r="BB34" s="59"/>
      <c r="BC34" s="59"/>
      <c r="BD34" s="60"/>
      <c r="BE34" s="171"/>
      <c r="BF34" s="110"/>
      <c r="BG34" s="171"/>
      <c r="BH34" s="171"/>
      <c r="BI34" s="171"/>
      <c r="BJ34" s="171"/>
      <c r="BK34" s="171"/>
      <c r="BL34" s="171"/>
      <c r="BM34" s="171"/>
      <c r="BN34" s="171"/>
      <c r="BO34" s="171"/>
      <c r="BP34" s="171"/>
      <c r="BQ34" s="171"/>
      <c r="BR34" s="171"/>
      <c r="BS34" s="112"/>
    </row>
    <row r="35" spans="1:71" ht="12" customHeight="1" thickBot="1" x14ac:dyDescent="0.25">
      <c r="A35" s="651"/>
      <c r="B35" s="652"/>
      <c r="C35" s="652"/>
      <c r="D35" s="652"/>
      <c r="E35" s="652"/>
      <c r="F35" s="652"/>
      <c r="G35" s="652"/>
      <c r="H35" s="392" t="s">
        <v>306</v>
      </c>
      <c r="I35" s="392"/>
      <c r="J35" s="392"/>
      <c r="K35" s="392" t="s">
        <v>174</v>
      </c>
      <c r="L35" s="392"/>
      <c r="M35" s="392"/>
      <c r="N35" s="392" t="s">
        <v>307</v>
      </c>
      <c r="O35" s="392"/>
      <c r="P35" s="392"/>
      <c r="Q35" s="652"/>
      <c r="R35" s="652"/>
      <c r="S35" s="652"/>
      <c r="T35" s="392" t="s">
        <v>308</v>
      </c>
      <c r="U35" s="392"/>
      <c r="V35" s="392"/>
      <c r="W35" s="392" t="s">
        <v>180</v>
      </c>
      <c r="X35" s="392"/>
      <c r="Y35" s="392"/>
      <c r="Z35" s="392" t="s">
        <v>183</v>
      </c>
      <c r="AA35" s="392"/>
      <c r="AB35" s="392"/>
      <c r="AC35" s="652"/>
      <c r="AD35" s="652"/>
      <c r="AE35" s="652"/>
      <c r="AF35" s="657"/>
      <c r="AG35" s="658"/>
      <c r="AH35" s="658"/>
      <c r="AI35" s="659"/>
      <c r="AJ35" s="107"/>
      <c r="AK35" s="666"/>
      <c r="AL35" s="667"/>
      <c r="AM35" s="667"/>
      <c r="AN35" s="667"/>
      <c r="AO35" s="667"/>
      <c r="AP35" s="667"/>
      <c r="AQ35" s="667"/>
      <c r="AR35" s="667"/>
      <c r="AS35" s="668"/>
      <c r="AT35" s="107"/>
      <c r="AU35" s="471" t="s">
        <v>309</v>
      </c>
      <c r="AV35" s="472"/>
      <c r="AW35" s="472"/>
      <c r="AX35" s="472"/>
      <c r="AY35" s="472"/>
      <c r="AZ35" s="472"/>
      <c r="BA35" s="472"/>
      <c r="BB35" s="472"/>
      <c r="BC35" s="472"/>
      <c r="BD35" s="473"/>
      <c r="BE35" s="107"/>
      <c r="BF35" s="113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5"/>
    </row>
    <row r="36" spans="1:71" ht="12" customHeight="1" thickTop="1" x14ac:dyDescent="0.2">
      <c r="A36" s="926"/>
      <c r="B36" s="927"/>
      <c r="C36" s="927"/>
      <c r="D36" s="927"/>
      <c r="E36" s="927"/>
      <c r="F36" s="927"/>
      <c r="G36" s="927"/>
      <c r="H36" s="453"/>
      <c r="I36" s="453"/>
      <c r="J36" s="453"/>
      <c r="K36" s="453"/>
      <c r="L36" s="453"/>
      <c r="M36" s="453"/>
      <c r="N36" s="453"/>
      <c r="O36" s="453"/>
      <c r="P36" s="453"/>
      <c r="Q36" s="453"/>
      <c r="R36" s="453"/>
      <c r="S36" s="453"/>
      <c r="T36" s="638"/>
      <c r="U36" s="638"/>
      <c r="V36" s="638"/>
      <c r="W36" s="638"/>
      <c r="X36" s="638"/>
      <c r="Y36" s="638"/>
      <c r="Z36" s="638"/>
      <c r="AA36" s="638"/>
      <c r="AB36" s="638"/>
      <c r="AC36" s="638"/>
      <c r="AD36" s="638"/>
      <c r="AE36" s="638"/>
      <c r="AF36" s="400"/>
      <c r="AG36" s="400"/>
      <c r="AH36" s="400"/>
      <c r="AI36" s="401"/>
      <c r="AJ36" s="107"/>
      <c r="AK36" s="1034" t="str">
        <f>IFERROR(AN36*(1-$BB$33),"")</f>
        <v/>
      </c>
      <c r="AL36" s="1032"/>
      <c r="AM36" s="1035"/>
      <c r="AN36" s="1031" t="str">
        <f>IFERROR(($AK$56*Q36),"")</f>
        <v/>
      </c>
      <c r="AO36" s="1032"/>
      <c r="AP36" s="1035"/>
      <c r="AQ36" s="1031" t="str">
        <f>IFERROR(AN36*(1+$BB$32),"")</f>
        <v/>
      </c>
      <c r="AR36" s="1032"/>
      <c r="AS36" s="1033"/>
      <c r="AT36" s="107"/>
      <c r="AU36" s="923" t="str">
        <f t="shared" ref="AU36:AU52" si="0">IF(AC36="","",IF(AC36&lt;Q36-(Q36*$BB$33),"Below "&amp;$BB$33*100&amp;"% by "&amp;Q36-(Q36*$BB$33)-AC36&amp;" CFM",IF(AC36&gt;Q36+(Q36*$BB$32),"Above "&amp;$BB$32*100&amp;"% by "&amp;AC36-Q36-(Q36*$BB$32)&amp;" CFM","")))</f>
        <v/>
      </c>
      <c r="AV36" s="924"/>
      <c r="AW36" s="924"/>
      <c r="AX36" s="924"/>
      <c r="AY36" s="924"/>
      <c r="AZ36" s="924"/>
      <c r="BA36" s="924"/>
      <c r="BB36" s="924"/>
      <c r="BC36" s="924"/>
      <c r="BD36" s="925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</row>
    <row r="37" spans="1:71" ht="12" customHeight="1" x14ac:dyDescent="0.2">
      <c r="A37" s="926"/>
      <c r="B37" s="927"/>
      <c r="C37" s="927"/>
      <c r="D37" s="927"/>
      <c r="E37" s="927"/>
      <c r="F37" s="927"/>
      <c r="G37" s="927"/>
      <c r="H37" s="453"/>
      <c r="I37" s="453"/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638"/>
      <c r="U37" s="638"/>
      <c r="V37" s="638"/>
      <c r="W37" s="638"/>
      <c r="X37" s="638"/>
      <c r="Y37" s="638"/>
      <c r="Z37" s="638"/>
      <c r="AA37" s="638"/>
      <c r="AB37" s="638"/>
      <c r="AC37" s="638"/>
      <c r="AD37" s="638"/>
      <c r="AE37" s="638"/>
      <c r="AF37" s="400"/>
      <c r="AG37" s="400"/>
      <c r="AH37" s="400"/>
      <c r="AI37" s="401"/>
      <c r="AJ37" s="107"/>
      <c r="AK37" s="1024" t="str">
        <f>IFERROR(AN37*(1-$BB$33),"")</f>
        <v/>
      </c>
      <c r="AL37" s="949"/>
      <c r="AM37" s="945"/>
      <c r="AN37" s="944" t="str">
        <f>IFERROR(($AK$56*Q37),"")</f>
        <v/>
      </c>
      <c r="AO37" s="949"/>
      <c r="AP37" s="945"/>
      <c r="AQ37" s="944" t="str">
        <f>IFERROR(AN37*(1+$BB$32),"")</f>
        <v/>
      </c>
      <c r="AR37" s="949"/>
      <c r="AS37" s="1025"/>
      <c r="AT37" s="107"/>
      <c r="AU37" s="923" t="str">
        <f t="shared" si="0"/>
        <v/>
      </c>
      <c r="AV37" s="924"/>
      <c r="AW37" s="924"/>
      <c r="AX37" s="924"/>
      <c r="AY37" s="924"/>
      <c r="AZ37" s="924"/>
      <c r="BA37" s="924"/>
      <c r="BB37" s="924"/>
      <c r="BC37" s="924"/>
      <c r="BD37" s="925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</row>
    <row r="38" spans="1:71" ht="12" customHeight="1" x14ac:dyDescent="0.2">
      <c r="A38" s="926"/>
      <c r="B38" s="927"/>
      <c r="C38" s="927"/>
      <c r="D38" s="927"/>
      <c r="E38" s="927"/>
      <c r="F38" s="927"/>
      <c r="G38" s="927"/>
      <c r="H38" s="453"/>
      <c r="I38" s="453"/>
      <c r="J38" s="453"/>
      <c r="K38" s="453"/>
      <c r="L38" s="453"/>
      <c r="M38" s="453"/>
      <c r="N38" s="453"/>
      <c r="O38" s="453"/>
      <c r="P38" s="453"/>
      <c r="Q38" s="453"/>
      <c r="R38" s="453"/>
      <c r="S38" s="453"/>
      <c r="T38" s="638"/>
      <c r="U38" s="638"/>
      <c r="V38" s="638"/>
      <c r="W38" s="638"/>
      <c r="X38" s="638"/>
      <c r="Y38" s="638"/>
      <c r="Z38" s="638"/>
      <c r="AA38" s="638"/>
      <c r="AB38" s="638"/>
      <c r="AC38" s="638"/>
      <c r="AD38" s="638"/>
      <c r="AE38" s="638"/>
      <c r="AF38" s="400"/>
      <c r="AG38" s="400"/>
      <c r="AH38" s="400"/>
      <c r="AI38" s="401"/>
      <c r="AJ38" s="107"/>
      <c r="AK38" s="1024" t="str">
        <f t="shared" ref="AK38:AK52" si="1">IFERROR(AN38*(1-$BB$33),"")</f>
        <v/>
      </c>
      <c r="AL38" s="949"/>
      <c r="AM38" s="945"/>
      <c r="AN38" s="944" t="str">
        <f t="shared" ref="AN38:AN51" si="2">IFERROR(($AK$56*Q38),"")</f>
        <v/>
      </c>
      <c r="AO38" s="949"/>
      <c r="AP38" s="945"/>
      <c r="AQ38" s="944" t="str">
        <f t="shared" ref="AQ38:AQ52" si="3">IFERROR(AN38*(1+$BB$32),"")</f>
        <v/>
      </c>
      <c r="AR38" s="949"/>
      <c r="AS38" s="1025"/>
      <c r="AT38" s="107"/>
      <c r="AU38" s="923" t="str">
        <f t="shared" si="0"/>
        <v/>
      </c>
      <c r="AV38" s="924"/>
      <c r="AW38" s="924"/>
      <c r="AX38" s="924"/>
      <c r="AY38" s="924"/>
      <c r="AZ38" s="924"/>
      <c r="BA38" s="924"/>
      <c r="BB38" s="924"/>
      <c r="BC38" s="924"/>
      <c r="BD38" s="925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</row>
    <row r="39" spans="1:71" ht="12" customHeight="1" x14ac:dyDescent="0.2">
      <c r="A39" s="926"/>
      <c r="B39" s="927"/>
      <c r="C39" s="927"/>
      <c r="D39" s="927"/>
      <c r="E39" s="927"/>
      <c r="F39" s="927"/>
      <c r="G39" s="927"/>
      <c r="H39" s="453"/>
      <c r="I39" s="453"/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638"/>
      <c r="U39" s="638"/>
      <c r="V39" s="638"/>
      <c r="W39" s="638"/>
      <c r="X39" s="638"/>
      <c r="Y39" s="638"/>
      <c r="Z39" s="638"/>
      <c r="AA39" s="638"/>
      <c r="AB39" s="638"/>
      <c r="AC39" s="638"/>
      <c r="AD39" s="638"/>
      <c r="AE39" s="638"/>
      <c r="AF39" s="400"/>
      <c r="AG39" s="400"/>
      <c r="AH39" s="400"/>
      <c r="AI39" s="401"/>
      <c r="AJ39" s="107"/>
      <c r="AK39" s="1024" t="str">
        <f t="shared" si="1"/>
        <v/>
      </c>
      <c r="AL39" s="949"/>
      <c r="AM39" s="945"/>
      <c r="AN39" s="944" t="str">
        <f t="shared" si="2"/>
        <v/>
      </c>
      <c r="AO39" s="949"/>
      <c r="AP39" s="945"/>
      <c r="AQ39" s="944" t="str">
        <f t="shared" si="3"/>
        <v/>
      </c>
      <c r="AR39" s="949"/>
      <c r="AS39" s="1025"/>
      <c r="AT39" s="107"/>
      <c r="AU39" s="923" t="str">
        <f t="shared" si="0"/>
        <v/>
      </c>
      <c r="AV39" s="924"/>
      <c r="AW39" s="924"/>
      <c r="AX39" s="924"/>
      <c r="AY39" s="924"/>
      <c r="AZ39" s="924"/>
      <c r="BA39" s="924"/>
      <c r="BB39" s="924"/>
      <c r="BC39" s="924"/>
      <c r="BD39" s="925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</row>
    <row r="40" spans="1:71" ht="12" customHeight="1" x14ac:dyDescent="0.2">
      <c r="A40" s="926"/>
      <c r="B40" s="927"/>
      <c r="C40" s="927"/>
      <c r="D40" s="927"/>
      <c r="E40" s="927"/>
      <c r="F40" s="927"/>
      <c r="G40" s="927"/>
      <c r="H40" s="453"/>
      <c r="I40" s="453"/>
      <c r="J40" s="453"/>
      <c r="K40" s="453"/>
      <c r="L40" s="453"/>
      <c r="M40" s="453"/>
      <c r="N40" s="453"/>
      <c r="O40" s="453"/>
      <c r="P40" s="453"/>
      <c r="Q40" s="453"/>
      <c r="R40" s="453"/>
      <c r="S40" s="453"/>
      <c r="T40" s="638"/>
      <c r="U40" s="638"/>
      <c r="V40" s="638"/>
      <c r="W40" s="638"/>
      <c r="X40" s="638"/>
      <c r="Y40" s="638"/>
      <c r="Z40" s="638"/>
      <c r="AA40" s="638"/>
      <c r="AB40" s="638"/>
      <c r="AC40" s="638"/>
      <c r="AD40" s="638"/>
      <c r="AE40" s="638"/>
      <c r="AF40" s="400"/>
      <c r="AG40" s="400"/>
      <c r="AH40" s="400"/>
      <c r="AI40" s="401"/>
      <c r="AJ40" s="107"/>
      <c r="AK40" s="1024" t="str">
        <f t="shared" si="1"/>
        <v/>
      </c>
      <c r="AL40" s="949"/>
      <c r="AM40" s="945"/>
      <c r="AN40" s="944" t="str">
        <f t="shared" si="2"/>
        <v/>
      </c>
      <c r="AO40" s="949"/>
      <c r="AP40" s="945"/>
      <c r="AQ40" s="944" t="str">
        <f t="shared" si="3"/>
        <v/>
      </c>
      <c r="AR40" s="949"/>
      <c r="AS40" s="1025"/>
      <c r="AT40" s="107"/>
      <c r="AU40" s="923" t="str">
        <f t="shared" si="0"/>
        <v/>
      </c>
      <c r="AV40" s="924"/>
      <c r="AW40" s="924"/>
      <c r="AX40" s="924"/>
      <c r="AY40" s="924"/>
      <c r="AZ40" s="924"/>
      <c r="BA40" s="924"/>
      <c r="BB40" s="924"/>
      <c r="BC40" s="924"/>
      <c r="BD40" s="925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</row>
    <row r="41" spans="1:71" ht="12" customHeight="1" x14ac:dyDescent="0.2">
      <c r="A41" s="926"/>
      <c r="B41" s="927"/>
      <c r="C41" s="927"/>
      <c r="D41" s="927"/>
      <c r="E41" s="927"/>
      <c r="F41" s="927"/>
      <c r="G41" s="927"/>
      <c r="H41" s="453"/>
      <c r="I41" s="453"/>
      <c r="J41" s="453"/>
      <c r="K41" s="453"/>
      <c r="L41" s="453"/>
      <c r="M41" s="453"/>
      <c r="N41" s="453"/>
      <c r="O41" s="453"/>
      <c r="P41" s="453"/>
      <c r="Q41" s="453"/>
      <c r="R41" s="453"/>
      <c r="S41" s="453"/>
      <c r="T41" s="638"/>
      <c r="U41" s="638"/>
      <c r="V41" s="638"/>
      <c r="W41" s="638"/>
      <c r="X41" s="638"/>
      <c r="Y41" s="638"/>
      <c r="Z41" s="638"/>
      <c r="AA41" s="638"/>
      <c r="AB41" s="638"/>
      <c r="AC41" s="638"/>
      <c r="AD41" s="638"/>
      <c r="AE41" s="638"/>
      <c r="AF41" s="400"/>
      <c r="AG41" s="400"/>
      <c r="AH41" s="400"/>
      <c r="AI41" s="401"/>
      <c r="AJ41" s="107"/>
      <c r="AK41" s="1024" t="str">
        <f t="shared" si="1"/>
        <v/>
      </c>
      <c r="AL41" s="949"/>
      <c r="AM41" s="945"/>
      <c r="AN41" s="944" t="str">
        <f t="shared" si="2"/>
        <v/>
      </c>
      <c r="AO41" s="949"/>
      <c r="AP41" s="945"/>
      <c r="AQ41" s="944" t="str">
        <f t="shared" si="3"/>
        <v/>
      </c>
      <c r="AR41" s="949"/>
      <c r="AS41" s="1025"/>
      <c r="AT41" s="107"/>
      <c r="AU41" s="923" t="str">
        <f t="shared" si="0"/>
        <v/>
      </c>
      <c r="AV41" s="924"/>
      <c r="AW41" s="924"/>
      <c r="AX41" s="924"/>
      <c r="AY41" s="924"/>
      <c r="AZ41" s="924"/>
      <c r="BA41" s="924"/>
      <c r="BB41" s="924"/>
      <c r="BC41" s="924"/>
      <c r="BD41" s="925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</row>
    <row r="42" spans="1:71" ht="12" customHeight="1" x14ac:dyDescent="0.2">
      <c r="A42" s="926"/>
      <c r="B42" s="927"/>
      <c r="C42" s="927"/>
      <c r="D42" s="927"/>
      <c r="E42" s="927"/>
      <c r="F42" s="927"/>
      <c r="G42" s="927"/>
      <c r="H42" s="453"/>
      <c r="I42" s="453"/>
      <c r="J42" s="453"/>
      <c r="K42" s="453"/>
      <c r="L42" s="453"/>
      <c r="M42" s="453"/>
      <c r="N42" s="453"/>
      <c r="O42" s="453"/>
      <c r="P42" s="453"/>
      <c r="Q42" s="453"/>
      <c r="R42" s="453"/>
      <c r="S42" s="453"/>
      <c r="T42" s="638"/>
      <c r="U42" s="638"/>
      <c r="V42" s="638"/>
      <c r="W42" s="638"/>
      <c r="X42" s="638"/>
      <c r="Y42" s="638"/>
      <c r="Z42" s="638"/>
      <c r="AA42" s="638"/>
      <c r="AB42" s="638"/>
      <c r="AC42" s="638"/>
      <c r="AD42" s="638"/>
      <c r="AE42" s="638"/>
      <c r="AF42" s="400"/>
      <c r="AG42" s="400"/>
      <c r="AH42" s="400"/>
      <c r="AI42" s="401"/>
      <c r="AJ42" s="107"/>
      <c r="AK42" s="1024" t="str">
        <f t="shared" si="1"/>
        <v/>
      </c>
      <c r="AL42" s="949"/>
      <c r="AM42" s="945"/>
      <c r="AN42" s="944" t="str">
        <f t="shared" si="2"/>
        <v/>
      </c>
      <c r="AO42" s="949"/>
      <c r="AP42" s="945"/>
      <c r="AQ42" s="944" t="str">
        <f t="shared" si="3"/>
        <v/>
      </c>
      <c r="AR42" s="949"/>
      <c r="AS42" s="1025"/>
      <c r="AT42" s="107"/>
      <c r="AU42" s="923" t="str">
        <f t="shared" si="0"/>
        <v/>
      </c>
      <c r="AV42" s="924"/>
      <c r="AW42" s="924"/>
      <c r="AX42" s="924"/>
      <c r="AY42" s="924"/>
      <c r="AZ42" s="924"/>
      <c r="BA42" s="924"/>
      <c r="BB42" s="924"/>
      <c r="BC42" s="924"/>
      <c r="BD42" s="925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</row>
    <row r="43" spans="1:71" ht="12" customHeight="1" x14ac:dyDescent="0.2">
      <c r="A43" s="926"/>
      <c r="B43" s="927"/>
      <c r="C43" s="927"/>
      <c r="D43" s="927"/>
      <c r="E43" s="927"/>
      <c r="F43" s="927"/>
      <c r="G43" s="927"/>
      <c r="H43" s="453"/>
      <c r="I43" s="453"/>
      <c r="J43" s="453"/>
      <c r="K43" s="453"/>
      <c r="L43" s="453"/>
      <c r="M43" s="453"/>
      <c r="N43" s="453"/>
      <c r="O43" s="453"/>
      <c r="P43" s="453"/>
      <c r="Q43" s="453"/>
      <c r="R43" s="453"/>
      <c r="S43" s="453"/>
      <c r="T43" s="638"/>
      <c r="U43" s="638"/>
      <c r="V43" s="638"/>
      <c r="W43" s="638"/>
      <c r="X43" s="638"/>
      <c r="Y43" s="638"/>
      <c r="Z43" s="638"/>
      <c r="AA43" s="638"/>
      <c r="AB43" s="638"/>
      <c r="AC43" s="638"/>
      <c r="AD43" s="638"/>
      <c r="AE43" s="638"/>
      <c r="AF43" s="400"/>
      <c r="AG43" s="400"/>
      <c r="AH43" s="400"/>
      <c r="AI43" s="401"/>
      <c r="AJ43" s="107"/>
      <c r="AK43" s="1024" t="str">
        <f t="shared" si="1"/>
        <v/>
      </c>
      <c r="AL43" s="949"/>
      <c r="AM43" s="945"/>
      <c r="AN43" s="944" t="str">
        <f t="shared" si="2"/>
        <v/>
      </c>
      <c r="AO43" s="949"/>
      <c r="AP43" s="945"/>
      <c r="AQ43" s="944" t="str">
        <f t="shared" si="3"/>
        <v/>
      </c>
      <c r="AR43" s="949"/>
      <c r="AS43" s="1025"/>
      <c r="AT43" s="107"/>
      <c r="AU43" s="923" t="str">
        <f t="shared" si="0"/>
        <v/>
      </c>
      <c r="AV43" s="924"/>
      <c r="AW43" s="924"/>
      <c r="AX43" s="924"/>
      <c r="AY43" s="924"/>
      <c r="AZ43" s="924"/>
      <c r="BA43" s="924"/>
      <c r="BB43" s="924"/>
      <c r="BC43" s="924"/>
      <c r="BD43" s="925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</row>
    <row r="44" spans="1:71" ht="12" customHeight="1" x14ac:dyDescent="0.2">
      <c r="A44" s="926"/>
      <c r="B44" s="927"/>
      <c r="C44" s="927"/>
      <c r="D44" s="927"/>
      <c r="E44" s="927"/>
      <c r="F44" s="927"/>
      <c r="G44" s="927"/>
      <c r="H44" s="453"/>
      <c r="I44" s="453"/>
      <c r="J44" s="453"/>
      <c r="K44" s="453"/>
      <c r="L44" s="453"/>
      <c r="M44" s="453"/>
      <c r="N44" s="453"/>
      <c r="O44" s="453"/>
      <c r="P44" s="453"/>
      <c r="Q44" s="453"/>
      <c r="R44" s="453"/>
      <c r="S44" s="453"/>
      <c r="T44" s="638"/>
      <c r="U44" s="638"/>
      <c r="V44" s="638"/>
      <c r="W44" s="638"/>
      <c r="X44" s="638"/>
      <c r="Y44" s="638"/>
      <c r="Z44" s="638"/>
      <c r="AA44" s="638"/>
      <c r="AB44" s="638"/>
      <c r="AC44" s="638"/>
      <c r="AD44" s="638"/>
      <c r="AE44" s="638"/>
      <c r="AF44" s="400"/>
      <c r="AG44" s="400"/>
      <c r="AH44" s="400"/>
      <c r="AI44" s="401"/>
      <c r="AJ44" s="107"/>
      <c r="AK44" s="1024" t="str">
        <f t="shared" si="1"/>
        <v/>
      </c>
      <c r="AL44" s="949"/>
      <c r="AM44" s="945"/>
      <c r="AN44" s="944" t="str">
        <f t="shared" si="2"/>
        <v/>
      </c>
      <c r="AO44" s="949"/>
      <c r="AP44" s="945"/>
      <c r="AQ44" s="944" t="str">
        <f t="shared" si="3"/>
        <v/>
      </c>
      <c r="AR44" s="949"/>
      <c r="AS44" s="1025"/>
      <c r="AT44" s="107"/>
      <c r="AU44" s="923" t="str">
        <f t="shared" si="0"/>
        <v/>
      </c>
      <c r="AV44" s="924"/>
      <c r="AW44" s="924"/>
      <c r="AX44" s="924"/>
      <c r="AY44" s="924"/>
      <c r="AZ44" s="924"/>
      <c r="BA44" s="924"/>
      <c r="BB44" s="924"/>
      <c r="BC44" s="924"/>
      <c r="BD44" s="925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</row>
    <row r="45" spans="1:71" ht="12" customHeight="1" x14ac:dyDescent="0.2">
      <c r="A45" s="926"/>
      <c r="B45" s="927"/>
      <c r="C45" s="927"/>
      <c r="D45" s="927"/>
      <c r="E45" s="927"/>
      <c r="F45" s="927"/>
      <c r="G45" s="927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53"/>
      <c r="S45" s="453"/>
      <c r="T45" s="638"/>
      <c r="U45" s="638"/>
      <c r="V45" s="638"/>
      <c r="W45" s="638"/>
      <c r="X45" s="638"/>
      <c r="Y45" s="638"/>
      <c r="Z45" s="638"/>
      <c r="AA45" s="638"/>
      <c r="AB45" s="638"/>
      <c r="AC45" s="638"/>
      <c r="AD45" s="638"/>
      <c r="AE45" s="638"/>
      <c r="AF45" s="400"/>
      <c r="AG45" s="400"/>
      <c r="AH45" s="400"/>
      <c r="AI45" s="401"/>
      <c r="AJ45" s="107"/>
      <c r="AK45" s="1024" t="str">
        <f t="shared" si="1"/>
        <v/>
      </c>
      <c r="AL45" s="949"/>
      <c r="AM45" s="945"/>
      <c r="AN45" s="944" t="str">
        <f t="shared" si="2"/>
        <v/>
      </c>
      <c r="AO45" s="949"/>
      <c r="AP45" s="945"/>
      <c r="AQ45" s="944" t="str">
        <f t="shared" si="3"/>
        <v/>
      </c>
      <c r="AR45" s="949"/>
      <c r="AS45" s="1025"/>
      <c r="AT45" s="107"/>
      <c r="AU45" s="923" t="str">
        <f t="shared" si="0"/>
        <v/>
      </c>
      <c r="AV45" s="924"/>
      <c r="AW45" s="924"/>
      <c r="AX45" s="924"/>
      <c r="AY45" s="924"/>
      <c r="AZ45" s="924"/>
      <c r="BA45" s="924"/>
      <c r="BB45" s="924"/>
      <c r="BC45" s="924"/>
      <c r="BD45" s="925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</row>
    <row r="46" spans="1:71" ht="12" customHeight="1" x14ac:dyDescent="0.2">
      <c r="A46" s="926"/>
      <c r="B46" s="927"/>
      <c r="C46" s="927"/>
      <c r="D46" s="927"/>
      <c r="E46" s="927"/>
      <c r="F46" s="927"/>
      <c r="G46" s="927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638"/>
      <c r="U46" s="638"/>
      <c r="V46" s="638"/>
      <c r="W46" s="638"/>
      <c r="X46" s="638"/>
      <c r="Y46" s="638"/>
      <c r="Z46" s="638"/>
      <c r="AA46" s="638"/>
      <c r="AB46" s="638"/>
      <c r="AC46" s="638"/>
      <c r="AD46" s="638"/>
      <c r="AE46" s="638"/>
      <c r="AF46" s="400"/>
      <c r="AG46" s="400"/>
      <c r="AH46" s="400"/>
      <c r="AI46" s="401"/>
      <c r="AJ46" s="107"/>
      <c r="AK46" s="1024" t="str">
        <f t="shared" si="1"/>
        <v/>
      </c>
      <c r="AL46" s="949"/>
      <c r="AM46" s="945"/>
      <c r="AN46" s="944" t="str">
        <f t="shared" si="2"/>
        <v/>
      </c>
      <c r="AO46" s="949"/>
      <c r="AP46" s="945"/>
      <c r="AQ46" s="944" t="str">
        <f t="shared" si="3"/>
        <v/>
      </c>
      <c r="AR46" s="949"/>
      <c r="AS46" s="1025"/>
      <c r="AT46" s="107"/>
      <c r="AU46" s="923" t="str">
        <f t="shared" si="0"/>
        <v/>
      </c>
      <c r="AV46" s="924"/>
      <c r="AW46" s="924"/>
      <c r="AX46" s="924"/>
      <c r="AY46" s="924"/>
      <c r="AZ46" s="924"/>
      <c r="BA46" s="924"/>
      <c r="BB46" s="924"/>
      <c r="BC46" s="924"/>
      <c r="BD46" s="925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</row>
    <row r="47" spans="1:71" ht="12" customHeight="1" x14ac:dyDescent="0.2">
      <c r="A47" s="926"/>
      <c r="B47" s="927"/>
      <c r="C47" s="927"/>
      <c r="D47" s="927"/>
      <c r="E47" s="927"/>
      <c r="F47" s="927"/>
      <c r="G47" s="927"/>
      <c r="H47" s="453"/>
      <c r="I47" s="453"/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638"/>
      <c r="U47" s="638"/>
      <c r="V47" s="638"/>
      <c r="W47" s="638"/>
      <c r="X47" s="638"/>
      <c r="Y47" s="638"/>
      <c r="Z47" s="638"/>
      <c r="AA47" s="638"/>
      <c r="AB47" s="638"/>
      <c r="AC47" s="638"/>
      <c r="AD47" s="638"/>
      <c r="AE47" s="638"/>
      <c r="AF47" s="400"/>
      <c r="AG47" s="400"/>
      <c r="AH47" s="400"/>
      <c r="AI47" s="401"/>
      <c r="AJ47" s="107"/>
      <c r="AK47" s="1024" t="str">
        <f t="shared" si="1"/>
        <v/>
      </c>
      <c r="AL47" s="949"/>
      <c r="AM47" s="945"/>
      <c r="AN47" s="944" t="str">
        <f t="shared" si="2"/>
        <v/>
      </c>
      <c r="AO47" s="949"/>
      <c r="AP47" s="945"/>
      <c r="AQ47" s="944" t="str">
        <f t="shared" si="3"/>
        <v/>
      </c>
      <c r="AR47" s="949"/>
      <c r="AS47" s="1025"/>
      <c r="AT47" s="107"/>
      <c r="AU47" s="923" t="str">
        <f t="shared" si="0"/>
        <v/>
      </c>
      <c r="AV47" s="924"/>
      <c r="AW47" s="924"/>
      <c r="AX47" s="924"/>
      <c r="AY47" s="924"/>
      <c r="AZ47" s="924"/>
      <c r="BA47" s="924"/>
      <c r="BB47" s="924"/>
      <c r="BC47" s="924"/>
      <c r="BD47" s="925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</row>
    <row r="48" spans="1:71" ht="12" customHeight="1" x14ac:dyDescent="0.2">
      <c r="A48" s="926"/>
      <c r="B48" s="927"/>
      <c r="C48" s="927"/>
      <c r="D48" s="927"/>
      <c r="E48" s="927"/>
      <c r="F48" s="927"/>
      <c r="G48" s="927"/>
      <c r="H48" s="453"/>
      <c r="I48" s="453"/>
      <c r="J48" s="453"/>
      <c r="K48" s="453"/>
      <c r="L48" s="453"/>
      <c r="M48" s="453"/>
      <c r="N48" s="453"/>
      <c r="O48" s="453"/>
      <c r="P48" s="453"/>
      <c r="Q48" s="453"/>
      <c r="R48" s="453"/>
      <c r="S48" s="453"/>
      <c r="T48" s="638"/>
      <c r="U48" s="638"/>
      <c r="V48" s="638"/>
      <c r="W48" s="638"/>
      <c r="X48" s="638"/>
      <c r="Y48" s="638"/>
      <c r="Z48" s="638"/>
      <c r="AA48" s="638"/>
      <c r="AB48" s="638"/>
      <c r="AC48" s="638"/>
      <c r="AD48" s="638"/>
      <c r="AE48" s="638"/>
      <c r="AF48" s="400"/>
      <c r="AG48" s="400"/>
      <c r="AH48" s="400"/>
      <c r="AI48" s="401"/>
      <c r="AJ48" s="107"/>
      <c r="AK48" s="1024" t="str">
        <f t="shared" si="1"/>
        <v/>
      </c>
      <c r="AL48" s="949"/>
      <c r="AM48" s="945"/>
      <c r="AN48" s="944" t="str">
        <f t="shared" si="2"/>
        <v/>
      </c>
      <c r="AO48" s="949"/>
      <c r="AP48" s="945"/>
      <c r="AQ48" s="944" t="str">
        <f t="shared" si="3"/>
        <v/>
      </c>
      <c r="AR48" s="949"/>
      <c r="AS48" s="1025"/>
      <c r="AT48" s="107"/>
      <c r="AU48" s="923" t="str">
        <f t="shared" si="0"/>
        <v/>
      </c>
      <c r="AV48" s="924"/>
      <c r="AW48" s="924"/>
      <c r="AX48" s="924"/>
      <c r="AY48" s="924"/>
      <c r="AZ48" s="924"/>
      <c r="BA48" s="924"/>
      <c r="BB48" s="924"/>
      <c r="BC48" s="924"/>
      <c r="BD48" s="925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</row>
    <row r="49" spans="1:71" ht="12" customHeight="1" x14ac:dyDescent="0.2">
      <c r="A49" s="926"/>
      <c r="B49" s="927"/>
      <c r="C49" s="927"/>
      <c r="D49" s="927"/>
      <c r="E49" s="927"/>
      <c r="F49" s="927"/>
      <c r="G49" s="927"/>
      <c r="H49" s="453"/>
      <c r="I49" s="453"/>
      <c r="J49" s="453"/>
      <c r="K49" s="453"/>
      <c r="L49" s="453"/>
      <c r="M49" s="453"/>
      <c r="N49" s="453"/>
      <c r="O49" s="453"/>
      <c r="P49" s="453"/>
      <c r="Q49" s="453"/>
      <c r="R49" s="453"/>
      <c r="S49" s="453"/>
      <c r="T49" s="638"/>
      <c r="U49" s="638"/>
      <c r="V49" s="638"/>
      <c r="W49" s="638"/>
      <c r="X49" s="638"/>
      <c r="Y49" s="638"/>
      <c r="Z49" s="638"/>
      <c r="AA49" s="638"/>
      <c r="AB49" s="638"/>
      <c r="AC49" s="638"/>
      <c r="AD49" s="638"/>
      <c r="AE49" s="638"/>
      <c r="AF49" s="400"/>
      <c r="AG49" s="400"/>
      <c r="AH49" s="400"/>
      <c r="AI49" s="401"/>
      <c r="AJ49" s="107"/>
      <c r="AK49" s="1024" t="str">
        <f t="shared" si="1"/>
        <v/>
      </c>
      <c r="AL49" s="949"/>
      <c r="AM49" s="945"/>
      <c r="AN49" s="944" t="str">
        <f t="shared" si="2"/>
        <v/>
      </c>
      <c r="AO49" s="949"/>
      <c r="AP49" s="945"/>
      <c r="AQ49" s="944" t="str">
        <f t="shared" si="3"/>
        <v/>
      </c>
      <c r="AR49" s="949"/>
      <c r="AS49" s="1025"/>
      <c r="AT49" s="107"/>
      <c r="AU49" s="923" t="str">
        <f t="shared" si="0"/>
        <v/>
      </c>
      <c r="AV49" s="924"/>
      <c r="AW49" s="924"/>
      <c r="AX49" s="924"/>
      <c r="AY49" s="924"/>
      <c r="AZ49" s="924"/>
      <c r="BA49" s="924"/>
      <c r="BB49" s="924"/>
      <c r="BC49" s="924"/>
      <c r="BD49" s="925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</row>
    <row r="50" spans="1:71" ht="12" customHeight="1" x14ac:dyDescent="0.2">
      <c r="A50" s="926"/>
      <c r="B50" s="927"/>
      <c r="C50" s="927"/>
      <c r="D50" s="927"/>
      <c r="E50" s="927"/>
      <c r="F50" s="927"/>
      <c r="G50" s="927"/>
      <c r="H50" s="453"/>
      <c r="I50" s="453"/>
      <c r="J50" s="453"/>
      <c r="K50" s="453"/>
      <c r="L50" s="453"/>
      <c r="M50" s="453"/>
      <c r="N50" s="453"/>
      <c r="O50" s="453"/>
      <c r="P50" s="453"/>
      <c r="Q50" s="453"/>
      <c r="R50" s="453"/>
      <c r="S50" s="453"/>
      <c r="T50" s="638"/>
      <c r="U50" s="638"/>
      <c r="V50" s="638"/>
      <c r="W50" s="638"/>
      <c r="X50" s="638"/>
      <c r="Y50" s="638"/>
      <c r="Z50" s="638"/>
      <c r="AA50" s="638"/>
      <c r="AB50" s="638"/>
      <c r="AC50" s="638"/>
      <c r="AD50" s="638"/>
      <c r="AE50" s="638"/>
      <c r="AF50" s="400"/>
      <c r="AG50" s="400"/>
      <c r="AH50" s="400"/>
      <c r="AI50" s="401"/>
      <c r="AJ50" s="107"/>
      <c r="AK50" s="1024" t="str">
        <f t="shared" si="1"/>
        <v/>
      </c>
      <c r="AL50" s="949"/>
      <c r="AM50" s="945"/>
      <c r="AN50" s="944" t="str">
        <f t="shared" si="2"/>
        <v/>
      </c>
      <c r="AO50" s="949"/>
      <c r="AP50" s="945"/>
      <c r="AQ50" s="944" t="str">
        <f t="shared" si="3"/>
        <v/>
      </c>
      <c r="AR50" s="949"/>
      <c r="AS50" s="1025"/>
      <c r="AT50" s="107"/>
      <c r="AU50" s="923" t="str">
        <f t="shared" si="0"/>
        <v/>
      </c>
      <c r="AV50" s="924"/>
      <c r="AW50" s="924"/>
      <c r="AX50" s="924"/>
      <c r="AY50" s="924"/>
      <c r="AZ50" s="924"/>
      <c r="BA50" s="924"/>
      <c r="BB50" s="924"/>
      <c r="BC50" s="924"/>
      <c r="BD50" s="925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</row>
    <row r="51" spans="1:71" ht="12" customHeight="1" x14ac:dyDescent="0.2">
      <c r="A51" s="926"/>
      <c r="B51" s="927"/>
      <c r="C51" s="927"/>
      <c r="D51" s="927"/>
      <c r="E51" s="927"/>
      <c r="F51" s="927"/>
      <c r="G51" s="927"/>
      <c r="H51" s="453"/>
      <c r="I51" s="453"/>
      <c r="J51" s="453"/>
      <c r="K51" s="453"/>
      <c r="L51" s="453"/>
      <c r="M51" s="453"/>
      <c r="N51" s="453"/>
      <c r="O51" s="453"/>
      <c r="P51" s="453"/>
      <c r="Q51" s="453"/>
      <c r="R51" s="453"/>
      <c r="S51" s="453"/>
      <c r="T51" s="638"/>
      <c r="U51" s="638"/>
      <c r="V51" s="638"/>
      <c r="W51" s="638"/>
      <c r="X51" s="638"/>
      <c r="Y51" s="638"/>
      <c r="Z51" s="638"/>
      <c r="AA51" s="638"/>
      <c r="AB51" s="638"/>
      <c r="AC51" s="638"/>
      <c r="AD51" s="638"/>
      <c r="AE51" s="638"/>
      <c r="AF51" s="400"/>
      <c r="AG51" s="400"/>
      <c r="AH51" s="400"/>
      <c r="AI51" s="401"/>
      <c r="AJ51" s="107"/>
      <c r="AK51" s="1024" t="str">
        <f t="shared" si="1"/>
        <v/>
      </c>
      <c r="AL51" s="949"/>
      <c r="AM51" s="945"/>
      <c r="AN51" s="944" t="str">
        <f t="shared" si="2"/>
        <v/>
      </c>
      <c r="AO51" s="949"/>
      <c r="AP51" s="945"/>
      <c r="AQ51" s="944" t="str">
        <f t="shared" si="3"/>
        <v/>
      </c>
      <c r="AR51" s="949"/>
      <c r="AS51" s="1025"/>
      <c r="AT51" s="107"/>
      <c r="AU51" s="923" t="str">
        <f t="shared" si="0"/>
        <v/>
      </c>
      <c r="AV51" s="924"/>
      <c r="AW51" s="924"/>
      <c r="AX51" s="924"/>
      <c r="AY51" s="924"/>
      <c r="AZ51" s="924"/>
      <c r="BA51" s="924"/>
      <c r="BB51" s="924"/>
      <c r="BC51" s="924"/>
      <c r="BD51" s="925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</row>
    <row r="52" spans="1:71" ht="12" customHeight="1" x14ac:dyDescent="0.2">
      <c r="A52" s="926"/>
      <c r="B52" s="927"/>
      <c r="C52" s="927"/>
      <c r="D52" s="927"/>
      <c r="E52" s="927"/>
      <c r="F52" s="927"/>
      <c r="G52" s="927"/>
      <c r="H52" s="453"/>
      <c r="I52" s="453"/>
      <c r="J52" s="453"/>
      <c r="K52" s="453"/>
      <c r="L52" s="453"/>
      <c r="M52" s="453"/>
      <c r="N52" s="453"/>
      <c r="O52" s="453"/>
      <c r="P52" s="453"/>
      <c r="Q52" s="453"/>
      <c r="R52" s="453"/>
      <c r="S52" s="453"/>
      <c r="T52" s="638"/>
      <c r="U52" s="638"/>
      <c r="V52" s="638"/>
      <c r="W52" s="638"/>
      <c r="X52" s="638"/>
      <c r="Y52" s="638"/>
      <c r="Z52" s="638"/>
      <c r="AA52" s="638"/>
      <c r="AB52" s="638"/>
      <c r="AC52" s="638"/>
      <c r="AD52" s="638"/>
      <c r="AE52" s="638"/>
      <c r="AF52" s="400"/>
      <c r="AG52" s="400"/>
      <c r="AH52" s="400"/>
      <c r="AI52" s="401"/>
      <c r="AJ52" s="107"/>
      <c r="AK52" s="1024" t="str">
        <f t="shared" si="1"/>
        <v/>
      </c>
      <c r="AL52" s="949"/>
      <c r="AM52" s="945"/>
      <c r="AN52" s="944" t="str">
        <f>IFERROR(($AK$56*Q52),"")</f>
        <v/>
      </c>
      <c r="AO52" s="949"/>
      <c r="AP52" s="945"/>
      <c r="AQ52" s="944" t="str">
        <f t="shared" si="3"/>
        <v/>
      </c>
      <c r="AR52" s="949"/>
      <c r="AS52" s="1025"/>
      <c r="AT52" s="107"/>
      <c r="AU52" s="923" t="str">
        <f t="shared" si="0"/>
        <v/>
      </c>
      <c r="AV52" s="924"/>
      <c r="AW52" s="924"/>
      <c r="AX52" s="924"/>
      <c r="AY52" s="924"/>
      <c r="AZ52" s="924"/>
      <c r="BA52" s="924"/>
      <c r="BB52" s="924"/>
      <c r="BC52" s="924"/>
      <c r="BD52" s="925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</row>
    <row r="53" spans="1:71" ht="12" customHeight="1" thickBot="1" x14ac:dyDescent="0.25">
      <c r="A53" s="618" t="s">
        <v>379</v>
      </c>
      <c r="B53" s="619"/>
      <c r="C53" s="619"/>
      <c r="D53" s="619"/>
      <c r="E53" s="619"/>
      <c r="F53" s="619"/>
      <c r="G53" s="619"/>
      <c r="H53" s="619"/>
      <c r="I53" s="619"/>
      <c r="J53" s="619"/>
      <c r="K53" s="619"/>
      <c r="L53" s="619"/>
      <c r="M53" s="619"/>
      <c r="N53" s="619"/>
      <c r="O53" s="619"/>
      <c r="P53" s="619"/>
      <c r="Q53" s="350" t="str">
        <f>IF(SUM(Q36:S52)&lt;&gt;0,SUM(Q36:S52),"")</f>
        <v/>
      </c>
      <c r="R53" s="350"/>
      <c r="S53" s="350"/>
      <c r="T53" s="350" t="str">
        <f>IF(SUM(T36:V52)&lt;&gt;0,SUM(T36:V52),"")</f>
        <v/>
      </c>
      <c r="U53" s="350"/>
      <c r="V53" s="350"/>
      <c r="W53" s="350" t="str">
        <f>IF(SUM(W36:Y52)&lt;&gt;0,SUM(W36:Y52),"")</f>
        <v/>
      </c>
      <c r="X53" s="350"/>
      <c r="Y53" s="350"/>
      <c r="Z53" s="350" t="str">
        <f>IF(SUM(Z36:AB52)&lt;&gt;0,SUM(Z36:AB52),"")</f>
        <v/>
      </c>
      <c r="AA53" s="350"/>
      <c r="AB53" s="350"/>
      <c r="AC53" s="350" t="str">
        <f>IF(SUM(AC36:AE52)&lt;&gt;0,SUM(AC36:AE52),"")</f>
        <v/>
      </c>
      <c r="AD53" s="350"/>
      <c r="AE53" s="350"/>
      <c r="AF53" s="616"/>
      <c r="AG53" s="616"/>
      <c r="AH53" s="616"/>
      <c r="AI53" s="617"/>
      <c r="AJ53" s="107"/>
      <c r="AK53" s="1024"/>
      <c r="AL53" s="949"/>
      <c r="AM53" s="945"/>
      <c r="AN53" s="944"/>
      <c r="AO53" s="949"/>
      <c r="AP53" s="945"/>
      <c r="AQ53" s="944"/>
      <c r="AR53" s="949"/>
      <c r="AS53" s="1025"/>
      <c r="AT53" s="107"/>
      <c r="AU53" s="917" t="str">
        <f>IFERROR(IF(AC53="","",IF(AC53&lt;Q53-(Q53*$BB$33),"Below "&amp;$BB$33*100&amp;"% by "&amp;Q53-(Q53*$BB$33)-AC53&amp;" CFM",IF(AC53&gt;Q53+(Q53*$BB$32),"Above "&amp;$BB$32*100&amp;"% by "&amp;AC53-Q53-(Q53*$BB$32)&amp;" CFM",""))),"")</f>
        <v/>
      </c>
      <c r="AV53" s="918"/>
      <c r="AW53" s="918"/>
      <c r="AX53" s="918"/>
      <c r="AY53" s="918"/>
      <c r="AZ53" s="918"/>
      <c r="BA53" s="918"/>
      <c r="BB53" s="918"/>
      <c r="BC53" s="918"/>
      <c r="BD53" s="919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</row>
    <row r="54" spans="1:71" ht="12" customHeight="1" x14ac:dyDescent="0.2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24"/>
      <c r="AL54" s="949"/>
      <c r="AM54" s="945"/>
      <c r="AN54" s="944"/>
      <c r="AO54" s="949"/>
      <c r="AP54" s="945"/>
      <c r="AQ54" s="944"/>
      <c r="AR54" s="949"/>
      <c r="AS54" s="1025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</row>
    <row r="55" spans="1:71" ht="12" customHeight="1" x14ac:dyDescent="0.2">
      <c r="A55" s="42" t="s">
        <v>262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24"/>
      <c r="AL55" s="949"/>
      <c r="AM55" s="945"/>
      <c r="AN55" s="944"/>
      <c r="AO55" s="949"/>
      <c r="AP55" s="945"/>
      <c r="AQ55" s="944"/>
      <c r="AR55" s="949"/>
      <c r="AS55" s="1025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</row>
    <row r="56" spans="1:71" ht="12" customHeight="1" thickBot="1" x14ac:dyDescent="0.25">
      <c r="A56" s="84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107"/>
      <c r="AK56" s="1026" t="str">
        <f>IFERROR((T53/Q53),"")</f>
        <v/>
      </c>
      <c r="AL56" s="1027"/>
      <c r="AM56" s="1028"/>
      <c r="AN56" s="1029"/>
      <c r="AO56" s="1027"/>
      <c r="AP56" s="1028"/>
      <c r="AQ56" s="1029"/>
      <c r="AR56" s="1027"/>
      <c r="AS56" s="1030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</row>
    <row r="57" spans="1:71" ht="12" customHeight="1" x14ac:dyDescent="0.2">
      <c r="A57" s="84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</row>
    <row r="58" spans="1:71" ht="12" customHeight="1" x14ac:dyDescent="0.2">
      <c r="A58" s="84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</row>
    <row r="59" spans="1:71" ht="12" customHeight="1" x14ac:dyDescent="0.2">
      <c r="A59" s="84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</row>
    <row r="60" spans="1:71" ht="12" customHeight="1" x14ac:dyDescent="0.2">
      <c r="A60" s="84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</row>
    <row r="61" spans="1:71" ht="12" customHeight="1" x14ac:dyDescent="0.2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</row>
    <row r="62" spans="1:71" ht="12.75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</row>
  </sheetData>
  <mergeCells count="418">
    <mergeCell ref="A9:E9"/>
    <mergeCell ref="F9:P9"/>
    <mergeCell ref="T9:X9"/>
    <mergeCell ref="Y9:AI9"/>
    <mergeCell ref="A11:P11"/>
    <mergeCell ref="S11:AI11"/>
    <mergeCell ref="AJ1:BS1"/>
    <mergeCell ref="M5:AI5"/>
    <mergeCell ref="A7:E7"/>
    <mergeCell ref="F7:P7"/>
    <mergeCell ref="T7:X7"/>
    <mergeCell ref="Y7:AI7"/>
    <mergeCell ref="AK11:BO11"/>
    <mergeCell ref="AZ12:BG12"/>
    <mergeCell ref="BH12:BO12"/>
    <mergeCell ref="A13:F13"/>
    <mergeCell ref="G13:K13"/>
    <mergeCell ref="M13:P13"/>
    <mergeCell ref="S13:Y13"/>
    <mergeCell ref="Z13:AD13"/>
    <mergeCell ref="AE13:AI13"/>
    <mergeCell ref="AK13:AM13"/>
    <mergeCell ref="AN13:AP13"/>
    <mergeCell ref="A12:F12"/>
    <mergeCell ref="G12:P12"/>
    <mergeCell ref="S12:Y12"/>
    <mergeCell ref="Z12:AD12"/>
    <mergeCell ref="AE12:AI12"/>
    <mergeCell ref="AK12:AM12"/>
    <mergeCell ref="AN12:AP12"/>
    <mergeCell ref="AQ12:AS12"/>
    <mergeCell ref="AT12:AY12"/>
    <mergeCell ref="A15:F15"/>
    <mergeCell ref="G15:P15"/>
    <mergeCell ref="S15:Y15"/>
    <mergeCell ref="Z15:AD15"/>
    <mergeCell ref="AE15:AI15"/>
    <mergeCell ref="AQ13:AS13"/>
    <mergeCell ref="AT13:AY13"/>
    <mergeCell ref="AZ13:BG13"/>
    <mergeCell ref="BH13:BO13"/>
    <mergeCell ref="A14:F14"/>
    <mergeCell ref="G14:P14"/>
    <mergeCell ref="S14:Y14"/>
    <mergeCell ref="Z14:AD14"/>
    <mergeCell ref="AE14:AI14"/>
    <mergeCell ref="AK14:AM14"/>
    <mergeCell ref="AK15:AM15"/>
    <mergeCell ref="AN15:AP15"/>
    <mergeCell ref="AQ15:AS15"/>
    <mergeCell ref="AT15:AY15"/>
    <mergeCell ref="AZ15:BG15"/>
    <mergeCell ref="BH15:BO15"/>
    <mergeCell ref="AN14:AP14"/>
    <mergeCell ref="AQ14:AS14"/>
    <mergeCell ref="AT14:AY14"/>
    <mergeCell ref="AZ14:BG14"/>
    <mergeCell ref="BH14:BO14"/>
    <mergeCell ref="Z18:AD18"/>
    <mergeCell ref="AE18:AI18"/>
    <mergeCell ref="AT18:AY18"/>
    <mergeCell ref="A19:F19"/>
    <mergeCell ref="G19:P19"/>
    <mergeCell ref="T19:Y19"/>
    <mergeCell ref="Z19:AD19"/>
    <mergeCell ref="AE19:AI19"/>
    <mergeCell ref="AZ16:BO16"/>
    <mergeCell ref="A17:F17"/>
    <mergeCell ref="G17:P17"/>
    <mergeCell ref="T17:AI17"/>
    <mergeCell ref="AK17:AS18"/>
    <mergeCell ref="AT17:AY17"/>
    <mergeCell ref="AZ17:BO18"/>
    <mergeCell ref="A18:F18"/>
    <mergeCell ref="G18:P18"/>
    <mergeCell ref="T18:Y18"/>
    <mergeCell ref="A16:F16"/>
    <mergeCell ref="G16:P16"/>
    <mergeCell ref="AK16:AM16"/>
    <mergeCell ref="AN16:AP16"/>
    <mergeCell ref="AQ16:AS16"/>
    <mergeCell ref="AT16:AY16"/>
    <mergeCell ref="BF20:BS20"/>
    <mergeCell ref="T21:Y21"/>
    <mergeCell ref="Z21:AD21"/>
    <mergeCell ref="AE21:AI21"/>
    <mergeCell ref="AK21:AO21"/>
    <mergeCell ref="AP21:AT21"/>
    <mergeCell ref="AU21:AY21"/>
    <mergeCell ref="A20:F20"/>
    <mergeCell ref="G20:P20"/>
    <mergeCell ref="T20:Y20"/>
    <mergeCell ref="Z20:AD20"/>
    <mergeCell ref="AE20:AI20"/>
    <mergeCell ref="AK20:AY20"/>
    <mergeCell ref="AU22:AY22"/>
    <mergeCell ref="A23:K23"/>
    <mergeCell ref="L23:N23"/>
    <mergeCell ref="O23:P23"/>
    <mergeCell ref="AK23:AO23"/>
    <mergeCell ref="AP23:AT23"/>
    <mergeCell ref="AU23:AY23"/>
    <mergeCell ref="A22:P22"/>
    <mergeCell ref="T22:Y22"/>
    <mergeCell ref="Z22:AD22"/>
    <mergeCell ref="AE22:AI22"/>
    <mergeCell ref="AK22:AO22"/>
    <mergeCell ref="AP22:AT22"/>
    <mergeCell ref="T26:Y26"/>
    <mergeCell ref="Z26:AI26"/>
    <mergeCell ref="AK26:AO26"/>
    <mergeCell ref="AP26:AT26"/>
    <mergeCell ref="AU26:AY26"/>
    <mergeCell ref="T27:Y27"/>
    <mergeCell ref="Z27:AI27"/>
    <mergeCell ref="T24:AI24"/>
    <mergeCell ref="AK24:AO24"/>
    <mergeCell ref="AP24:AT24"/>
    <mergeCell ref="AU24:AY24"/>
    <mergeCell ref="T25:Y25"/>
    <mergeCell ref="Z25:AD25"/>
    <mergeCell ref="AF25:AI25"/>
    <mergeCell ref="AK25:AO25"/>
    <mergeCell ref="AP25:AT25"/>
    <mergeCell ref="AU25:AY25"/>
    <mergeCell ref="T30:Y30"/>
    <mergeCell ref="Z30:AD30"/>
    <mergeCell ref="AE30:AI30"/>
    <mergeCell ref="AV31:BC31"/>
    <mergeCell ref="AV32:BA32"/>
    <mergeCell ref="BB32:BC32"/>
    <mergeCell ref="T28:Y28"/>
    <mergeCell ref="Z28:AD28"/>
    <mergeCell ref="AE28:AI28"/>
    <mergeCell ref="T29:Y29"/>
    <mergeCell ref="Z29:AD29"/>
    <mergeCell ref="AE29:AI29"/>
    <mergeCell ref="AU35:BD35"/>
    <mergeCell ref="AK33:AS35"/>
    <mergeCell ref="AV33:BA33"/>
    <mergeCell ref="BB33:BC33"/>
    <mergeCell ref="A34:G35"/>
    <mergeCell ref="H34:P34"/>
    <mergeCell ref="Q34:S35"/>
    <mergeCell ref="T34:AB34"/>
    <mergeCell ref="AC34:AE35"/>
    <mergeCell ref="AF34:AI35"/>
    <mergeCell ref="H35:J35"/>
    <mergeCell ref="K36:M36"/>
    <mergeCell ref="N36:P36"/>
    <mergeCell ref="Q36:S36"/>
    <mergeCell ref="T36:V36"/>
    <mergeCell ref="K35:M35"/>
    <mergeCell ref="N35:P35"/>
    <mergeCell ref="T35:V35"/>
    <mergeCell ref="W35:Y35"/>
    <mergeCell ref="Z35:AB35"/>
    <mergeCell ref="AC37:AE37"/>
    <mergeCell ref="AF37:AI37"/>
    <mergeCell ref="AK37:AM37"/>
    <mergeCell ref="AN37:AP37"/>
    <mergeCell ref="AQ37:AS37"/>
    <mergeCell ref="AU37:BD37"/>
    <mergeCell ref="AQ36:AS36"/>
    <mergeCell ref="AU36:BD36"/>
    <mergeCell ref="A37:G37"/>
    <mergeCell ref="H37:J37"/>
    <mergeCell ref="K37:M37"/>
    <mergeCell ref="N37:P37"/>
    <mergeCell ref="Q37:S37"/>
    <mergeCell ref="T37:V37"/>
    <mergeCell ref="W37:Y37"/>
    <mergeCell ref="Z37:AB37"/>
    <mergeCell ref="W36:Y36"/>
    <mergeCell ref="Z36:AB36"/>
    <mergeCell ref="AC36:AE36"/>
    <mergeCell ref="AF36:AI36"/>
    <mergeCell ref="AK36:AM36"/>
    <mergeCell ref="AN36:AP36"/>
    <mergeCell ref="A36:G36"/>
    <mergeCell ref="H36:J36"/>
    <mergeCell ref="AU39:BD39"/>
    <mergeCell ref="AQ38:AS38"/>
    <mergeCell ref="AU38:BD38"/>
    <mergeCell ref="A39:G39"/>
    <mergeCell ref="H39:J39"/>
    <mergeCell ref="K39:M39"/>
    <mergeCell ref="N39:P39"/>
    <mergeCell ref="Q39:S39"/>
    <mergeCell ref="T39:V39"/>
    <mergeCell ref="W39:Y39"/>
    <mergeCell ref="Z39:AB39"/>
    <mergeCell ref="W38:Y38"/>
    <mergeCell ref="Z38:AB38"/>
    <mergeCell ref="AC38:AE38"/>
    <mergeCell ref="AF38:AI38"/>
    <mergeCell ref="AK38:AM38"/>
    <mergeCell ref="AN38:AP38"/>
    <mergeCell ref="A38:G38"/>
    <mergeCell ref="H38:J38"/>
    <mergeCell ref="K38:M38"/>
    <mergeCell ref="N38:P38"/>
    <mergeCell ref="Q38:S38"/>
    <mergeCell ref="T38:V38"/>
    <mergeCell ref="K40:M40"/>
    <mergeCell ref="N40:P40"/>
    <mergeCell ref="Q40:S40"/>
    <mergeCell ref="T40:V40"/>
    <mergeCell ref="AC39:AE39"/>
    <mergeCell ref="AF39:AI39"/>
    <mergeCell ref="AK39:AM39"/>
    <mergeCell ref="AN39:AP39"/>
    <mergeCell ref="AQ39:AS39"/>
    <mergeCell ref="AC41:AE41"/>
    <mergeCell ref="AF41:AI41"/>
    <mergeCell ref="AK41:AM41"/>
    <mergeCell ref="AN41:AP41"/>
    <mergeCell ref="AQ41:AS41"/>
    <mergeCell ref="AU41:BD41"/>
    <mergeCell ref="AQ40:AS40"/>
    <mergeCell ref="AU40:BD40"/>
    <mergeCell ref="A41:G41"/>
    <mergeCell ref="H41:J41"/>
    <mergeCell ref="K41:M41"/>
    <mergeCell ref="N41:P41"/>
    <mergeCell ref="Q41:S41"/>
    <mergeCell ref="T41:V41"/>
    <mergeCell ref="W41:Y41"/>
    <mergeCell ref="Z41:AB41"/>
    <mergeCell ref="W40:Y40"/>
    <mergeCell ref="Z40:AB40"/>
    <mergeCell ref="AC40:AE40"/>
    <mergeCell ref="AF40:AI40"/>
    <mergeCell ref="AK40:AM40"/>
    <mergeCell ref="AN40:AP40"/>
    <mergeCell ref="A40:G40"/>
    <mergeCell ref="H40:J40"/>
    <mergeCell ref="AU43:BD43"/>
    <mergeCell ref="AQ42:AS42"/>
    <mergeCell ref="AU42:BD42"/>
    <mergeCell ref="A43:G43"/>
    <mergeCell ref="H43:J43"/>
    <mergeCell ref="K43:M43"/>
    <mergeCell ref="N43:P43"/>
    <mergeCell ref="Q43:S43"/>
    <mergeCell ref="T43:V43"/>
    <mergeCell ref="W43:Y43"/>
    <mergeCell ref="Z43:AB43"/>
    <mergeCell ref="W42:Y42"/>
    <mergeCell ref="Z42:AB42"/>
    <mergeCell ref="AC42:AE42"/>
    <mergeCell ref="AF42:AI42"/>
    <mergeCell ref="AK42:AM42"/>
    <mergeCell ref="AN42:AP42"/>
    <mergeCell ref="A42:G42"/>
    <mergeCell ref="H42:J42"/>
    <mergeCell ref="K42:M42"/>
    <mergeCell ref="N42:P42"/>
    <mergeCell ref="Q42:S42"/>
    <mergeCell ref="T42:V42"/>
    <mergeCell ref="K44:M44"/>
    <mergeCell ref="N44:P44"/>
    <mergeCell ref="Q44:S44"/>
    <mergeCell ref="T44:V44"/>
    <mergeCell ref="AC43:AE43"/>
    <mergeCell ref="AF43:AI43"/>
    <mergeCell ref="AK43:AM43"/>
    <mergeCell ref="AN43:AP43"/>
    <mergeCell ref="AQ43:AS43"/>
    <mergeCell ref="AC45:AE45"/>
    <mergeCell ref="AF45:AI45"/>
    <mergeCell ref="AK45:AM45"/>
    <mergeCell ref="AN45:AP45"/>
    <mergeCell ref="AQ45:AS45"/>
    <mergeCell ref="AU45:BD45"/>
    <mergeCell ref="AQ44:AS44"/>
    <mergeCell ref="AU44:BD44"/>
    <mergeCell ref="A45:G45"/>
    <mergeCell ref="H45:J45"/>
    <mergeCell ref="K45:M45"/>
    <mergeCell ref="N45:P45"/>
    <mergeCell ref="Q45:S45"/>
    <mergeCell ref="T45:V45"/>
    <mergeCell ref="W45:Y45"/>
    <mergeCell ref="Z45:AB45"/>
    <mergeCell ref="W44:Y44"/>
    <mergeCell ref="Z44:AB44"/>
    <mergeCell ref="AC44:AE44"/>
    <mergeCell ref="AF44:AI44"/>
    <mergeCell ref="AK44:AM44"/>
    <mergeCell ref="AN44:AP44"/>
    <mergeCell ref="A44:G44"/>
    <mergeCell ref="H44:J44"/>
    <mergeCell ref="AU47:BD47"/>
    <mergeCell ref="AQ46:AS46"/>
    <mergeCell ref="AU46:BD46"/>
    <mergeCell ref="A47:G47"/>
    <mergeCell ref="H47:J47"/>
    <mergeCell ref="K47:M47"/>
    <mergeCell ref="N47:P47"/>
    <mergeCell ref="Q47:S47"/>
    <mergeCell ref="T47:V47"/>
    <mergeCell ref="W47:Y47"/>
    <mergeCell ref="Z47:AB47"/>
    <mergeCell ref="W46:Y46"/>
    <mergeCell ref="Z46:AB46"/>
    <mergeCell ref="AC46:AE46"/>
    <mergeCell ref="AF46:AI46"/>
    <mergeCell ref="AK46:AM46"/>
    <mergeCell ref="AN46:AP46"/>
    <mergeCell ref="A46:G46"/>
    <mergeCell ref="H46:J46"/>
    <mergeCell ref="K46:M46"/>
    <mergeCell ref="N46:P46"/>
    <mergeCell ref="Q46:S46"/>
    <mergeCell ref="T46:V46"/>
    <mergeCell ref="K48:M48"/>
    <mergeCell ref="N48:P48"/>
    <mergeCell ref="Q48:S48"/>
    <mergeCell ref="T48:V48"/>
    <mergeCell ref="AC47:AE47"/>
    <mergeCell ref="AF47:AI47"/>
    <mergeCell ref="AK47:AM47"/>
    <mergeCell ref="AN47:AP47"/>
    <mergeCell ref="AQ47:AS47"/>
    <mergeCell ref="AC49:AE49"/>
    <mergeCell ref="AF49:AI49"/>
    <mergeCell ref="AK49:AM49"/>
    <mergeCell ref="AN49:AP49"/>
    <mergeCell ref="AQ49:AS49"/>
    <mergeCell ref="AU49:BD49"/>
    <mergeCell ref="AQ48:AS48"/>
    <mergeCell ref="AU48:BD48"/>
    <mergeCell ref="A49:G49"/>
    <mergeCell ref="H49:J49"/>
    <mergeCell ref="K49:M49"/>
    <mergeCell ref="N49:P49"/>
    <mergeCell ref="Q49:S49"/>
    <mergeCell ref="T49:V49"/>
    <mergeCell ref="W49:Y49"/>
    <mergeCell ref="Z49:AB49"/>
    <mergeCell ref="W48:Y48"/>
    <mergeCell ref="Z48:AB48"/>
    <mergeCell ref="AC48:AE48"/>
    <mergeCell ref="AF48:AI48"/>
    <mergeCell ref="AK48:AM48"/>
    <mergeCell ref="AN48:AP48"/>
    <mergeCell ref="A48:G48"/>
    <mergeCell ref="H48:J48"/>
    <mergeCell ref="AU51:BD51"/>
    <mergeCell ref="AQ50:AS50"/>
    <mergeCell ref="AU50:BD50"/>
    <mergeCell ref="A51:G51"/>
    <mergeCell ref="H51:J51"/>
    <mergeCell ref="K51:M51"/>
    <mergeCell ref="N51:P51"/>
    <mergeCell ref="Q51:S51"/>
    <mergeCell ref="T51:V51"/>
    <mergeCell ref="W51:Y51"/>
    <mergeCell ref="Z51:AB51"/>
    <mergeCell ref="W50:Y50"/>
    <mergeCell ref="Z50:AB50"/>
    <mergeCell ref="AC50:AE50"/>
    <mergeCell ref="AF50:AI50"/>
    <mergeCell ref="AK50:AM50"/>
    <mergeCell ref="AN50:AP50"/>
    <mergeCell ref="A50:G50"/>
    <mergeCell ref="H50:J50"/>
    <mergeCell ref="K50:M50"/>
    <mergeCell ref="N50:P50"/>
    <mergeCell ref="Q50:S50"/>
    <mergeCell ref="T50:V50"/>
    <mergeCell ref="K52:M52"/>
    <mergeCell ref="N52:P52"/>
    <mergeCell ref="Q52:S52"/>
    <mergeCell ref="T52:V52"/>
    <mergeCell ref="AC51:AE51"/>
    <mergeCell ref="AF51:AI51"/>
    <mergeCell ref="AK51:AM51"/>
    <mergeCell ref="AN51:AP51"/>
    <mergeCell ref="AQ51:AS51"/>
    <mergeCell ref="AN53:AP53"/>
    <mergeCell ref="AQ53:AS53"/>
    <mergeCell ref="AU53:BD53"/>
    <mergeCell ref="AK54:AM54"/>
    <mergeCell ref="AN54:AP54"/>
    <mergeCell ref="AQ54:AS54"/>
    <mergeCell ref="AQ52:AS52"/>
    <mergeCell ref="AU52:BD52"/>
    <mergeCell ref="A53:P53"/>
    <mergeCell ref="Q53:S53"/>
    <mergeCell ref="T53:V53"/>
    <mergeCell ref="W53:Y53"/>
    <mergeCell ref="Z53:AB53"/>
    <mergeCell ref="AC53:AE53"/>
    <mergeCell ref="AF53:AI53"/>
    <mergeCell ref="AK53:AM53"/>
    <mergeCell ref="W52:Y52"/>
    <mergeCell ref="Z52:AB52"/>
    <mergeCell ref="AC52:AE52"/>
    <mergeCell ref="AF52:AI52"/>
    <mergeCell ref="AK52:AM52"/>
    <mergeCell ref="AN52:AP52"/>
    <mergeCell ref="A52:G52"/>
    <mergeCell ref="H52:J52"/>
    <mergeCell ref="B57:AI57"/>
    <mergeCell ref="B58:AI58"/>
    <mergeCell ref="B59:AI59"/>
    <mergeCell ref="B60:AI60"/>
    <mergeCell ref="E62:K62"/>
    <mergeCell ref="V62:AI62"/>
    <mergeCell ref="AK55:AM55"/>
    <mergeCell ref="AN55:AP55"/>
    <mergeCell ref="AQ55:AS55"/>
    <mergeCell ref="B56:AI56"/>
    <mergeCell ref="AK56:AM56"/>
    <mergeCell ref="AN56:AP56"/>
    <mergeCell ref="AQ56:AS56"/>
  </mergeCells>
  <conditionalFormatting sqref="AU36:BD52">
    <cfRule type="notContainsBlanks" dxfId="162" priority="22">
      <formula>LEN(TRIM(AU36))&gt;0</formula>
    </cfRule>
  </conditionalFormatting>
  <conditionalFormatting sqref="V62:AI62 E62:K62 G18:P20 G14:P16 G13:K13 G12:P12 Y9:AI9 Y7:AI7 F9:P9 F7:P7 BB32:BC33 Z13:AD15 AE13 Z19:Z22">
    <cfRule type="containsBlanks" dxfId="161" priority="21">
      <formula>LEN(TRIM(E7))=0</formula>
    </cfRule>
  </conditionalFormatting>
  <conditionalFormatting sqref="Q53:AE53">
    <cfRule type="containsText" dxfId="160" priority="20" operator="containsText" text="CALC.">
      <formula>NOT(ISERROR(SEARCH("CALC.",Q53)))</formula>
    </cfRule>
  </conditionalFormatting>
  <conditionalFormatting sqref="A36:S52">
    <cfRule type="notContainsBlanks" dxfId="159" priority="18">
      <formula>LEN(TRIM(A36))&gt;0</formula>
    </cfRule>
    <cfRule type="expression" dxfId="158" priority="19">
      <formula>NOT(ISBLANK($H36))</formula>
    </cfRule>
  </conditionalFormatting>
  <conditionalFormatting sqref="AU53:BD53">
    <cfRule type="notContainsBlanks" dxfId="157" priority="17">
      <formula>LEN(TRIM(AU53))&gt;0</formula>
    </cfRule>
  </conditionalFormatting>
  <conditionalFormatting sqref="Z29:AI30">
    <cfRule type="containsBlanks" dxfId="156" priority="16">
      <formula>LEN(TRIM(Z29))=0</formula>
    </cfRule>
  </conditionalFormatting>
  <conditionalFormatting sqref="Z25:AD25 AF25:AI25">
    <cfRule type="containsBlanks" dxfId="155" priority="15">
      <formula>LEN(TRIM(Z25))=0</formula>
    </cfRule>
  </conditionalFormatting>
  <conditionalFormatting sqref="Z26:AI27">
    <cfRule type="containsBlanks" dxfId="154" priority="14">
      <formula>LEN(TRIM(Z26))=0</formula>
    </cfRule>
  </conditionalFormatting>
  <conditionalFormatting sqref="T36:AC52">
    <cfRule type="notContainsBlanks" dxfId="153" priority="12">
      <formula>LEN(TRIM(T36))&gt;0</formula>
    </cfRule>
    <cfRule type="expression" dxfId="152" priority="13">
      <formula>NOT(ISBLANK($H36))</formula>
    </cfRule>
  </conditionalFormatting>
  <conditionalFormatting sqref="T36:AB52">
    <cfRule type="expression" dxfId="151" priority="11">
      <formula>$AC36&lt;&gt;""</formula>
    </cfRule>
  </conditionalFormatting>
  <conditionalFormatting sqref="AZ13:BO15">
    <cfRule type="notContainsBlanks" dxfId="150" priority="10">
      <formula>LEN(TRIM(AZ13))&gt;0</formula>
    </cfRule>
  </conditionalFormatting>
  <conditionalFormatting sqref="AN13:AS15 AT18">
    <cfRule type="containsBlanks" dxfId="149" priority="9">
      <formula>LEN(TRIM(AN13))=0</formula>
    </cfRule>
  </conditionalFormatting>
  <conditionalFormatting sqref="AN16:AS16">
    <cfRule type="containsText" dxfId="148" priority="8" operator="containsText" text="CALC.">
      <formula>NOT(ISERROR(SEARCH("CALC.",AN16)))</formula>
    </cfRule>
  </conditionalFormatting>
  <conditionalFormatting sqref="AK14:AS16 AZ12:BO18">
    <cfRule type="expression" dxfId="147" priority="7">
      <formula>$AT$18="Single Phase"</formula>
    </cfRule>
  </conditionalFormatting>
  <conditionalFormatting sqref="AE15:AI15">
    <cfRule type="containsText" dxfId="146" priority="6" operator="containsText" text="CALC.">
      <formula>NOT(ISERROR(SEARCH("CALC.",AE15)))</formula>
    </cfRule>
  </conditionalFormatting>
  <conditionalFormatting sqref="AE14:AI14">
    <cfRule type="containsText" dxfId="145" priority="5" operator="containsText" text="CALC.">
      <formula>NOT(ISERROR(SEARCH("CALC.",AE14)))</formula>
    </cfRule>
  </conditionalFormatting>
  <conditionalFormatting sqref="L23 O23">
    <cfRule type="containsBlanks" dxfId="144" priority="4">
      <formula>LEN(TRIM(L23))=0</formula>
    </cfRule>
  </conditionalFormatting>
  <conditionalFormatting sqref="O23:P23">
    <cfRule type="expression" dxfId="143" priority="3">
      <formula>OR($L$23="HIGH",$L$23="MEDIUM",$L$23="LOW")</formula>
    </cfRule>
  </conditionalFormatting>
  <conditionalFormatting sqref="M13:P13">
    <cfRule type="containsBlanks" dxfId="142" priority="2">
      <formula>LEN(TRIM(M13))=0</formula>
    </cfRule>
  </conditionalFormatting>
  <conditionalFormatting sqref="AE21">
    <cfRule type="containsBlanks" dxfId="141" priority="1">
      <formula>LEN(TRIM(AE21))=0</formula>
    </cfRule>
  </conditionalFormatting>
  <dataValidations count="10">
    <dataValidation type="list" allowBlank="1" showInputMessage="1" sqref="M13:P13" xr:uid="{C9A381C3-5941-4094-ABF6-DFDC03E7AB4B}">
      <formula1>"Rectangular,Round, Oval"</formula1>
    </dataValidation>
    <dataValidation type="list" errorStyle="warning" allowBlank="1" showInputMessage="1" error="Use exact dropdown list (HIGH,MEDIUM,LOW) or input percent value ranging from 0-100 and include &quot;%&quot; symbol on right." sqref="L23:N23" xr:uid="{1A97FE26-F8D0-401E-B358-9632C93A7E72}">
      <formula1>"LOW,MEDIUM,HIGH"</formula1>
    </dataValidation>
    <dataValidation allowBlank="1" showInputMessage="1" showErrorMessage="1" prompt="If PF is unattainable use .80" sqref="AT16:AY16" xr:uid="{30FED793-6421-4F2C-BE9F-66F88D773D17}"/>
    <dataValidation allowBlank="1" showInputMessage="1" showErrorMessage="1" prompt="If EFF is unatainable use .90" sqref="AT14:AY14" xr:uid="{A9DD48C2-AA0B-4765-820E-957F981A441A}"/>
    <dataValidation type="list" allowBlank="1" showInputMessage="1" showErrorMessage="1" promptTitle="Phase Selection" prompt="Select Single or Three Phase" sqref="AT18:AY18" xr:uid="{1968AB20-2ADA-48DD-B791-DA6B6124620F}">
      <formula1>"Single Phase, Three Phase"</formula1>
    </dataValidation>
    <dataValidation allowBlank="1" showInputMessage="1" sqref="G15:P15" xr:uid="{588228FC-6F8E-4D0F-A2CF-A9DFB78FDD98}"/>
    <dataValidation type="list" allowBlank="1" showInputMessage="1" sqref="G13:K13 Z25:AD25" xr:uid="{76E3C08D-5A84-4167-8FC4-AB07474FE964}">
      <formula1>"4,5,6,7,8,9,10,11,12,13,14,15,16,17,18,19,20"</formula1>
    </dataValidation>
    <dataValidation type="list" allowBlank="1" showInputMessage="1" sqref="AF25:AI25" xr:uid="{D9655DF9-1FA0-4FF5-AEDA-8A27F18A586F}">
      <formula1>"Round, Oval"</formula1>
    </dataValidation>
    <dataValidation type="whole" allowBlank="1" showInputMessage="1" showErrorMessage="1" error="This Remarks section is limited to 5." sqref="A56:A60" xr:uid="{86DA810E-BCED-436D-9541-15280582282D}">
      <formula1>1</formula1>
      <formula2>5</formula2>
    </dataValidation>
    <dataValidation type="list" allowBlank="1" showInputMessage="1" sqref="Z13:AI13" xr:uid="{1419F7F3-6A0F-4821-9D3D-83FB6A48C418}">
      <formula1>".17,.25,.33,.5,.75,1,2,3,5,7.5,10,15,20,25,30,40,50,60,75,100,125,150,200"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2929-213D-4320-AF85-84DF76C00616}">
  <sheetPr codeName="Sheet30">
    <pageSetUpPr fitToPage="1"/>
  </sheetPr>
  <dimension ref="A1:BV62"/>
  <sheetViews>
    <sheetView zoomScaleNormal="100" workbookViewId="0">
      <selection activeCell="Z19" sqref="Z19:AD19"/>
    </sheetView>
  </sheetViews>
  <sheetFormatPr defaultColWidth="0" defaultRowHeight="0" customHeight="1" zeroHeight="1" x14ac:dyDescent="0.2"/>
  <cols>
    <col min="1" max="71" width="2.7109375" style="12" customWidth="1"/>
    <col min="72" max="74" width="2.7109375" style="12" hidden="1" customWidth="1"/>
    <col min="75" max="16384" width="9.140625" style="12" hidden="1"/>
  </cols>
  <sheetData>
    <row r="1" spans="1:71" ht="12" customHeight="1" x14ac:dyDescent="0.2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57" t="s">
        <v>159</v>
      </c>
      <c r="AK1" s="957"/>
      <c r="AL1" s="957"/>
      <c r="AM1" s="957"/>
      <c r="AN1" s="957"/>
      <c r="AO1" s="957"/>
      <c r="AP1" s="957"/>
      <c r="AQ1" s="957"/>
      <c r="AR1" s="957"/>
      <c r="AS1" s="957"/>
      <c r="AT1" s="957"/>
      <c r="AU1" s="957"/>
      <c r="AV1" s="957"/>
      <c r="AW1" s="957"/>
      <c r="AX1" s="957"/>
      <c r="AY1" s="957"/>
      <c r="AZ1" s="957"/>
      <c r="BA1" s="957"/>
      <c r="BB1" s="957"/>
      <c r="BC1" s="957"/>
      <c r="BD1" s="957"/>
      <c r="BE1" s="957"/>
      <c r="BF1" s="957"/>
      <c r="BG1" s="957"/>
      <c r="BH1" s="957"/>
      <c r="BI1" s="957"/>
      <c r="BJ1" s="957"/>
      <c r="BK1" s="957"/>
      <c r="BL1" s="957"/>
      <c r="BM1" s="957"/>
      <c r="BN1" s="957"/>
      <c r="BO1" s="957"/>
      <c r="BP1" s="957"/>
      <c r="BQ1" s="957"/>
      <c r="BR1" s="957"/>
      <c r="BS1" s="957"/>
    </row>
    <row r="2" spans="1:71" ht="12" customHeight="1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</row>
    <row r="3" spans="1:71" ht="12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</row>
    <row r="4" spans="1:71" ht="12" customHeight="1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</row>
    <row r="5" spans="1:71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 t="s">
        <v>429</v>
      </c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</row>
    <row r="6" spans="1:71" ht="12" customHeight="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</row>
    <row r="7" spans="1:71" ht="12" customHeight="1" x14ac:dyDescent="0.2">
      <c r="A7" s="526" t="s">
        <v>161</v>
      </c>
      <c r="B7" s="526"/>
      <c r="C7" s="526"/>
      <c r="D7" s="526"/>
      <c r="E7" s="526"/>
      <c r="F7" s="527"/>
      <c r="G7" s="527"/>
      <c r="H7" s="527"/>
      <c r="I7" s="527"/>
      <c r="J7" s="527"/>
      <c r="K7" s="527"/>
      <c r="L7" s="527"/>
      <c r="M7" s="527"/>
      <c r="N7" s="527"/>
      <c r="O7" s="527"/>
      <c r="P7" s="527"/>
      <c r="Q7" s="42"/>
      <c r="R7" s="42"/>
      <c r="S7" s="42"/>
      <c r="T7" s="526" t="s">
        <v>162</v>
      </c>
      <c r="U7" s="526"/>
      <c r="V7" s="526"/>
      <c r="W7" s="526"/>
      <c r="X7" s="526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</row>
    <row r="8" spans="1:71" ht="12" customHeight="1" x14ac:dyDescent="0.2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</row>
    <row r="9" spans="1:71" ht="12" customHeight="1" x14ac:dyDescent="0.2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526" t="s">
        <v>164</v>
      </c>
      <c r="U9" s="526"/>
      <c r="V9" s="526"/>
      <c r="W9" s="526"/>
      <c r="X9" s="526"/>
      <c r="Y9" s="527"/>
      <c r="Z9" s="527"/>
      <c r="AA9" s="527"/>
      <c r="AB9" s="527"/>
      <c r="AC9" s="527"/>
      <c r="AD9" s="527"/>
      <c r="AE9" s="527"/>
      <c r="AF9" s="527"/>
      <c r="AG9" s="527"/>
      <c r="AH9" s="527"/>
      <c r="AI9" s="52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</row>
    <row r="10" spans="1:71" ht="12" customHeight="1" thickBo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</row>
    <row r="11" spans="1:71" ht="12" customHeight="1" thickBot="1" x14ac:dyDescent="0.25">
      <c r="A11" s="314" t="s">
        <v>419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6"/>
      <c r="Q11" s="42"/>
      <c r="R11" s="42"/>
      <c r="S11" s="314" t="s">
        <v>420</v>
      </c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15"/>
      <c r="AH11" s="315"/>
      <c r="AI11" s="316"/>
      <c r="AJ11" s="107"/>
      <c r="AK11" s="471" t="s">
        <v>421</v>
      </c>
      <c r="AL11" s="472"/>
      <c r="AM11" s="472"/>
      <c r="AN11" s="472"/>
      <c r="AO11" s="472"/>
      <c r="AP11" s="472"/>
      <c r="AQ11" s="472"/>
      <c r="AR11" s="472"/>
      <c r="AS11" s="472"/>
      <c r="AT11" s="472"/>
      <c r="AU11" s="472"/>
      <c r="AV11" s="472"/>
      <c r="AW11" s="472"/>
      <c r="AX11" s="472"/>
      <c r="AY11" s="472"/>
      <c r="AZ11" s="472"/>
      <c r="BA11" s="472"/>
      <c r="BB11" s="472"/>
      <c r="BC11" s="472"/>
      <c r="BD11" s="472"/>
      <c r="BE11" s="472"/>
      <c r="BF11" s="472"/>
      <c r="BG11" s="472"/>
      <c r="BH11" s="472"/>
      <c r="BI11" s="472"/>
      <c r="BJ11" s="472"/>
      <c r="BK11" s="472"/>
      <c r="BL11" s="472"/>
      <c r="BM11" s="472"/>
      <c r="BN11" s="472"/>
      <c r="BO11" s="473"/>
      <c r="BP11" s="107"/>
      <c r="BQ11" s="107"/>
      <c r="BR11" s="107"/>
      <c r="BS11" s="107"/>
    </row>
    <row r="12" spans="1:71" ht="14.25" thickTop="1" x14ac:dyDescent="0.2">
      <c r="A12" s="455" t="s">
        <v>422</v>
      </c>
      <c r="B12" s="456"/>
      <c r="C12" s="456"/>
      <c r="D12" s="456"/>
      <c r="E12" s="456"/>
      <c r="F12" s="456"/>
      <c r="G12" s="453"/>
      <c r="H12" s="453"/>
      <c r="I12" s="453"/>
      <c r="J12" s="453"/>
      <c r="K12" s="453"/>
      <c r="L12" s="453"/>
      <c r="M12" s="453"/>
      <c r="N12" s="453"/>
      <c r="O12" s="453"/>
      <c r="P12" s="454"/>
      <c r="Q12" s="42"/>
      <c r="R12" s="42"/>
      <c r="S12" s="1016"/>
      <c r="T12" s="1017"/>
      <c r="U12" s="1017"/>
      <c r="V12" s="1017"/>
      <c r="W12" s="1017"/>
      <c r="X12" s="1017"/>
      <c r="Y12" s="1017"/>
      <c r="Z12" s="869" t="s">
        <v>197</v>
      </c>
      <c r="AA12" s="869"/>
      <c r="AB12" s="869"/>
      <c r="AC12" s="869"/>
      <c r="AD12" s="869"/>
      <c r="AE12" s="869" t="s">
        <v>199</v>
      </c>
      <c r="AF12" s="869"/>
      <c r="AG12" s="869"/>
      <c r="AH12" s="869"/>
      <c r="AI12" s="1018"/>
      <c r="AJ12" s="107"/>
      <c r="AK12" s="736"/>
      <c r="AL12" s="737"/>
      <c r="AM12" s="738"/>
      <c r="AN12" s="327" t="s">
        <v>170</v>
      </c>
      <c r="AO12" s="327"/>
      <c r="AP12" s="327"/>
      <c r="AQ12" s="327" t="s">
        <v>171</v>
      </c>
      <c r="AR12" s="327"/>
      <c r="AS12" s="327"/>
      <c r="AT12" s="1022"/>
      <c r="AU12" s="1022"/>
      <c r="AV12" s="1022"/>
      <c r="AW12" s="1022"/>
      <c r="AX12" s="1022"/>
      <c r="AY12" s="1023"/>
      <c r="AZ12" s="327" t="s">
        <v>172</v>
      </c>
      <c r="BA12" s="327"/>
      <c r="BB12" s="327"/>
      <c r="BC12" s="327"/>
      <c r="BD12" s="327"/>
      <c r="BE12" s="327"/>
      <c r="BF12" s="327"/>
      <c r="BG12" s="327"/>
      <c r="BH12" s="1004" t="s">
        <v>173</v>
      </c>
      <c r="BI12" s="1005"/>
      <c r="BJ12" s="1005"/>
      <c r="BK12" s="1005"/>
      <c r="BL12" s="1005"/>
      <c r="BM12" s="1005"/>
      <c r="BN12" s="1005"/>
      <c r="BO12" s="1006"/>
      <c r="BP12" s="107"/>
      <c r="BQ12" s="107"/>
      <c r="BR12" s="107"/>
      <c r="BS12" s="107"/>
    </row>
    <row r="13" spans="1:71" ht="12" customHeight="1" x14ac:dyDescent="0.2">
      <c r="A13" s="333" t="s">
        <v>389</v>
      </c>
      <c r="B13" s="334"/>
      <c r="C13" s="334"/>
      <c r="D13" s="334"/>
      <c r="E13" s="334"/>
      <c r="F13" s="334"/>
      <c r="G13" s="952"/>
      <c r="H13" s="953"/>
      <c r="I13" s="953"/>
      <c r="J13" s="953"/>
      <c r="K13" s="953"/>
      <c r="L13" s="172" t="s">
        <v>201</v>
      </c>
      <c r="M13" s="419"/>
      <c r="N13" s="419"/>
      <c r="O13" s="419"/>
      <c r="P13" s="420"/>
      <c r="Q13" s="42"/>
      <c r="R13" s="42"/>
      <c r="S13" s="455" t="s">
        <v>228</v>
      </c>
      <c r="T13" s="456"/>
      <c r="U13" s="456"/>
      <c r="V13" s="456"/>
      <c r="W13" s="456"/>
      <c r="X13" s="456"/>
      <c r="Y13" s="456"/>
      <c r="Z13" s="1014"/>
      <c r="AA13" s="794"/>
      <c r="AB13" s="794"/>
      <c r="AC13" s="794"/>
      <c r="AD13" s="794"/>
      <c r="AE13" s="1014"/>
      <c r="AF13" s="794"/>
      <c r="AG13" s="794"/>
      <c r="AH13" s="794"/>
      <c r="AI13" s="1015"/>
      <c r="AJ13" s="107"/>
      <c r="AK13" s="457" t="s">
        <v>176</v>
      </c>
      <c r="AL13" s="289"/>
      <c r="AM13" s="289"/>
      <c r="AN13" s="520"/>
      <c r="AO13" s="520"/>
      <c r="AP13" s="520"/>
      <c r="AQ13" s="505"/>
      <c r="AR13" s="505"/>
      <c r="AS13" s="506"/>
      <c r="AT13" s="1019"/>
      <c r="AU13" s="1020"/>
      <c r="AV13" s="1020"/>
      <c r="AW13" s="1020"/>
      <c r="AX13" s="1020"/>
      <c r="AY13" s="1021"/>
      <c r="AZ13" s="1010" t="str">
        <f>IF(AN13="","",IF(100*(ABS(AN13-$AN$16)/$AN$16)&gt;10,"T1 Exceeds 10% by "&amp;ROUND(100*(ABS(AN13-$AN$16)/$AN$16)-10,1)&amp;"%",""))</f>
        <v/>
      </c>
      <c r="BA13" s="518"/>
      <c r="BB13" s="518"/>
      <c r="BC13" s="518"/>
      <c r="BD13" s="518"/>
      <c r="BE13" s="518"/>
      <c r="BF13" s="518"/>
      <c r="BG13" s="518"/>
      <c r="BH13" s="518" t="str">
        <f>IF(AQ13="","",IF(100*(ABS(AQ13-$AQ$16)/$AQ$16)&gt;2,"T1 Exceeds 2% by "&amp;ROUND(100*(ABS(AQ13-$AQ$16)/$AQ$16)-2,1)&amp;"%",""))</f>
        <v/>
      </c>
      <c r="BI13" s="518"/>
      <c r="BJ13" s="518"/>
      <c r="BK13" s="518"/>
      <c r="BL13" s="518"/>
      <c r="BM13" s="518"/>
      <c r="BN13" s="518"/>
      <c r="BO13" s="519"/>
      <c r="BP13" s="107"/>
      <c r="BQ13" s="107"/>
      <c r="BR13" s="107"/>
      <c r="BS13" s="107"/>
    </row>
    <row r="14" spans="1:71" ht="12" customHeight="1" x14ac:dyDescent="0.2">
      <c r="A14" s="333" t="s">
        <v>168</v>
      </c>
      <c r="B14" s="334"/>
      <c r="C14" s="334"/>
      <c r="D14" s="334"/>
      <c r="E14" s="334"/>
      <c r="F14" s="334"/>
      <c r="G14" s="400"/>
      <c r="H14" s="400"/>
      <c r="I14" s="400"/>
      <c r="J14" s="400"/>
      <c r="K14" s="400"/>
      <c r="L14" s="400"/>
      <c r="M14" s="400"/>
      <c r="N14" s="400"/>
      <c r="O14" s="400"/>
      <c r="P14" s="401"/>
      <c r="Q14" s="42"/>
      <c r="R14" s="42"/>
      <c r="S14" s="333" t="s">
        <v>170</v>
      </c>
      <c r="T14" s="334"/>
      <c r="U14" s="334"/>
      <c r="V14" s="334"/>
      <c r="W14" s="334"/>
      <c r="X14" s="334"/>
      <c r="Y14" s="334"/>
      <c r="Z14" s="1007"/>
      <c r="AA14" s="399"/>
      <c r="AB14" s="399"/>
      <c r="AC14" s="399"/>
      <c r="AD14" s="399"/>
      <c r="AE14" s="336" t="str">
        <f>IF(AT18="Single Phase",AN13,IF(AT18="Three Phase",IF(MOD(AN13,1)=0,AN13&amp;".0",AN13)&amp;", "&amp;IF(MOD(AN14,1)=0,AN14&amp;".0",AN14)&amp;", "&amp;IF(MOD(AN15,1)=0,AN15&amp;".0",AN15),""))</f>
        <v/>
      </c>
      <c r="AF14" s="336"/>
      <c r="AG14" s="336"/>
      <c r="AH14" s="336"/>
      <c r="AI14" s="337"/>
      <c r="AJ14" s="107"/>
      <c r="AK14" s="457" t="s">
        <v>180</v>
      </c>
      <c r="AL14" s="289"/>
      <c r="AM14" s="289"/>
      <c r="AN14" s="520"/>
      <c r="AO14" s="520"/>
      <c r="AP14" s="520"/>
      <c r="AQ14" s="505"/>
      <c r="AR14" s="505"/>
      <c r="AS14" s="506"/>
      <c r="AT14" s="1011"/>
      <c r="AU14" s="1012"/>
      <c r="AV14" s="1012"/>
      <c r="AW14" s="1012"/>
      <c r="AX14" s="1012"/>
      <c r="AY14" s="1013"/>
      <c r="AZ14" s="1010" t="str">
        <f>IF(AN14="","",IF(100*(ABS(AN14-$AN$16)/$AN$16)&gt;10,"T2 Exceeds 10% by "&amp;ROUND(100*(ABS(AN14-$AN$16)/$AN$16)-10,1)&amp;"%",""))</f>
        <v/>
      </c>
      <c r="BA14" s="518"/>
      <c r="BB14" s="518"/>
      <c r="BC14" s="518"/>
      <c r="BD14" s="518"/>
      <c r="BE14" s="518"/>
      <c r="BF14" s="518"/>
      <c r="BG14" s="518"/>
      <c r="BH14" s="518" t="str">
        <f>IF(AQ14="","",IF(100*(ABS(AQ14-$AQ$16)/$AQ$16)&gt;2,"T2 Exceeds 2% by "&amp;ROUND(100*(ABS(AQ14-$AQ$16)/$AQ$16)-2,1)&amp;"%",""))</f>
        <v/>
      </c>
      <c r="BI14" s="518"/>
      <c r="BJ14" s="518"/>
      <c r="BK14" s="518"/>
      <c r="BL14" s="518"/>
      <c r="BM14" s="518"/>
      <c r="BN14" s="518"/>
      <c r="BO14" s="519"/>
      <c r="BP14" s="107"/>
      <c r="BQ14" s="107"/>
      <c r="BR14" s="107"/>
      <c r="BS14" s="107"/>
    </row>
    <row r="15" spans="1:71" ht="12" customHeight="1" thickBot="1" x14ac:dyDescent="0.25">
      <c r="A15" s="406" t="s">
        <v>174</v>
      </c>
      <c r="B15" s="407"/>
      <c r="C15" s="407"/>
      <c r="D15" s="407"/>
      <c r="E15" s="407"/>
      <c r="F15" s="408"/>
      <c r="G15" s="400"/>
      <c r="H15" s="400"/>
      <c r="I15" s="400"/>
      <c r="J15" s="400"/>
      <c r="K15" s="400"/>
      <c r="L15" s="400"/>
      <c r="M15" s="400"/>
      <c r="N15" s="400"/>
      <c r="O15" s="400"/>
      <c r="P15" s="401"/>
      <c r="Q15" s="42"/>
      <c r="R15" s="42"/>
      <c r="S15" s="347" t="s">
        <v>171</v>
      </c>
      <c r="T15" s="348"/>
      <c r="U15" s="348"/>
      <c r="V15" s="348"/>
      <c r="W15" s="348"/>
      <c r="X15" s="348"/>
      <c r="Y15" s="348"/>
      <c r="Z15" s="555"/>
      <c r="AA15" s="555"/>
      <c r="AB15" s="555"/>
      <c r="AC15" s="555"/>
      <c r="AD15" s="555"/>
      <c r="AE15" s="350" t="str">
        <f>IF(AT18="Single Phase",AQ13,IF(AT18="Three Phase",AQ13 &amp;", "&amp; AQ14 &amp; ", " &amp; AQ15,""))</f>
        <v/>
      </c>
      <c r="AF15" s="350"/>
      <c r="AG15" s="350"/>
      <c r="AH15" s="350"/>
      <c r="AI15" s="991"/>
      <c r="AJ15" s="107"/>
      <c r="AK15" s="457" t="s">
        <v>183</v>
      </c>
      <c r="AL15" s="289"/>
      <c r="AM15" s="289"/>
      <c r="AN15" s="520"/>
      <c r="AO15" s="520"/>
      <c r="AP15" s="520"/>
      <c r="AQ15" s="505"/>
      <c r="AR15" s="505"/>
      <c r="AS15" s="506"/>
      <c r="AT15" s="1008"/>
      <c r="AU15" s="546"/>
      <c r="AV15" s="546"/>
      <c r="AW15" s="546"/>
      <c r="AX15" s="546"/>
      <c r="AY15" s="1009"/>
      <c r="AZ15" s="1010" t="str">
        <f>IF(AN15="","",IF(100*(ABS(AN15-$AN$16)/$AN$16)&gt;10,"T3 Exceeds 10% by "&amp;ROUND(100*(ABS(AN15-$AN$16)/$AN$16)-10,1)&amp;"%",""))</f>
        <v/>
      </c>
      <c r="BA15" s="518"/>
      <c r="BB15" s="518"/>
      <c r="BC15" s="518"/>
      <c r="BD15" s="518"/>
      <c r="BE15" s="518"/>
      <c r="BF15" s="518"/>
      <c r="BG15" s="518"/>
      <c r="BH15" s="518" t="str">
        <f>IF(AQ15="","",IF(100*(ABS(AQ15-$AQ$16)/$AQ$16)&gt;2,"T3 Exceeds 2% by "&amp;ROUND(100*(ABS(AQ15-$AQ$16)/$AQ$16)-2,1)&amp;"%",""))</f>
        <v/>
      </c>
      <c r="BI15" s="518"/>
      <c r="BJ15" s="518"/>
      <c r="BK15" s="518"/>
      <c r="BL15" s="518"/>
      <c r="BM15" s="518"/>
      <c r="BN15" s="518"/>
      <c r="BO15" s="519"/>
      <c r="BP15" s="107"/>
      <c r="BQ15" s="107"/>
      <c r="BR15" s="107"/>
      <c r="BS15" s="107"/>
    </row>
    <row r="16" spans="1:71" ht="12" customHeight="1" thickBot="1" x14ac:dyDescent="0.25">
      <c r="A16" s="406" t="s">
        <v>178</v>
      </c>
      <c r="B16" s="407"/>
      <c r="C16" s="407"/>
      <c r="D16" s="407"/>
      <c r="E16" s="407"/>
      <c r="F16" s="408"/>
      <c r="G16" s="400"/>
      <c r="H16" s="400"/>
      <c r="I16" s="400"/>
      <c r="J16" s="400"/>
      <c r="K16" s="400"/>
      <c r="L16" s="400"/>
      <c r="M16" s="400"/>
      <c r="N16" s="400"/>
      <c r="O16" s="400"/>
      <c r="P16" s="401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107"/>
      <c r="AK16" s="457" t="s">
        <v>188</v>
      </c>
      <c r="AL16" s="289"/>
      <c r="AM16" s="289"/>
      <c r="AN16" s="504" t="str">
        <f>IFERROR(AVERAGE(AN13:AP15),"")</f>
        <v/>
      </c>
      <c r="AO16" s="504"/>
      <c r="AP16" s="504"/>
      <c r="AQ16" s="458" t="str">
        <f>IFERROR(AVERAGE(AQ13:AS15),"")</f>
        <v/>
      </c>
      <c r="AR16" s="458"/>
      <c r="AS16" s="460"/>
      <c r="AT16" s="1001"/>
      <c r="AU16" s="1002"/>
      <c r="AV16" s="1002"/>
      <c r="AW16" s="1002"/>
      <c r="AX16" s="1002"/>
      <c r="AY16" s="1003"/>
      <c r="AZ16" s="479" t="s">
        <v>189</v>
      </c>
      <c r="BA16" s="479"/>
      <c r="BB16" s="479"/>
      <c r="BC16" s="479"/>
      <c r="BD16" s="479"/>
      <c r="BE16" s="479"/>
      <c r="BF16" s="479"/>
      <c r="BG16" s="479"/>
      <c r="BH16" s="479"/>
      <c r="BI16" s="479"/>
      <c r="BJ16" s="479"/>
      <c r="BK16" s="479"/>
      <c r="BL16" s="479"/>
      <c r="BM16" s="479"/>
      <c r="BN16" s="479"/>
      <c r="BO16" s="480"/>
      <c r="BP16" s="107"/>
      <c r="BQ16" s="107"/>
      <c r="BR16" s="107"/>
      <c r="BS16" s="107"/>
    </row>
    <row r="17" spans="1:71" ht="12" customHeight="1" thickBot="1" x14ac:dyDescent="0.25">
      <c r="A17" s="406" t="s">
        <v>181</v>
      </c>
      <c r="B17" s="407"/>
      <c r="C17" s="407"/>
      <c r="D17" s="407"/>
      <c r="E17" s="407"/>
      <c r="F17" s="408"/>
      <c r="G17" s="513" t="s">
        <v>182</v>
      </c>
      <c r="H17" s="513"/>
      <c r="I17" s="513"/>
      <c r="J17" s="513"/>
      <c r="K17" s="513"/>
      <c r="L17" s="513"/>
      <c r="M17" s="513"/>
      <c r="N17" s="513"/>
      <c r="O17" s="513"/>
      <c r="P17" s="514"/>
      <c r="Q17" s="42"/>
      <c r="R17" s="42"/>
      <c r="S17" s="94"/>
      <c r="T17" s="338" t="s">
        <v>423</v>
      </c>
      <c r="U17" s="339"/>
      <c r="V17" s="339"/>
      <c r="W17" s="339"/>
      <c r="X17" s="339"/>
      <c r="Y17" s="339"/>
      <c r="Z17" s="339"/>
      <c r="AA17" s="339"/>
      <c r="AB17" s="339"/>
      <c r="AC17" s="339"/>
      <c r="AD17" s="339"/>
      <c r="AE17" s="339"/>
      <c r="AF17" s="339"/>
      <c r="AG17" s="339"/>
      <c r="AH17" s="339"/>
      <c r="AI17" s="340"/>
      <c r="AJ17" s="107"/>
      <c r="AK17" s="994"/>
      <c r="AL17" s="995"/>
      <c r="AM17" s="995"/>
      <c r="AN17" s="995"/>
      <c r="AO17" s="995"/>
      <c r="AP17" s="995"/>
      <c r="AQ17" s="995"/>
      <c r="AR17" s="995"/>
      <c r="AS17" s="996"/>
      <c r="AT17" s="839" t="s">
        <v>191</v>
      </c>
      <c r="AU17" s="839"/>
      <c r="AV17" s="839"/>
      <c r="AW17" s="839"/>
      <c r="AX17" s="839"/>
      <c r="AY17" s="1000"/>
      <c r="AZ17" s="492" t="s">
        <v>192</v>
      </c>
      <c r="BA17" s="493"/>
      <c r="BB17" s="493"/>
      <c r="BC17" s="493"/>
      <c r="BD17" s="493"/>
      <c r="BE17" s="493"/>
      <c r="BF17" s="493"/>
      <c r="BG17" s="493"/>
      <c r="BH17" s="493"/>
      <c r="BI17" s="493"/>
      <c r="BJ17" s="493"/>
      <c r="BK17" s="493"/>
      <c r="BL17" s="493"/>
      <c r="BM17" s="493"/>
      <c r="BN17" s="493"/>
      <c r="BO17" s="494"/>
      <c r="BP17" s="107"/>
      <c r="BQ17" s="107"/>
      <c r="BR17" s="107"/>
      <c r="BS17" s="107"/>
    </row>
    <row r="18" spans="1:71" ht="12.75" customHeight="1" thickTop="1" thickBot="1" x14ac:dyDescent="0.25">
      <c r="A18" s="333" t="s">
        <v>185</v>
      </c>
      <c r="B18" s="334"/>
      <c r="C18" s="334"/>
      <c r="D18" s="334"/>
      <c r="E18" s="334"/>
      <c r="F18" s="334"/>
      <c r="G18" s="400"/>
      <c r="H18" s="400"/>
      <c r="I18" s="400"/>
      <c r="J18" s="400"/>
      <c r="K18" s="400"/>
      <c r="L18" s="400"/>
      <c r="M18" s="400"/>
      <c r="N18" s="400"/>
      <c r="O18" s="400"/>
      <c r="P18" s="401"/>
      <c r="Q18" s="42"/>
      <c r="R18" s="42"/>
      <c r="S18" s="42"/>
      <c r="T18" s="752"/>
      <c r="U18" s="753"/>
      <c r="V18" s="753"/>
      <c r="W18" s="753"/>
      <c r="X18" s="753"/>
      <c r="Y18" s="753"/>
      <c r="Z18" s="753" t="s">
        <v>197</v>
      </c>
      <c r="AA18" s="753"/>
      <c r="AB18" s="753"/>
      <c r="AC18" s="753"/>
      <c r="AD18" s="753"/>
      <c r="AE18" s="753" t="s">
        <v>199</v>
      </c>
      <c r="AF18" s="753"/>
      <c r="AG18" s="753"/>
      <c r="AH18" s="753"/>
      <c r="AI18" s="779"/>
      <c r="AJ18" s="107"/>
      <c r="AK18" s="997"/>
      <c r="AL18" s="998"/>
      <c r="AM18" s="998"/>
      <c r="AN18" s="998"/>
      <c r="AO18" s="998"/>
      <c r="AP18" s="998"/>
      <c r="AQ18" s="998"/>
      <c r="AR18" s="998"/>
      <c r="AS18" s="999"/>
      <c r="AT18" s="498"/>
      <c r="AU18" s="499"/>
      <c r="AV18" s="499"/>
      <c r="AW18" s="499"/>
      <c r="AX18" s="499"/>
      <c r="AY18" s="500"/>
      <c r="AZ18" s="495"/>
      <c r="BA18" s="496"/>
      <c r="BB18" s="496"/>
      <c r="BC18" s="496"/>
      <c r="BD18" s="496"/>
      <c r="BE18" s="496"/>
      <c r="BF18" s="496"/>
      <c r="BG18" s="496"/>
      <c r="BH18" s="496"/>
      <c r="BI18" s="496"/>
      <c r="BJ18" s="496"/>
      <c r="BK18" s="496"/>
      <c r="BL18" s="496"/>
      <c r="BM18" s="496"/>
      <c r="BN18" s="496"/>
      <c r="BO18" s="497"/>
      <c r="BP18" s="107"/>
      <c r="BQ18" s="107"/>
      <c r="BR18" s="107"/>
      <c r="BS18" s="107"/>
    </row>
    <row r="19" spans="1:71" ht="12" customHeight="1" thickBot="1" x14ac:dyDescent="0.25">
      <c r="A19" s="333" t="s">
        <v>396</v>
      </c>
      <c r="B19" s="334"/>
      <c r="C19" s="334"/>
      <c r="D19" s="334"/>
      <c r="E19" s="334"/>
      <c r="F19" s="334"/>
      <c r="G19" s="400"/>
      <c r="H19" s="400"/>
      <c r="I19" s="400"/>
      <c r="J19" s="400"/>
      <c r="K19" s="400"/>
      <c r="L19" s="400"/>
      <c r="M19" s="400"/>
      <c r="N19" s="400"/>
      <c r="O19" s="400"/>
      <c r="P19" s="401"/>
      <c r="Q19" s="42"/>
      <c r="R19" s="42"/>
      <c r="S19" s="42"/>
      <c r="T19" s="333" t="s">
        <v>97</v>
      </c>
      <c r="U19" s="334"/>
      <c r="V19" s="334"/>
      <c r="W19" s="334"/>
      <c r="X19" s="334"/>
      <c r="Y19" s="334"/>
      <c r="Z19" s="577"/>
      <c r="AA19" s="577"/>
      <c r="AB19" s="577"/>
      <c r="AC19" s="577"/>
      <c r="AD19" s="577"/>
      <c r="AE19" s="702" t="str">
        <f>AC53</f>
        <v/>
      </c>
      <c r="AF19" s="703"/>
      <c r="AG19" s="703"/>
      <c r="AH19" s="703"/>
      <c r="AI19" s="704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</row>
    <row r="20" spans="1:71" s="210" customFormat="1" ht="12" customHeight="1" thickBot="1" x14ac:dyDescent="0.25">
      <c r="A20" s="347" t="s">
        <v>398</v>
      </c>
      <c r="B20" s="348"/>
      <c r="C20" s="348"/>
      <c r="D20" s="348"/>
      <c r="E20" s="348"/>
      <c r="F20" s="348"/>
      <c r="G20" s="466"/>
      <c r="H20" s="466"/>
      <c r="I20" s="466"/>
      <c r="J20" s="466"/>
      <c r="K20" s="466"/>
      <c r="L20" s="466"/>
      <c r="M20" s="466"/>
      <c r="N20" s="466"/>
      <c r="O20" s="466"/>
      <c r="P20" s="950"/>
      <c r="Q20" s="42"/>
      <c r="R20" s="42"/>
      <c r="S20" s="42"/>
      <c r="T20" s="333" t="s">
        <v>98</v>
      </c>
      <c r="U20" s="334"/>
      <c r="V20" s="334"/>
      <c r="W20" s="334"/>
      <c r="X20" s="334"/>
      <c r="Y20" s="334"/>
      <c r="Z20" s="577"/>
      <c r="AA20" s="577"/>
      <c r="AB20" s="577"/>
      <c r="AC20" s="577"/>
      <c r="AD20" s="577"/>
      <c r="AE20" s="593"/>
      <c r="AF20" s="594"/>
      <c r="AG20" s="594"/>
      <c r="AH20" s="594"/>
      <c r="AI20" s="596"/>
      <c r="AJ20" s="107"/>
      <c r="AK20" s="471" t="s">
        <v>160</v>
      </c>
      <c r="AL20" s="472"/>
      <c r="AM20" s="472"/>
      <c r="AN20" s="472"/>
      <c r="AO20" s="472"/>
      <c r="AP20" s="472"/>
      <c r="AQ20" s="472"/>
      <c r="AR20" s="472"/>
      <c r="AS20" s="472"/>
      <c r="AT20" s="472"/>
      <c r="AU20" s="472"/>
      <c r="AV20" s="472"/>
      <c r="AW20" s="472"/>
      <c r="AX20" s="472"/>
      <c r="AY20" s="473"/>
      <c r="AZ20" s="107"/>
      <c r="BA20" s="107"/>
      <c r="BB20" s="107"/>
      <c r="BC20" s="107"/>
      <c r="BD20" s="107"/>
      <c r="BE20" s="107"/>
      <c r="BF20" s="207" t="s">
        <v>196</v>
      </c>
      <c r="BG20" s="208"/>
      <c r="BH20" s="208"/>
      <c r="BI20" s="208"/>
      <c r="BJ20" s="208"/>
      <c r="BK20" s="208"/>
      <c r="BL20" s="208"/>
      <c r="BM20" s="208"/>
      <c r="BN20" s="208"/>
      <c r="BO20" s="208"/>
      <c r="BP20" s="208"/>
      <c r="BQ20" s="208"/>
      <c r="BR20" s="208"/>
      <c r="BS20" s="209"/>
    </row>
    <row r="21" spans="1:71" ht="12" customHeight="1" thickTop="1" thickBo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333" t="s">
        <v>424</v>
      </c>
      <c r="U21" s="334"/>
      <c r="V21" s="334"/>
      <c r="W21" s="334"/>
      <c r="X21" s="334"/>
      <c r="Y21" s="334"/>
      <c r="Z21" s="577"/>
      <c r="AA21" s="577"/>
      <c r="AB21" s="577"/>
      <c r="AC21" s="577"/>
      <c r="AD21" s="577"/>
      <c r="AE21" s="593"/>
      <c r="AF21" s="594"/>
      <c r="AG21" s="594"/>
      <c r="AH21" s="594"/>
      <c r="AI21" s="596"/>
      <c r="AJ21" s="107"/>
      <c r="AK21" s="324"/>
      <c r="AL21" s="547"/>
      <c r="AM21" s="547"/>
      <c r="AN21" s="547"/>
      <c r="AO21" s="325"/>
      <c r="AP21" s="548"/>
      <c r="AQ21" s="547"/>
      <c r="AR21" s="547"/>
      <c r="AS21" s="547"/>
      <c r="AT21" s="325"/>
      <c r="AU21" s="548"/>
      <c r="AV21" s="547"/>
      <c r="AW21" s="547"/>
      <c r="AX21" s="547"/>
      <c r="AY21" s="549"/>
      <c r="AZ21" s="107"/>
      <c r="BA21" s="107"/>
      <c r="BB21" s="107"/>
      <c r="BC21" s="107"/>
      <c r="BD21" s="107"/>
      <c r="BE21" s="107"/>
      <c r="BF21" s="110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71"/>
      <c r="BS21" s="112"/>
    </row>
    <row r="22" spans="1:71" ht="12" customHeight="1" thickBot="1" x14ac:dyDescent="0.25">
      <c r="A22" s="179"/>
      <c r="B22" s="130"/>
      <c r="C22" s="93"/>
      <c r="D22" s="130"/>
      <c r="E22" s="93"/>
      <c r="F22" s="130"/>
      <c r="G22" s="93"/>
      <c r="H22" s="130"/>
      <c r="I22" s="93"/>
      <c r="J22" s="130"/>
      <c r="K22" s="93"/>
      <c r="L22" s="130"/>
      <c r="M22" s="93"/>
      <c r="N22" s="130"/>
      <c r="O22" s="93"/>
      <c r="P22" s="194"/>
      <c r="Q22" s="42"/>
      <c r="R22" s="42"/>
      <c r="S22" s="42"/>
      <c r="T22" s="347" t="s">
        <v>413</v>
      </c>
      <c r="U22" s="348"/>
      <c r="V22" s="348"/>
      <c r="W22" s="348"/>
      <c r="X22" s="348"/>
      <c r="Y22" s="348"/>
      <c r="Z22" s="555"/>
      <c r="AA22" s="555"/>
      <c r="AB22" s="555"/>
      <c r="AC22" s="555"/>
      <c r="AD22" s="555"/>
      <c r="AE22" s="898">
        <f>IFERROR(SUM(AE21,AE20),"")</f>
        <v>0</v>
      </c>
      <c r="AF22" s="771"/>
      <c r="AG22" s="771"/>
      <c r="AH22" s="771"/>
      <c r="AI22" s="783"/>
      <c r="AJ22" s="107"/>
      <c r="AK22" s="521"/>
      <c r="AL22" s="522"/>
      <c r="AM22" s="522"/>
      <c r="AN22" s="522"/>
      <c r="AO22" s="523"/>
      <c r="AP22" s="524"/>
      <c r="AQ22" s="522"/>
      <c r="AR22" s="522"/>
      <c r="AS22" s="522"/>
      <c r="AT22" s="523"/>
      <c r="AU22" s="524"/>
      <c r="AV22" s="522"/>
      <c r="AW22" s="522"/>
      <c r="AX22" s="522"/>
      <c r="AY22" s="525"/>
      <c r="AZ22" s="107"/>
      <c r="BA22" s="107"/>
      <c r="BB22" s="107"/>
      <c r="BC22" s="107"/>
      <c r="BD22" s="107"/>
      <c r="BE22" s="107"/>
      <c r="BF22" s="110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12"/>
    </row>
    <row r="23" spans="1:71" ht="12" customHeight="1" thickBot="1" x14ac:dyDescent="0.25">
      <c r="A23" s="67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183"/>
      <c r="Q23" s="42"/>
      <c r="R23" s="42"/>
      <c r="S23" s="42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107"/>
      <c r="AK23" s="521"/>
      <c r="AL23" s="522"/>
      <c r="AM23" s="522"/>
      <c r="AN23" s="522"/>
      <c r="AO23" s="523"/>
      <c r="AP23" s="524"/>
      <c r="AQ23" s="522"/>
      <c r="AR23" s="522"/>
      <c r="AS23" s="522"/>
      <c r="AT23" s="523"/>
      <c r="AU23" s="524"/>
      <c r="AV23" s="522"/>
      <c r="AW23" s="522"/>
      <c r="AX23" s="522"/>
      <c r="AY23" s="525"/>
      <c r="AZ23" s="107"/>
      <c r="BA23" s="107"/>
      <c r="BB23" s="107"/>
      <c r="BC23" s="107"/>
      <c r="BD23" s="107"/>
      <c r="BE23" s="107"/>
      <c r="BF23" s="110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71"/>
      <c r="BS23" s="112"/>
    </row>
    <row r="24" spans="1:71" ht="12" customHeight="1" thickBot="1" x14ac:dyDescent="0.25">
      <c r="A24" s="67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183"/>
      <c r="Q24" s="42"/>
      <c r="R24" s="42"/>
      <c r="S24" s="42"/>
      <c r="T24" s="338" t="s">
        <v>425</v>
      </c>
      <c r="U24" s="339"/>
      <c r="V24" s="339"/>
      <c r="W24" s="339"/>
      <c r="X24" s="339"/>
      <c r="Y24" s="339"/>
      <c r="Z24" s="339"/>
      <c r="AA24" s="339"/>
      <c r="AB24" s="339"/>
      <c r="AC24" s="339"/>
      <c r="AD24" s="339"/>
      <c r="AE24" s="339"/>
      <c r="AF24" s="339"/>
      <c r="AG24" s="339"/>
      <c r="AH24" s="339"/>
      <c r="AI24" s="340"/>
      <c r="AJ24" s="107"/>
      <c r="AK24" s="521"/>
      <c r="AL24" s="522"/>
      <c r="AM24" s="522"/>
      <c r="AN24" s="522"/>
      <c r="AO24" s="523"/>
      <c r="AP24" s="524"/>
      <c r="AQ24" s="522"/>
      <c r="AR24" s="522"/>
      <c r="AS24" s="522"/>
      <c r="AT24" s="523"/>
      <c r="AU24" s="524"/>
      <c r="AV24" s="522"/>
      <c r="AW24" s="522"/>
      <c r="AX24" s="522"/>
      <c r="AY24" s="525"/>
      <c r="AZ24" s="107"/>
      <c r="BA24" s="107"/>
      <c r="BB24" s="107"/>
      <c r="BC24" s="107"/>
      <c r="BD24" s="107"/>
      <c r="BE24" s="107"/>
      <c r="BF24" s="110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71"/>
      <c r="BS24" s="112"/>
    </row>
    <row r="25" spans="1:71" ht="12.75" customHeight="1" thickTop="1" thickBot="1" x14ac:dyDescent="0.25">
      <c r="A25" s="67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183"/>
      <c r="Q25" s="42"/>
      <c r="R25" s="42"/>
      <c r="S25" s="42"/>
      <c r="T25" s="985" t="s">
        <v>426</v>
      </c>
      <c r="U25" s="986"/>
      <c r="V25" s="986"/>
      <c r="W25" s="986"/>
      <c r="X25" s="986"/>
      <c r="Y25" s="986"/>
      <c r="Z25" s="986"/>
      <c r="AA25" s="986"/>
      <c r="AB25" s="986"/>
      <c r="AC25" s="986"/>
      <c r="AD25" s="986"/>
      <c r="AE25" s="987"/>
      <c r="AF25" s="988"/>
      <c r="AG25" s="988"/>
      <c r="AH25" s="989" t="str">
        <f>IF(ISNUMBER(AE25),"%","")</f>
        <v/>
      </c>
      <c r="AI25" s="990"/>
      <c r="AJ25" s="107"/>
      <c r="AK25" s="521"/>
      <c r="AL25" s="522"/>
      <c r="AM25" s="522"/>
      <c r="AN25" s="522"/>
      <c r="AO25" s="523"/>
      <c r="AP25" s="524"/>
      <c r="AQ25" s="522"/>
      <c r="AR25" s="522"/>
      <c r="AS25" s="522"/>
      <c r="AT25" s="523"/>
      <c r="AU25" s="524"/>
      <c r="AV25" s="522"/>
      <c r="AW25" s="522"/>
      <c r="AX25" s="522"/>
      <c r="AY25" s="525"/>
      <c r="AZ25" s="107"/>
      <c r="BA25" s="107"/>
      <c r="BB25" s="107"/>
      <c r="BC25" s="107"/>
      <c r="BD25" s="107"/>
      <c r="BE25" s="107"/>
      <c r="BF25" s="110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12"/>
    </row>
    <row r="26" spans="1:71" ht="12" customHeight="1" thickBot="1" x14ac:dyDescent="0.25">
      <c r="A26" s="67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183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528"/>
      <c r="AL26" s="529"/>
      <c r="AM26" s="529"/>
      <c r="AN26" s="529"/>
      <c r="AO26" s="530"/>
      <c r="AP26" s="531"/>
      <c r="AQ26" s="529"/>
      <c r="AR26" s="529"/>
      <c r="AS26" s="529"/>
      <c r="AT26" s="530"/>
      <c r="AU26" s="531"/>
      <c r="AV26" s="529"/>
      <c r="AW26" s="529"/>
      <c r="AX26" s="529"/>
      <c r="AY26" s="532"/>
      <c r="AZ26" s="107"/>
      <c r="BA26" s="107"/>
      <c r="BB26" s="107"/>
      <c r="BC26" s="107"/>
      <c r="BD26" s="107"/>
      <c r="BE26" s="107"/>
      <c r="BF26" s="110"/>
      <c r="BG26" s="171"/>
      <c r="BH26" s="171"/>
      <c r="BI26" s="171"/>
      <c r="BJ26" s="171"/>
      <c r="BK26" s="171"/>
      <c r="BL26" s="171"/>
      <c r="BM26" s="171"/>
      <c r="BN26" s="171"/>
      <c r="BO26" s="171"/>
      <c r="BP26" s="171"/>
      <c r="BQ26" s="171"/>
      <c r="BR26" s="171"/>
      <c r="BS26" s="112"/>
    </row>
    <row r="27" spans="1:71" ht="12" customHeight="1" thickBot="1" x14ac:dyDescent="0.25">
      <c r="A27" s="67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183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10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12"/>
    </row>
    <row r="28" spans="1:71" ht="12" customHeight="1" thickBot="1" x14ac:dyDescent="0.25">
      <c r="A28" s="67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183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47" t="s">
        <v>297</v>
      </c>
      <c r="AW28" s="472"/>
      <c r="AX28" s="472"/>
      <c r="AY28" s="472"/>
      <c r="AZ28" s="472"/>
      <c r="BA28" s="472"/>
      <c r="BB28" s="472"/>
      <c r="BC28" s="948"/>
      <c r="BD28" s="191"/>
      <c r="BE28" s="171"/>
      <c r="BF28" s="110"/>
      <c r="BG28" s="171"/>
      <c r="BH28" s="171"/>
      <c r="BI28" s="171"/>
      <c r="BJ28" s="171"/>
      <c r="BK28" s="171"/>
      <c r="BL28" s="171"/>
      <c r="BM28" s="171"/>
      <c r="BN28" s="171"/>
      <c r="BO28" s="171"/>
      <c r="BP28" s="171"/>
      <c r="BQ28" s="171"/>
      <c r="BR28" s="171"/>
      <c r="BS28" s="112"/>
    </row>
    <row r="29" spans="1:71" ht="12" customHeight="1" thickTop="1" thickBot="1" x14ac:dyDescent="0.25">
      <c r="A29" s="134"/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9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29" t="s">
        <v>298</v>
      </c>
      <c r="AW29" s="750"/>
      <c r="AX29" s="750"/>
      <c r="AY29" s="750"/>
      <c r="AZ29" s="750"/>
      <c r="BA29" s="751"/>
      <c r="BB29" s="930"/>
      <c r="BC29" s="931"/>
      <c r="BD29" s="193"/>
      <c r="BE29" s="171"/>
      <c r="BF29" s="110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71"/>
      <c r="BS29" s="112"/>
    </row>
    <row r="30" spans="1:71" ht="12" customHeight="1" thickBot="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660" t="s">
        <v>299</v>
      </c>
      <c r="AL30" s="661"/>
      <c r="AM30" s="661"/>
      <c r="AN30" s="661"/>
      <c r="AO30" s="661"/>
      <c r="AP30" s="661"/>
      <c r="AQ30" s="661"/>
      <c r="AR30" s="661"/>
      <c r="AS30" s="662"/>
      <c r="AT30" s="107"/>
      <c r="AU30" s="53"/>
      <c r="AV30" s="941" t="s">
        <v>300</v>
      </c>
      <c r="AW30" s="543"/>
      <c r="AX30" s="543"/>
      <c r="AY30" s="543"/>
      <c r="AZ30" s="543"/>
      <c r="BA30" s="544"/>
      <c r="BB30" s="942"/>
      <c r="BC30" s="943"/>
      <c r="BD30" s="55"/>
      <c r="BE30" s="171"/>
      <c r="BF30" s="110"/>
      <c r="BG30" s="171"/>
      <c r="BH30" s="171"/>
      <c r="BI30" s="171"/>
      <c r="BJ30" s="171"/>
      <c r="BK30" s="171"/>
      <c r="BL30" s="171"/>
      <c r="BM30" s="171"/>
      <c r="BN30" s="171"/>
      <c r="BO30" s="171"/>
      <c r="BP30" s="171"/>
      <c r="BQ30" s="171"/>
      <c r="BR30" s="171"/>
      <c r="BS30" s="112"/>
    </row>
    <row r="31" spans="1:71" ht="12" customHeight="1" thickBot="1" x14ac:dyDescent="0.25">
      <c r="A31" s="649" t="s">
        <v>301</v>
      </c>
      <c r="B31" s="650"/>
      <c r="C31" s="650"/>
      <c r="D31" s="650"/>
      <c r="E31" s="650"/>
      <c r="F31" s="650"/>
      <c r="G31" s="650"/>
      <c r="H31" s="653" t="s">
        <v>302</v>
      </c>
      <c r="I31" s="653"/>
      <c r="J31" s="653"/>
      <c r="K31" s="653"/>
      <c r="L31" s="653"/>
      <c r="M31" s="653"/>
      <c r="N31" s="653"/>
      <c r="O31" s="653"/>
      <c r="P31" s="653"/>
      <c r="Q31" s="650" t="s">
        <v>303</v>
      </c>
      <c r="R31" s="650"/>
      <c r="S31" s="650"/>
      <c r="T31" s="653" t="s">
        <v>304</v>
      </c>
      <c r="U31" s="653"/>
      <c r="V31" s="653"/>
      <c r="W31" s="653"/>
      <c r="X31" s="653"/>
      <c r="Y31" s="653"/>
      <c r="Z31" s="653"/>
      <c r="AA31" s="653"/>
      <c r="AB31" s="653"/>
      <c r="AC31" s="650" t="s">
        <v>305</v>
      </c>
      <c r="AD31" s="650"/>
      <c r="AE31" s="650"/>
      <c r="AF31" s="654" t="s">
        <v>262</v>
      </c>
      <c r="AG31" s="655"/>
      <c r="AH31" s="655"/>
      <c r="AI31" s="656"/>
      <c r="AJ31" s="107"/>
      <c r="AK31" s="663"/>
      <c r="AL31" s="664"/>
      <c r="AM31" s="664"/>
      <c r="AN31" s="664"/>
      <c r="AO31" s="664"/>
      <c r="AP31" s="664"/>
      <c r="AQ31" s="664"/>
      <c r="AR31" s="664"/>
      <c r="AS31" s="665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71"/>
      <c r="BF31" s="110"/>
      <c r="BG31" s="171"/>
      <c r="BH31" s="171"/>
      <c r="BI31" s="171"/>
      <c r="BJ31" s="171"/>
      <c r="BK31" s="171"/>
      <c r="BL31" s="171"/>
      <c r="BM31" s="171"/>
      <c r="BN31" s="171"/>
      <c r="BO31" s="171"/>
      <c r="BP31" s="171"/>
      <c r="BQ31" s="171"/>
      <c r="BR31" s="171"/>
      <c r="BS31" s="112"/>
    </row>
    <row r="32" spans="1:71" ht="12" customHeight="1" thickBot="1" x14ac:dyDescent="0.25">
      <c r="A32" s="651"/>
      <c r="B32" s="652"/>
      <c r="C32" s="652"/>
      <c r="D32" s="652"/>
      <c r="E32" s="652"/>
      <c r="F32" s="652"/>
      <c r="G32" s="652"/>
      <c r="H32" s="392" t="s">
        <v>306</v>
      </c>
      <c r="I32" s="392"/>
      <c r="J32" s="392"/>
      <c r="K32" s="392" t="s">
        <v>174</v>
      </c>
      <c r="L32" s="392"/>
      <c r="M32" s="392"/>
      <c r="N32" s="392" t="s">
        <v>315</v>
      </c>
      <c r="O32" s="392"/>
      <c r="P32" s="392"/>
      <c r="Q32" s="652"/>
      <c r="R32" s="652"/>
      <c r="S32" s="652"/>
      <c r="T32" s="392" t="s">
        <v>308</v>
      </c>
      <c r="U32" s="392"/>
      <c r="V32" s="392"/>
      <c r="W32" s="392" t="s">
        <v>180</v>
      </c>
      <c r="X32" s="392"/>
      <c r="Y32" s="392"/>
      <c r="Z32" s="392" t="s">
        <v>183</v>
      </c>
      <c r="AA32" s="392"/>
      <c r="AB32" s="392"/>
      <c r="AC32" s="652"/>
      <c r="AD32" s="652"/>
      <c r="AE32" s="652"/>
      <c r="AF32" s="657"/>
      <c r="AG32" s="658"/>
      <c r="AH32" s="658"/>
      <c r="AI32" s="659"/>
      <c r="AJ32" s="107"/>
      <c r="AK32" s="666"/>
      <c r="AL32" s="667"/>
      <c r="AM32" s="667"/>
      <c r="AN32" s="667"/>
      <c r="AO32" s="667"/>
      <c r="AP32" s="667"/>
      <c r="AQ32" s="667"/>
      <c r="AR32" s="667"/>
      <c r="AS32" s="668"/>
      <c r="AT32" s="107"/>
      <c r="AU32" s="471" t="s">
        <v>309</v>
      </c>
      <c r="AV32" s="472"/>
      <c r="AW32" s="472"/>
      <c r="AX32" s="472"/>
      <c r="AY32" s="472"/>
      <c r="AZ32" s="472"/>
      <c r="BA32" s="472"/>
      <c r="BB32" s="472"/>
      <c r="BC32" s="472"/>
      <c r="BD32" s="473"/>
      <c r="BE32" s="171"/>
      <c r="BF32" s="110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12"/>
    </row>
    <row r="33" spans="1:71" ht="12.75" thickTop="1" x14ac:dyDescent="0.2">
      <c r="A33" s="926"/>
      <c r="B33" s="927"/>
      <c r="C33" s="927"/>
      <c r="D33" s="927"/>
      <c r="E33" s="927"/>
      <c r="F33" s="927"/>
      <c r="G33" s="927"/>
      <c r="H33" s="453"/>
      <c r="I33" s="453"/>
      <c r="J33" s="453"/>
      <c r="K33" s="453"/>
      <c r="L33" s="453"/>
      <c r="M33" s="453"/>
      <c r="N33" s="453"/>
      <c r="O33" s="453"/>
      <c r="P33" s="453"/>
      <c r="Q33" s="453"/>
      <c r="R33" s="453"/>
      <c r="S33" s="453"/>
      <c r="T33" s="638"/>
      <c r="U33" s="638"/>
      <c r="V33" s="638"/>
      <c r="W33" s="638"/>
      <c r="X33" s="638"/>
      <c r="Y33" s="638"/>
      <c r="Z33" s="638"/>
      <c r="AA33" s="638"/>
      <c r="AB33" s="638"/>
      <c r="AC33" s="638"/>
      <c r="AD33" s="638"/>
      <c r="AE33" s="638"/>
      <c r="AF33" s="453"/>
      <c r="AG33" s="453"/>
      <c r="AH33" s="453"/>
      <c r="AI33" s="454"/>
      <c r="AJ33" s="107"/>
      <c r="AK33" s="620" t="str">
        <f>IFERROR(AN33*(1-$BB$30),"")</f>
        <v/>
      </c>
      <c r="AL33" s="621"/>
      <c r="AM33" s="621"/>
      <c r="AN33" s="621" t="str">
        <f>IFERROR(($AK$53*Q33),"")</f>
        <v/>
      </c>
      <c r="AO33" s="621"/>
      <c r="AP33" s="621"/>
      <c r="AQ33" s="621" t="str">
        <f>IFERROR(AN33*(1+$BB$29),"")</f>
        <v/>
      </c>
      <c r="AR33" s="621"/>
      <c r="AS33" s="622"/>
      <c r="AT33" s="107"/>
      <c r="AU33" s="923" t="str">
        <f t="shared" ref="AU33:AU52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24"/>
      <c r="AW33" s="924"/>
      <c r="AX33" s="924"/>
      <c r="AY33" s="924"/>
      <c r="AZ33" s="924"/>
      <c r="BA33" s="924"/>
      <c r="BB33" s="924"/>
      <c r="BC33" s="924"/>
      <c r="BD33" s="925"/>
      <c r="BE33" s="171"/>
      <c r="BF33" s="110"/>
      <c r="BG33" s="171"/>
      <c r="BH33" s="171"/>
      <c r="BI33" s="171"/>
      <c r="BJ33" s="171"/>
      <c r="BK33" s="171"/>
      <c r="BL33" s="171"/>
      <c r="BM33" s="171"/>
      <c r="BN33" s="171"/>
      <c r="BO33" s="171"/>
      <c r="BP33" s="171"/>
      <c r="BQ33" s="171"/>
      <c r="BR33" s="171"/>
      <c r="BS33" s="112"/>
    </row>
    <row r="34" spans="1:71" ht="12" customHeight="1" x14ac:dyDescent="0.2">
      <c r="A34" s="926"/>
      <c r="B34" s="927"/>
      <c r="C34" s="927"/>
      <c r="D34" s="927"/>
      <c r="E34" s="927"/>
      <c r="F34" s="927"/>
      <c r="G34" s="927"/>
      <c r="H34" s="453"/>
      <c r="I34" s="453"/>
      <c r="J34" s="453"/>
      <c r="K34" s="453"/>
      <c r="L34" s="453"/>
      <c r="M34" s="453"/>
      <c r="N34" s="453"/>
      <c r="O34" s="453"/>
      <c r="P34" s="453"/>
      <c r="Q34" s="453"/>
      <c r="R34" s="453"/>
      <c r="S34" s="453"/>
      <c r="T34" s="638"/>
      <c r="U34" s="638"/>
      <c r="V34" s="638"/>
      <c r="W34" s="638"/>
      <c r="X34" s="638"/>
      <c r="Y34" s="638"/>
      <c r="Z34" s="638"/>
      <c r="AA34" s="638"/>
      <c r="AB34" s="638"/>
      <c r="AC34" s="638"/>
      <c r="AD34" s="638"/>
      <c r="AE34" s="638"/>
      <c r="AF34" s="400"/>
      <c r="AG34" s="400"/>
      <c r="AH34" s="400"/>
      <c r="AI34" s="401"/>
      <c r="AJ34" s="107"/>
      <c r="AK34" s="620" t="str">
        <f t="shared" ref="AK34:AK52" si="1">IFERROR(AN34*(1-$BB$30),"")</f>
        <v/>
      </c>
      <c r="AL34" s="621"/>
      <c r="AM34" s="621"/>
      <c r="AN34" s="621" t="str">
        <f t="shared" ref="AN34:AN52" si="2">IFERROR(($AK$53*Q34),"")</f>
        <v/>
      </c>
      <c r="AO34" s="621"/>
      <c r="AP34" s="621"/>
      <c r="AQ34" s="621" t="str">
        <f t="shared" ref="AQ34:AQ52" si="3">IFERROR(AN34*(1+$BB$29),"")</f>
        <v/>
      </c>
      <c r="AR34" s="621"/>
      <c r="AS34" s="622"/>
      <c r="AT34" s="107"/>
      <c r="AU34" s="923" t="str">
        <f t="shared" si="0"/>
        <v/>
      </c>
      <c r="AV34" s="924"/>
      <c r="AW34" s="924"/>
      <c r="AX34" s="924"/>
      <c r="AY34" s="924"/>
      <c r="AZ34" s="924"/>
      <c r="BA34" s="924"/>
      <c r="BB34" s="924"/>
      <c r="BC34" s="924"/>
      <c r="BD34" s="925"/>
      <c r="BE34" s="107"/>
      <c r="BF34" s="110"/>
      <c r="BG34" s="171"/>
      <c r="BH34" s="171"/>
      <c r="BI34" s="171"/>
      <c r="BJ34" s="171"/>
      <c r="BK34" s="171"/>
      <c r="BL34" s="171"/>
      <c r="BM34" s="171"/>
      <c r="BN34" s="171"/>
      <c r="BO34" s="171"/>
      <c r="BP34" s="171"/>
      <c r="BQ34" s="171"/>
      <c r="BR34" s="171"/>
      <c r="BS34" s="112"/>
    </row>
    <row r="35" spans="1:71" s="211" customFormat="1" ht="12.75" thickBot="1" x14ac:dyDescent="0.25">
      <c r="A35" s="926"/>
      <c r="B35" s="927"/>
      <c r="C35" s="927"/>
      <c r="D35" s="927"/>
      <c r="E35" s="927"/>
      <c r="F35" s="927"/>
      <c r="G35" s="927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638"/>
      <c r="U35" s="638"/>
      <c r="V35" s="638"/>
      <c r="W35" s="638"/>
      <c r="X35" s="638"/>
      <c r="Y35" s="638"/>
      <c r="Z35" s="638"/>
      <c r="AA35" s="638"/>
      <c r="AB35" s="638"/>
      <c r="AC35" s="638"/>
      <c r="AD35" s="638"/>
      <c r="AE35" s="638"/>
      <c r="AF35" s="400"/>
      <c r="AG35" s="400"/>
      <c r="AH35" s="400"/>
      <c r="AI35" s="401"/>
      <c r="AJ35" s="107"/>
      <c r="AK35" s="620" t="str">
        <f t="shared" si="1"/>
        <v/>
      </c>
      <c r="AL35" s="621"/>
      <c r="AM35" s="621"/>
      <c r="AN35" s="621" t="str">
        <f t="shared" si="2"/>
        <v/>
      </c>
      <c r="AO35" s="621"/>
      <c r="AP35" s="621"/>
      <c r="AQ35" s="621" t="str">
        <f t="shared" si="3"/>
        <v/>
      </c>
      <c r="AR35" s="621"/>
      <c r="AS35" s="622"/>
      <c r="AT35" s="107"/>
      <c r="AU35" s="923" t="str">
        <f t="shared" si="0"/>
        <v/>
      </c>
      <c r="AV35" s="924"/>
      <c r="AW35" s="924"/>
      <c r="AX35" s="924"/>
      <c r="AY35" s="924"/>
      <c r="AZ35" s="924"/>
      <c r="BA35" s="924"/>
      <c r="BB35" s="924"/>
      <c r="BC35" s="924"/>
      <c r="BD35" s="925"/>
      <c r="BE35" s="107"/>
      <c r="BF35" s="113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5"/>
    </row>
    <row r="36" spans="1:71" s="107" customFormat="1" ht="12" customHeight="1" x14ac:dyDescent="0.2">
      <c r="A36" s="926"/>
      <c r="B36" s="927"/>
      <c r="C36" s="927"/>
      <c r="D36" s="927"/>
      <c r="E36" s="927"/>
      <c r="F36" s="927"/>
      <c r="G36" s="927"/>
      <c r="H36" s="453"/>
      <c r="I36" s="453"/>
      <c r="J36" s="453"/>
      <c r="K36" s="453"/>
      <c r="L36" s="453"/>
      <c r="M36" s="453"/>
      <c r="N36" s="453"/>
      <c r="O36" s="453"/>
      <c r="P36" s="453"/>
      <c r="Q36" s="453"/>
      <c r="R36" s="453"/>
      <c r="S36" s="453"/>
      <c r="T36" s="638"/>
      <c r="U36" s="638"/>
      <c r="V36" s="638"/>
      <c r="W36" s="638"/>
      <c r="X36" s="638"/>
      <c r="Y36" s="638"/>
      <c r="Z36" s="638"/>
      <c r="AA36" s="638"/>
      <c r="AB36" s="638"/>
      <c r="AC36" s="638"/>
      <c r="AD36" s="638"/>
      <c r="AE36" s="638"/>
      <c r="AF36" s="400"/>
      <c r="AG36" s="400"/>
      <c r="AH36" s="400"/>
      <c r="AI36" s="401"/>
      <c r="AK36" s="620" t="str">
        <f t="shared" si="1"/>
        <v/>
      </c>
      <c r="AL36" s="621"/>
      <c r="AM36" s="621"/>
      <c r="AN36" s="621" t="str">
        <f t="shared" si="2"/>
        <v/>
      </c>
      <c r="AO36" s="621"/>
      <c r="AP36" s="621"/>
      <c r="AQ36" s="621" t="str">
        <f t="shared" si="3"/>
        <v/>
      </c>
      <c r="AR36" s="621"/>
      <c r="AS36" s="622"/>
      <c r="AU36" s="923" t="str">
        <f t="shared" si="0"/>
        <v/>
      </c>
      <c r="AV36" s="924"/>
      <c r="AW36" s="924"/>
      <c r="AX36" s="924"/>
      <c r="AY36" s="924"/>
      <c r="AZ36" s="924"/>
      <c r="BA36" s="924"/>
      <c r="BB36" s="924"/>
      <c r="BC36" s="924"/>
      <c r="BD36" s="925"/>
    </row>
    <row r="37" spans="1:71" s="107" customFormat="1" ht="12" customHeight="1" x14ac:dyDescent="0.2">
      <c r="A37" s="926"/>
      <c r="B37" s="927"/>
      <c r="C37" s="927"/>
      <c r="D37" s="927"/>
      <c r="E37" s="927"/>
      <c r="F37" s="927"/>
      <c r="G37" s="927"/>
      <c r="H37" s="453"/>
      <c r="I37" s="453"/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638"/>
      <c r="U37" s="638"/>
      <c r="V37" s="638"/>
      <c r="W37" s="638"/>
      <c r="X37" s="638"/>
      <c r="Y37" s="638"/>
      <c r="Z37" s="638"/>
      <c r="AA37" s="638"/>
      <c r="AB37" s="638"/>
      <c r="AC37" s="638"/>
      <c r="AD37" s="638"/>
      <c r="AE37" s="638"/>
      <c r="AF37" s="400"/>
      <c r="AG37" s="400"/>
      <c r="AH37" s="400"/>
      <c r="AI37" s="401"/>
      <c r="AK37" s="620" t="str">
        <f t="shared" si="1"/>
        <v/>
      </c>
      <c r="AL37" s="621"/>
      <c r="AM37" s="621"/>
      <c r="AN37" s="621" t="str">
        <f t="shared" si="2"/>
        <v/>
      </c>
      <c r="AO37" s="621"/>
      <c r="AP37" s="621"/>
      <c r="AQ37" s="621" t="str">
        <f t="shared" si="3"/>
        <v/>
      </c>
      <c r="AR37" s="621"/>
      <c r="AS37" s="622"/>
      <c r="AU37" s="923" t="str">
        <f t="shared" si="0"/>
        <v/>
      </c>
      <c r="AV37" s="924"/>
      <c r="AW37" s="924"/>
      <c r="AX37" s="924"/>
      <c r="AY37" s="924"/>
      <c r="AZ37" s="924"/>
      <c r="BA37" s="924"/>
      <c r="BB37" s="924"/>
      <c r="BC37" s="924"/>
      <c r="BD37" s="925"/>
    </row>
    <row r="38" spans="1:71" s="107" customFormat="1" ht="12" customHeight="1" x14ac:dyDescent="0.2">
      <c r="A38" s="926"/>
      <c r="B38" s="927"/>
      <c r="C38" s="927"/>
      <c r="D38" s="927"/>
      <c r="E38" s="927"/>
      <c r="F38" s="927"/>
      <c r="G38" s="927"/>
      <c r="H38" s="453"/>
      <c r="I38" s="453"/>
      <c r="J38" s="453"/>
      <c r="K38" s="453"/>
      <c r="L38" s="453"/>
      <c r="M38" s="453"/>
      <c r="N38" s="453"/>
      <c r="O38" s="453"/>
      <c r="P38" s="453"/>
      <c r="Q38" s="453"/>
      <c r="R38" s="453"/>
      <c r="S38" s="453"/>
      <c r="T38" s="638"/>
      <c r="U38" s="638"/>
      <c r="V38" s="638"/>
      <c r="W38" s="638"/>
      <c r="X38" s="638"/>
      <c r="Y38" s="638"/>
      <c r="Z38" s="638"/>
      <c r="AA38" s="638"/>
      <c r="AB38" s="638"/>
      <c r="AC38" s="638"/>
      <c r="AD38" s="638"/>
      <c r="AE38" s="638"/>
      <c r="AF38" s="400"/>
      <c r="AG38" s="400"/>
      <c r="AH38" s="400"/>
      <c r="AI38" s="401"/>
      <c r="AK38" s="620" t="str">
        <f t="shared" si="1"/>
        <v/>
      </c>
      <c r="AL38" s="621"/>
      <c r="AM38" s="621"/>
      <c r="AN38" s="621" t="str">
        <f t="shared" si="2"/>
        <v/>
      </c>
      <c r="AO38" s="621"/>
      <c r="AP38" s="621"/>
      <c r="AQ38" s="621" t="str">
        <f t="shared" si="3"/>
        <v/>
      </c>
      <c r="AR38" s="621"/>
      <c r="AS38" s="622"/>
      <c r="AU38" s="923" t="str">
        <f t="shared" si="0"/>
        <v/>
      </c>
      <c r="AV38" s="924"/>
      <c r="AW38" s="924"/>
      <c r="AX38" s="924"/>
      <c r="AY38" s="924"/>
      <c r="AZ38" s="924"/>
      <c r="BA38" s="924"/>
      <c r="BB38" s="924"/>
      <c r="BC38" s="924"/>
      <c r="BD38" s="925"/>
    </row>
    <row r="39" spans="1:71" s="107" customFormat="1" ht="12" customHeight="1" x14ac:dyDescent="0.2">
      <c r="A39" s="926"/>
      <c r="B39" s="927"/>
      <c r="C39" s="927"/>
      <c r="D39" s="927"/>
      <c r="E39" s="927"/>
      <c r="F39" s="927"/>
      <c r="G39" s="927"/>
      <c r="H39" s="453"/>
      <c r="I39" s="453"/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638"/>
      <c r="U39" s="638"/>
      <c r="V39" s="638"/>
      <c r="W39" s="638"/>
      <c r="X39" s="638"/>
      <c r="Y39" s="638"/>
      <c r="Z39" s="638"/>
      <c r="AA39" s="638"/>
      <c r="AB39" s="638"/>
      <c r="AC39" s="638"/>
      <c r="AD39" s="638"/>
      <c r="AE39" s="638"/>
      <c r="AF39" s="400"/>
      <c r="AG39" s="400"/>
      <c r="AH39" s="400"/>
      <c r="AI39" s="401"/>
      <c r="AK39" s="620" t="str">
        <f t="shared" si="1"/>
        <v/>
      </c>
      <c r="AL39" s="621"/>
      <c r="AM39" s="621"/>
      <c r="AN39" s="621" t="str">
        <f t="shared" si="2"/>
        <v/>
      </c>
      <c r="AO39" s="621"/>
      <c r="AP39" s="621"/>
      <c r="AQ39" s="621" t="str">
        <f t="shared" si="3"/>
        <v/>
      </c>
      <c r="AR39" s="621"/>
      <c r="AS39" s="622"/>
      <c r="AU39" s="923" t="str">
        <f t="shared" si="0"/>
        <v/>
      </c>
      <c r="AV39" s="924"/>
      <c r="AW39" s="924"/>
      <c r="AX39" s="924"/>
      <c r="AY39" s="924"/>
      <c r="AZ39" s="924"/>
      <c r="BA39" s="924"/>
      <c r="BB39" s="924"/>
      <c r="BC39" s="924"/>
      <c r="BD39" s="925"/>
    </row>
    <row r="40" spans="1:71" s="107" customFormat="1" ht="12" customHeight="1" x14ac:dyDescent="0.2">
      <c r="A40" s="926"/>
      <c r="B40" s="927"/>
      <c r="C40" s="927"/>
      <c r="D40" s="927"/>
      <c r="E40" s="927"/>
      <c r="F40" s="927"/>
      <c r="G40" s="927"/>
      <c r="H40" s="453"/>
      <c r="I40" s="453"/>
      <c r="J40" s="453"/>
      <c r="K40" s="453"/>
      <c r="L40" s="453"/>
      <c r="M40" s="453"/>
      <c r="N40" s="453"/>
      <c r="O40" s="453"/>
      <c r="P40" s="453"/>
      <c r="Q40" s="453"/>
      <c r="R40" s="453"/>
      <c r="S40" s="453"/>
      <c r="T40" s="638"/>
      <c r="U40" s="638"/>
      <c r="V40" s="638"/>
      <c r="W40" s="638"/>
      <c r="X40" s="638"/>
      <c r="Y40" s="638"/>
      <c r="Z40" s="638"/>
      <c r="AA40" s="638"/>
      <c r="AB40" s="638"/>
      <c r="AC40" s="638"/>
      <c r="AD40" s="638"/>
      <c r="AE40" s="638"/>
      <c r="AF40" s="400"/>
      <c r="AG40" s="400"/>
      <c r="AH40" s="400"/>
      <c r="AI40" s="401"/>
      <c r="AK40" s="620" t="str">
        <f t="shared" si="1"/>
        <v/>
      </c>
      <c r="AL40" s="621"/>
      <c r="AM40" s="621"/>
      <c r="AN40" s="621" t="str">
        <f t="shared" si="2"/>
        <v/>
      </c>
      <c r="AO40" s="621"/>
      <c r="AP40" s="621"/>
      <c r="AQ40" s="621" t="str">
        <f t="shared" si="3"/>
        <v/>
      </c>
      <c r="AR40" s="621"/>
      <c r="AS40" s="622"/>
      <c r="AU40" s="923" t="str">
        <f t="shared" si="0"/>
        <v/>
      </c>
      <c r="AV40" s="924"/>
      <c r="AW40" s="924"/>
      <c r="AX40" s="924"/>
      <c r="AY40" s="924"/>
      <c r="AZ40" s="924"/>
      <c r="BA40" s="924"/>
      <c r="BB40" s="924"/>
      <c r="BC40" s="924"/>
      <c r="BD40" s="925"/>
    </row>
    <row r="41" spans="1:71" s="107" customFormat="1" ht="12" customHeight="1" x14ac:dyDescent="0.2">
      <c r="A41" s="926"/>
      <c r="B41" s="927"/>
      <c r="C41" s="927"/>
      <c r="D41" s="927"/>
      <c r="E41" s="927"/>
      <c r="F41" s="927"/>
      <c r="G41" s="927"/>
      <c r="H41" s="453"/>
      <c r="I41" s="453"/>
      <c r="J41" s="453"/>
      <c r="K41" s="453"/>
      <c r="L41" s="453"/>
      <c r="M41" s="453"/>
      <c r="N41" s="453"/>
      <c r="O41" s="453"/>
      <c r="P41" s="453"/>
      <c r="Q41" s="453"/>
      <c r="R41" s="453"/>
      <c r="S41" s="453"/>
      <c r="T41" s="638"/>
      <c r="U41" s="638"/>
      <c r="V41" s="638"/>
      <c r="W41" s="638"/>
      <c r="X41" s="638"/>
      <c r="Y41" s="638"/>
      <c r="Z41" s="638"/>
      <c r="AA41" s="638"/>
      <c r="AB41" s="638"/>
      <c r="AC41" s="638"/>
      <c r="AD41" s="638"/>
      <c r="AE41" s="638"/>
      <c r="AF41" s="400"/>
      <c r="AG41" s="400"/>
      <c r="AH41" s="400"/>
      <c r="AI41" s="401"/>
      <c r="AK41" s="620" t="str">
        <f t="shared" si="1"/>
        <v/>
      </c>
      <c r="AL41" s="621"/>
      <c r="AM41" s="621"/>
      <c r="AN41" s="621" t="str">
        <f t="shared" si="2"/>
        <v/>
      </c>
      <c r="AO41" s="621"/>
      <c r="AP41" s="621"/>
      <c r="AQ41" s="621" t="str">
        <f t="shared" si="3"/>
        <v/>
      </c>
      <c r="AR41" s="621"/>
      <c r="AS41" s="622"/>
      <c r="AU41" s="923" t="str">
        <f t="shared" si="0"/>
        <v/>
      </c>
      <c r="AV41" s="924"/>
      <c r="AW41" s="924"/>
      <c r="AX41" s="924"/>
      <c r="AY41" s="924"/>
      <c r="AZ41" s="924"/>
      <c r="BA41" s="924"/>
      <c r="BB41" s="924"/>
      <c r="BC41" s="924"/>
      <c r="BD41" s="925"/>
    </row>
    <row r="42" spans="1:71" s="107" customFormat="1" ht="12" customHeight="1" x14ac:dyDescent="0.2">
      <c r="A42" s="926"/>
      <c r="B42" s="927"/>
      <c r="C42" s="927"/>
      <c r="D42" s="927"/>
      <c r="E42" s="927"/>
      <c r="F42" s="927"/>
      <c r="G42" s="927"/>
      <c r="H42" s="453"/>
      <c r="I42" s="453"/>
      <c r="J42" s="453"/>
      <c r="K42" s="453"/>
      <c r="L42" s="453"/>
      <c r="M42" s="453"/>
      <c r="N42" s="453"/>
      <c r="O42" s="453"/>
      <c r="P42" s="453"/>
      <c r="Q42" s="453"/>
      <c r="R42" s="453"/>
      <c r="S42" s="453"/>
      <c r="T42" s="638"/>
      <c r="U42" s="638"/>
      <c r="V42" s="638"/>
      <c r="W42" s="638"/>
      <c r="X42" s="638"/>
      <c r="Y42" s="638"/>
      <c r="Z42" s="638"/>
      <c r="AA42" s="638"/>
      <c r="AB42" s="638"/>
      <c r="AC42" s="638"/>
      <c r="AD42" s="638"/>
      <c r="AE42" s="638"/>
      <c r="AF42" s="400"/>
      <c r="AG42" s="400"/>
      <c r="AH42" s="400"/>
      <c r="AI42" s="401"/>
      <c r="AK42" s="620" t="str">
        <f t="shared" si="1"/>
        <v/>
      </c>
      <c r="AL42" s="621"/>
      <c r="AM42" s="621"/>
      <c r="AN42" s="621" t="str">
        <f t="shared" si="2"/>
        <v/>
      </c>
      <c r="AO42" s="621"/>
      <c r="AP42" s="621"/>
      <c r="AQ42" s="621" t="str">
        <f t="shared" si="3"/>
        <v/>
      </c>
      <c r="AR42" s="621"/>
      <c r="AS42" s="622"/>
      <c r="AU42" s="923" t="str">
        <f t="shared" si="0"/>
        <v/>
      </c>
      <c r="AV42" s="924"/>
      <c r="AW42" s="924"/>
      <c r="AX42" s="924"/>
      <c r="AY42" s="924"/>
      <c r="AZ42" s="924"/>
      <c r="BA42" s="924"/>
      <c r="BB42" s="924"/>
      <c r="BC42" s="924"/>
      <c r="BD42" s="925"/>
    </row>
    <row r="43" spans="1:71" s="107" customFormat="1" ht="12" customHeight="1" x14ac:dyDescent="0.2">
      <c r="A43" s="926"/>
      <c r="B43" s="927"/>
      <c r="C43" s="927"/>
      <c r="D43" s="927"/>
      <c r="E43" s="927"/>
      <c r="F43" s="927"/>
      <c r="G43" s="927"/>
      <c r="H43" s="453"/>
      <c r="I43" s="453"/>
      <c r="J43" s="453"/>
      <c r="K43" s="453"/>
      <c r="L43" s="453"/>
      <c r="M43" s="453"/>
      <c r="N43" s="453"/>
      <c r="O43" s="453"/>
      <c r="P43" s="453"/>
      <c r="Q43" s="453"/>
      <c r="R43" s="453"/>
      <c r="S43" s="453"/>
      <c r="T43" s="638"/>
      <c r="U43" s="638"/>
      <c r="V43" s="638"/>
      <c r="W43" s="638"/>
      <c r="X43" s="638"/>
      <c r="Y43" s="638"/>
      <c r="Z43" s="638"/>
      <c r="AA43" s="638"/>
      <c r="AB43" s="638"/>
      <c r="AC43" s="638"/>
      <c r="AD43" s="638"/>
      <c r="AE43" s="638"/>
      <c r="AF43" s="400"/>
      <c r="AG43" s="400"/>
      <c r="AH43" s="400"/>
      <c r="AI43" s="401"/>
      <c r="AK43" s="620" t="str">
        <f t="shared" si="1"/>
        <v/>
      </c>
      <c r="AL43" s="621"/>
      <c r="AM43" s="621"/>
      <c r="AN43" s="621" t="str">
        <f t="shared" si="2"/>
        <v/>
      </c>
      <c r="AO43" s="621"/>
      <c r="AP43" s="621"/>
      <c r="AQ43" s="621" t="str">
        <f t="shared" si="3"/>
        <v/>
      </c>
      <c r="AR43" s="621"/>
      <c r="AS43" s="622"/>
      <c r="AU43" s="923" t="str">
        <f t="shared" si="0"/>
        <v/>
      </c>
      <c r="AV43" s="924"/>
      <c r="AW43" s="924"/>
      <c r="AX43" s="924"/>
      <c r="AY43" s="924"/>
      <c r="AZ43" s="924"/>
      <c r="BA43" s="924"/>
      <c r="BB43" s="924"/>
      <c r="BC43" s="924"/>
      <c r="BD43" s="925"/>
    </row>
    <row r="44" spans="1:71" s="107" customFormat="1" ht="12" customHeight="1" x14ac:dyDescent="0.2">
      <c r="A44" s="926"/>
      <c r="B44" s="927"/>
      <c r="C44" s="927"/>
      <c r="D44" s="927"/>
      <c r="E44" s="927"/>
      <c r="F44" s="927"/>
      <c r="G44" s="927"/>
      <c r="H44" s="453"/>
      <c r="I44" s="453"/>
      <c r="J44" s="453"/>
      <c r="K44" s="453"/>
      <c r="L44" s="453"/>
      <c r="M44" s="453"/>
      <c r="N44" s="453"/>
      <c r="O44" s="453"/>
      <c r="P44" s="453"/>
      <c r="Q44" s="453"/>
      <c r="R44" s="453"/>
      <c r="S44" s="453"/>
      <c r="T44" s="638"/>
      <c r="U44" s="638"/>
      <c r="V44" s="638"/>
      <c r="W44" s="638"/>
      <c r="X44" s="638"/>
      <c r="Y44" s="638"/>
      <c r="Z44" s="638"/>
      <c r="AA44" s="638"/>
      <c r="AB44" s="638"/>
      <c r="AC44" s="638"/>
      <c r="AD44" s="638"/>
      <c r="AE44" s="638"/>
      <c r="AF44" s="400"/>
      <c r="AG44" s="400"/>
      <c r="AH44" s="400"/>
      <c r="AI44" s="401"/>
      <c r="AK44" s="620" t="str">
        <f t="shared" si="1"/>
        <v/>
      </c>
      <c r="AL44" s="621"/>
      <c r="AM44" s="621"/>
      <c r="AN44" s="621" t="str">
        <f t="shared" si="2"/>
        <v/>
      </c>
      <c r="AO44" s="621"/>
      <c r="AP44" s="621"/>
      <c r="AQ44" s="621" t="str">
        <f t="shared" si="3"/>
        <v/>
      </c>
      <c r="AR44" s="621"/>
      <c r="AS44" s="622"/>
      <c r="AU44" s="923" t="str">
        <f t="shared" si="0"/>
        <v/>
      </c>
      <c r="AV44" s="924"/>
      <c r="AW44" s="924"/>
      <c r="AX44" s="924"/>
      <c r="AY44" s="924"/>
      <c r="AZ44" s="924"/>
      <c r="BA44" s="924"/>
      <c r="BB44" s="924"/>
      <c r="BC44" s="924"/>
      <c r="BD44" s="925"/>
    </row>
    <row r="45" spans="1:71" s="107" customFormat="1" ht="12" customHeight="1" x14ac:dyDescent="0.2">
      <c r="A45" s="926"/>
      <c r="B45" s="927"/>
      <c r="C45" s="927"/>
      <c r="D45" s="927"/>
      <c r="E45" s="927"/>
      <c r="F45" s="927"/>
      <c r="G45" s="927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53"/>
      <c r="S45" s="453"/>
      <c r="T45" s="638"/>
      <c r="U45" s="638"/>
      <c r="V45" s="638"/>
      <c r="W45" s="638"/>
      <c r="X45" s="638"/>
      <c r="Y45" s="638"/>
      <c r="Z45" s="638"/>
      <c r="AA45" s="638"/>
      <c r="AB45" s="638"/>
      <c r="AC45" s="638"/>
      <c r="AD45" s="638"/>
      <c r="AE45" s="638"/>
      <c r="AF45" s="400"/>
      <c r="AG45" s="400"/>
      <c r="AH45" s="400"/>
      <c r="AI45" s="401"/>
      <c r="AK45" s="620" t="str">
        <f t="shared" si="1"/>
        <v/>
      </c>
      <c r="AL45" s="621"/>
      <c r="AM45" s="621"/>
      <c r="AN45" s="621" t="str">
        <f t="shared" si="2"/>
        <v/>
      </c>
      <c r="AO45" s="621"/>
      <c r="AP45" s="621"/>
      <c r="AQ45" s="621" t="str">
        <f t="shared" si="3"/>
        <v/>
      </c>
      <c r="AR45" s="621"/>
      <c r="AS45" s="622"/>
      <c r="AU45" s="923" t="str">
        <f t="shared" si="0"/>
        <v/>
      </c>
      <c r="AV45" s="924"/>
      <c r="AW45" s="924"/>
      <c r="AX45" s="924"/>
      <c r="AY45" s="924"/>
      <c r="AZ45" s="924"/>
      <c r="BA45" s="924"/>
      <c r="BB45" s="924"/>
      <c r="BC45" s="924"/>
      <c r="BD45" s="925"/>
    </row>
    <row r="46" spans="1:71" s="107" customFormat="1" ht="12" customHeight="1" x14ac:dyDescent="0.2">
      <c r="A46" s="926"/>
      <c r="B46" s="927"/>
      <c r="C46" s="927"/>
      <c r="D46" s="927"/>
      <c r="E46" s="927"/>
      <c r="F46" s="927"/>
      <c r="G46" s="927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638"/>
      <c r="U46" s="638"/>
      <c r="V46" s="638"/>
      <c r="W46" s="638"/>
      <c r="X46" s="638"/>
      <c r="Y46" s="638"/>
      <c r="Z46" s="638"/>
      <c r="AA46" s="638"/>
      <c r="AB46" s="638"/>
      <c r="AC46" s="638"/>
      <c r="AD46" s="638"/>
      <c r="AE46" s="638"/>
      <c r="AF46" s="400"/>
      <c r="AG46" s="400"/>
      <c r="AH46" s="400"/>
      <c r="AI46" s="401"/>
      <c r="AK46" s="620" t="str">
        <f t="shared" si="1"/>
        <v/>
      </c>
      <c r="AL46" s="621"/>
      <c r="AM46" s="621"/>
      <c r="AN46" s="621" t="str">
        <f t="shared" si="2"/>
        <v/>
      </c>
      <c r="AO46" s="621"/>
      <c r="AP46" s="621"/>
      <c r="AQ46" s="621" t="str">
        <f t="shared" si="3"/>
        <v/>
      </c>
      <c r="AR46" s="621"/>
      <c r="AS46" s="622"/>
      <c r="AU46" s="923" t="str">
        <f t="shared" si="0"/>
        <v/>
      </c>
      <c r="AV46" s="924"/>
      <c r="AW46" s="924"/>
      <c r="AX46" s="924"/>
      <c r="AY46" s="924"/>
      <c r="AZ46" s="924"/>
      <c r="BA46" s="924"/>
      <c r="BB46" s="924"/>
      <c r="BC46" s="924"/>
      <c r="BD46" s="925"/>
    </row>
    <row r="47" spans="1:71" s="107" customFormat="1" ht="12" customHeight="1" x14ac:dyDescent="0.2">
      <c r="A47" s="926"/>
      <c r="B47" s="927"/>
      <c r="C47" s="927"/>
      <c r="D47" s="927"/>
      <c r="E47" s="927"/>
      <c r="F47" s="927"/>
      <c r="G47" s="927"/>
      <c r="H47" s="453"/>
      <c r="I47" s="453"/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638"/>
      <c r="U47" s="638"/>
      <c r="V47" s="638"/>
      <c r="W47" s="638"/>
      <c r="X47" s="638"/>
      <c r="Y47" s="638"/>
      <c r="Z47" s="638"/>
      <c r="AA47" s="638"/>
      <c r="AB47" s="638"/>
      <c r="AC47" s="638"/>
      <c r="AD47" s="638"/>
      <c r="AE47" s="638"/>
      <c r="AF47" s="400"/>
      <c r="AG47" s="400"/>
      <c r="AH47" s="400"/>
      <c r="AI47" s="401"/>
      <c r="AK47" s="620" t="str">
        <f t="shared" si="1"/>
        <v/>
      </c>
      <c r="AL47" s="621"/>
      <c r="AM47" s="621"/>
      <c r="AN47" s="621" t="str">
        <f t="shared" si="2"/>
        <v/>
      </c>
      <c r="AO47" s="621"/>
      <c r="AP47" s="621"/>
      <c r="AQ47" s="621" t="str">
        <f t="shared" si="3"/>
        <v/>
      </c>
      <c r="AR47" s="621"/>
      <c r="AS47" s="622"/>
      <c r="AU47" s="923" t="str">
        <f t="shared" si="0"/>
        <v/>
      </c>
      <c r="AV47" s="924"/>
      <c r="AW47" s="924"/>
      <c r="AX47" s="924"/>
      <c r="AY47" s="924"/>
      <c r="AZ47" s="924"/>
      <c r="BA47" s="924"/>
      <c r="BB47" s="924"/>
      <c r="BC47" s="924"/>
      <c r="BD47" s="925"/>
    </row>
    <row r="48" spans="1:71" s="107" customFormat="1" ht="12" customHeight="1" x14ac:dyDescent="0.2">
      <c r="A48" s="926"/>
      <c r="B48" s="927"/>
      <c r="C48" s="927"/>
      <c r="D48" s="927"/>
      <c r="E48" s="927"/>
      <c r="F48" s="927"/>
      <c r="G48" s="927"/>
      <c r="H48" s="453"/>
      <c r="I48" s="453"/>
      <c r="J48" s="453"/>
      <c r="K48" s="453"/>
      <c r="L48" s="453"/>
      <c r="M48" s="453"/>
      <c r="N48" s="453"/>
      <c r="O48" s="453"/>
      <c r="P48" s="453"/>
      <c r="Q48" s="453"/>
      <c r="R48" s="453"/>
      <c r="S48" s="453"/>
      <c r="T48" s="638"/>
      <c r="U48" s="638"/>
      <c r="V48" s="638"/>
      <c r="W48" s="638"/>
      <c r="X48" s="638"/>
      <c r="Y48" s="638"/>
      <c r="Z48" s="638"/>
      <c r="AA48" s="638"/>
      <c r="AB48" s="638"/>
      <c r="AC48" s="638"/>
      <c r="AD48" s="638"/>
      <c r="AE48" s="638"/>
      <c r="AF48" s="400"/>
      <c r="AG48" s="400"/>
      <c r="AH48" s="400"/>
      <c r="AI48" s="401"/>
      <c r="AK48" s="620" t="str">
        <f t="shared" si="1"/>
        <v/>
      </c>
      <c r="AL48" s="621"/>
      <c r="AM48" s="621"/>
      <c r="AN48" s="621" t="str">
        <f t="shared" si="2"/>
        <v/>
      </c>
      <c r="AO48" s="621"/>
      <c r="AP48" s="621"/>
      <c r="AQ48" s="621" t="str">
        <f t="shared" si="3"/>
        <v/>
      </c>
      <c r="AR48" s="621"/>
      <c r="AS48" s="622"/>
      <c r="AU48" s="923" t="str">
        <f t="shared" si="0"/>
        <v/>
      </c>
      <c r="AV48" s="924"/>
      <c r="AW48" s="924"/>
      <c r="AX48" s="924"/>
      <c r="AY48" s="924"/>
      <c r="AZ48" s="924"/>
      <c r="BA48" s="924"/>
      <c r="BB48" s="924"/>
      <c r="BC48" s="924"/>
      <c r="BD48" s="925"/>
    </row>
    <row r="49" spans="1:71" s="107" customFormat="1" ht="12" customHeight="1" x14ac:dyDescent="0.2">
      <c r="A49" s="926"/>
      <c r="B49" s="927"/>
      <c r="C49" s="927"/>
      <c r="D49" s="927"/>
      <c r="E49" s="927"/>
      <c r="F49" s="927"/>
      <c r="G49" s="927"/>
      <c r="H49" s="453"/>
      <c r="I49" s="453"/>
      <c r="J49" s="453"/>
      <c r="K49" s="453"/>
      <c r="L49" s="453"/>
      <c r="M49" s="453"/>
      <c r="N49" s="453"/>
      <c r="O49" s="453"/>
      <c r="P49" s="453"/>
      <c r="Q49" s="453"/>
      <c r="R49" s="453"/>
      <c r="S49" s="453"/>
      <c r="T49" s="638"/>
      <c r="U49" s="638"/>
      <c r="V49" s="638"/>
      <c r="W49" s="638"/>
      <c r="X49" s="638"/>
      <c r="Y49" s="638"/>
      <c r="Z49" s="638"/>
      <c r="AA49" s="638"/>
      <c r="AB49" s="638"/>
      <c r="AC49" s="638"/>
      <c r="AD49" s="638"/>
      <c r="AE49" s="638"/>
      <c r="AF49" s="400"/>
      <c r="AG49" s="400"/>
      <c r="AH49" s="400"/>
      <c r="AI49" s="401"/>
      <c r="AK49" s="620" t="str">
        <f t="shared" si="1"/>
        <v/>
      </c>
      <c r="AL49" s="621"/>
      <c r="AM49" s="621"/>
      <c r="AN49" s="621" t="str">
        <f t="shared" si="2"/>
        <v/>
      </c>
      <c r="AO49" s="621"/>
      <c r="AP49" s="621"/>
      <c r="AQ49" s="621" t="str">
        <f t="shared" si="3"/>
        <v/>
      </c>
      <c r="AR49" s="621"/>
      <c r="AS49" s="622"/>
      <c r="AU49" s="923" t="str">
        <f t="shared" si="0"/>
        <v/>
      </c>
      <c r="AV49" s="924"/>
      <c r="AW49" s="924"/>
      <c r="AX49" s="924"/>
      <c r="AY49" s="924"/>
      <c r="AZ49" s="924"/>
      <c r="BA49" s="924"/>
      <c r="BB49" s="924"/>
      <c r="BC49" s="924"/>
      <c r="BD49" s="925"/>
    </row>
    <row r="50" spans="1:71" s="107" customFormat="1" ht="12" customHeight="1" x14ac:dyDescent="0.2">
      <c r="A50" s="926"/>
      <c r="B50" s="927"/>
      <c r="C50" s="927"/>
      <c r="D50" s="927"/>
      <c r="E50" s="927"/>
      <c r="F50" s="927"/>
      <c r="G50" s="927"/>
      <c r="H50" s="453"/>
      <c r="I50" s="453"/>
      <c r="J50" s="453"/>
      <c r="K50" s="453"/>
      <c r="L50" s="453"/>
      <c r="M50" s="453"/>
      <c r="N50" s="453"/>
      <c r="O50" s="453"/>
      <c r="P50" s="453"/>
      <c r="Q50" s="453"/>
      <c r="R50" s="453"/>
      <c r="S50" s="453"/>
      <c r="T50" s="638"/>
      <c r="U50" s="638"/>
      <c r="V50" s="638"/>
      <c r="W50" s="638"/>
      <c r="X50" s="638"/>
      <c r="Y50" s="638"/>
      <c r="Z50" s="638"/>
      <c r="AA50" s="638"/>
      <c r="AB50" s="638"/>
      <c r="AC50" s="638"/>
      <c r="AD50" s="638"/>
      <c r="AE50" s="638"/>
      <c r="AF50" s="400"/>
      <c r="AG50" s="400"/>
      <c r="AH50" s="400"/>
      <c r="AI50" s="401"/>
      <c r="AK50" s="620" t="str">
        <f t="shared" si="1"/>
        <v/>
      </c>
      <c r="AL50" s="621"/>
      <c r="AM50" s="621"/>
      <c r="AN50" s="621" t="str">
        <f t="shared" si="2"/>
        <v/>
      </c>
      <c r="AO50" s="621"/>
      <c r="AP50" s="621"/>
      <c r="AQ50" s="621" t="str">
        <f t="shared" si="3"/>
        <v/>
      </c>
      <c r="AR50" s="621"/>
      <c r="AS50" s="622"/>
      <c r="AU50" s="923" t="str">
        <f t="shared" si="0"/>
        <v/>
      </c>
      <c r="AV50" s="924"/>
      <c r="AW50" s="924"/>
      <c r="AX50" s="924"/>
      <c r="AY50" s="924"/>
      <c r="AZ50" s="924"/>
      <c r="BA50" s="924"/>
      <c r="BB50" s="924"/>
      <c r="BC50" s="924"/>
      <c r="BD50" s="925"/>
    </row>
    <row r="51" spans="1:71" s="107" customFormat="1" ht="12" customHeight="1" x14ac:dyDescent="0.2">
      <c r="A51" s="926"/>
      <c r="B51" s="927"/>
      <c r="C51" s="927"/>
      <c r="D51" s="927"/>
      <c r="E51" s="927"/>
      <c r="F51" s="927"/>
      <c r="G51" s="927"/>
      <c r="H51" s="453"/>
      <c r="I51" s="453"/>
      <c r="J51" s="453"/>
      <c r="K51" s="453"/>
      <c r="L51" s="453"/>
      <c r="M51" s="453"/>
      <c r="N51" s="453"/>
      <c r="O51" s="453"/>
      <c r="P51" s="453"/>
      <c r="Q51" s="453"/>
      <c r="R51" s="453"/>
      <c r="S51" s="453"/>
      <c r="T51" s="638"/>
      <c r="U51" s="638"/>
      <c r="V51" s="638"/>
      <c r="W51" s="638"/>
      <c r="X51" s="638"/>
      <c r="Y51" s="638"/>
      <c r="Z51" s="638"/>
      <c r="AA51" s="638"/>
      <c r="AB51" s="638"/>
      <c r="AC51" s="638"/>
      <c r="AD51" s="638"/>
      <c r="AE51" s="638"/>
      <c r="AF51" s="400"/>
      <c r="AG51" s="400"/>
      <c r="AH51" s="400"/>
      <c r="AI51" s="401"/>
      <c r="AK51" s="620" t="str">
        <f t="shared" si="1"/>
        <v/>
      </c>
      <c r="AL51" s="621"/>
      <c r="AM51" s="621"/>
      <c r="AN51" s="621" t="str">
        <f t="shared" si="2"/>
        <v/>
      </c>
      <c r="AO51" s="621"/>
      <c r="AP51" s="621"/>
      <c r="AQ51" s="621" t="str">
        <f t="shared" si="3"/>
        <v/>
      </c>
      <c r="AR51" s="621"/>
      <c r="AS51" s="622"/>
      <c r="AU51" s="923" t="str">
        <f t="shared" si="0"/>
        <v/>
      </c>
      <c r="AV51" s="924"/>
      <c r="AW51" s="924"/>
      <c r="AX51" s="924"/>
      <c r="AY51" s="924"/>
      <c r="AZ51" s="924"/>
      <c r="BA51" s="924"/>
      <c r="BB51" s="924"/>
      <c r="BC51" s="924"/>
      <c r="BD51" s="925"/>
    </row>
    <row r="52" spans="1:71" s="107" customFormat="1" ht="12" customHeight="1" x14ac:dyDescent="0.2">
      <c r="A52" s="926"/>
      <c r="B52" s="927"/>
      <c r="C52" s="927"/>
      <c r="D52" s="927"/>
      <c r="E52" s="927"/>
      <c r="F52" s="927"/>
      <c r="G52" s="927"/>
      <c r="H52" s="453"/>
      <c r="I52" s="453"/>
      <c r="J52" s="453"/>
      <c r="K52" s="453"/>
      <c r="L52" s="453"/>
      <c r="M52" s="453"/>
      <c r="N52" s="453"/>
      <c r="O52" s="453"/>
      <c r="P52" s="453"/>
      <c r="Q52" s="453"/>
      <c r="R52" s="453"/>
      <c r="S52" s="453"/>
      <c r="T52" s="638"/>
      <c r="U52" s="638"/>
      <c r="V52" s="638"/>
      <c r="W52" s="638"/>
      <c r="X52" s="638"/>
      <c r="Y52" s="638"/>
      <c r="Z52" s="638"/>
      <c r="AA52" s="638"/>
      <c r="AB52" s="638"/>
      <c r="AC52" s="638"/>
      <c r="AD52" s="638"/>
      <c r="AE52" s="638"/>
      <c r="AF52" s="400"/>
      <c r="AG52" s="400"/>
      <c r="AH52" s="400"/>
      <c r="AI52" s="401"/>
      <c r="AK52" s="620" t="str">
        <f t="shared" si="1"/>
        <v/>
      </c>
      <c r="AL52" s="621"/>
      <c r="AM52" s="621"/>
      <c r="AN52" s="621" t="str">
        <f t="shared" si="2"/>
        <v/>
      </c>
      <c r="AO52" s="621"/>
      <c r="AP52" s="621"/>
      <c r="AQ52" s="621" t="str">
        <f t="shared" si="3"/>
        <v/>
      </c>
      <c r="AR52" s="621"/>
      <c r="AS52" s="622"/>
      <c r="AU52" s="923" t="str">
        <f t="shared" si="0"/>
        <v/>
      </c>
      <c r="AV52" s="924"/>
      <c r="AW52" s="924"/>
      <c r="AX52" s="924"/>
      <c r="AY52" s="924"/>
      <c r="AZ52" s="924"/>
      <c r="BA52" s="924"/>
      <c r="BB52" s="924"/>
      <c r="BC52" s="924"/>
      <c r="BD52" s="925"/>
    </row>
    <row r="53" spans="1:71" s="107" customFormat="1" ht="12.75" thickBot="1" x14ac:dyDescent="0.25">
      <c r="A53" s="618" t="s">
        <v>379</v>
      </c>
      <c r="B53" s="619"/>
      <c r="C53" s="619"/>
      <c r="D53" s="619"/>
      <c r="E53" s="619"/>
      <c r="F53" s="619"/>
      <c r="G53" s="619"/>
      <c r="H53" s="619"/>
      <c r="I53" s="619"/>
      <c r="J53" s="619"/>
      <c r="K53" s="619"/>
      <c r="L53" s="619"/>
      <c r="M53" s="619"/>
      <c r="N53" s="619"/>
      <c r="O53" s="619"/>
      <c r="P53" s="619"/>
      <c r="Q53" s="350" t="str">
        <f>IF(SUM(Q33:S52)&lt;&gt;0,SUM(Q33:S52),"")</f>
        <v/>
      </c>
      <c r="R53" s="350"/>
      <c r="S53" s="350"/>
      <c r="T53" s="350" t="str">
        <f>IF(SUM(T33:V52)&lt;&gt;0,SUM(T33:V52),"")</f>
        <v/>
      </c>
      <c r="U53" s="350"/>
      <c r="V53" s="350"/>
      <c r="W53" s="350" t="str">
        <f>IF(SUM(W33:Y52)&lt;&gt;0,SUM(W33:Y52),"")</f>
        <v/>
      </c>
      <c r="X53" s="350"/>
      <c r="Y53" s="350"/>
      <c r="Z53" s="350" t="str">
        <f>IF(SUM(Z33:AB52)&lt;&gt;0,SUM(Z33:AB52),"")</f>
        <v/>
      </c>
      <c r="AA53" s="350"/>
      <c r="AB53" s="350"/>
      <c r="AC53" s="350" t="str">
        <f>IF(SUM(AC33:AE52)&lt;&gt;0,SUM(AC33:AE52),"")</f>
        <v/>
      </c>
      <c r="AD53" s="350"/>
      <c r="AE53" s="350"/>
      <c r="AF53" s="616"/>
      <c r="AG53" s="616"/>
      <c r="AH53" s="616"/>
      <c r="AI53" s="617"/>
      <c r="AK53" s="1026" t="str">
        <f>IFERROR((T53/Q53),"")</f>
        <v/>
      </c>
      <c r="AL53" s="1027"/>
      <c r="AM53" s="1028"/>
      <c r="AN53" s="624"/>
      <c r="AO53" s="624"/>
      <c r="AP53" s="624"/>
      <c r="AQ53" s="624"/>
      <c r="AR53" s="624"/>
      <c r="AS53" s="625"/>
      <c r="AU53" s="917" t="str">
        <f>IFERROR(IF(AC53="","",IF(AC53&lt;Q53-(Q53*$BB$30),"Below "&amp;$BB$30*100&amp;"% by "&amp;Q53-(Q53*$BB$30)-AC53&amp;" CFM",IF(AC53&gt;Q53+(Q53*$BB$29),"Above "&amp;$BB$29*100&amp;"% by "&amp;AC53-Q53-(Q53*$BB$29)&amp;" CFM",""))),"")</f>
        <v/>
      </c>
      <c r="AV53" s="918"/>
      <c r="AW53" s="918"/>
      <c r="AX53" s="918"/>
      <c r="AY53" s="918"/>
      <c r="AZ53" s="918"/>
      <c r="BA53" s="918"/>
      <c r="BB53" s="918"/>
      <c r="BC53" s="918"/>
      <c r="BD53" s="919"/>
    </row>
    <row r="54" spans="1:71" s="107" customFormat="1" ht="12" customHeight="1" x14ac:dyDescent="0.2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71" s="107" customFormat="1" ht="12" customHeight="1" x14ac:dyDescent="0.2">
      <c r="A55" s="42" t="s">
        <v>262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71" s="107" customFormat="1" ht="12" customHeight="1" x14ac:dyDescent="0.2">
      <c r="A56" s="84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</row>
    <row r="57" spans="1:71" s="107" customFormat="1" ht="12" customHeight="1" x14ac:dyDescent="0.2">
      <c r="A57" s="84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</row>
    <row r="58" spans="1:71" s="107" customFormat="1" ht="12" customHeight="1" x14ac:dyDescent="0.2">
      <c r="A58" s="84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</row>
    <row r="59" spans="1:71" s="107" customFormat="1" ht="12" customHeight="1" x14ac:dyDescent="0.2">
      <c r="A59" s="84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</row>
    <row r="60" spans="1:71" s="107" customFormat="1" ht="12" customHeight="1" x14ac:dyDescent="0.2">
      <c r="A60" s="84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</row>
    <row r="61" spans="1:71" s="107" customFormat="1" ht="12" customHeight="1" x14ac:dyDescent="0.2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</row>
    <row r="62" spans="1:71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</row>
  </sheetData>
  <mergeCells count="433">
    <mergeCell ref="A9:E9"/>
    <mergeCell ref="F9:P9"/>
    <mergeCell ref="T9:X9"/>
    <mergeCell ref="Y9:AI9"/>
    <mergeCell ref="A11:P11"/>
    <mergeCell ref="S11:AI11"/>
    <mergeCell ref="AJ1:BS1"/>
    <mergeCell ref="M5:AI5"/>
    <mergeCell ref="A7:E7"/>
    <mergeCell ref="F7:P7"/>
    <mergeCell ref="T7:X7"/>
    <mergeCell ref="Y7:AI7"/>
    <mergeCell ref="AK11:BO11"/>
    <mergeCell ref="AZ12:BG12"/>
    <mergeCell ref="BH12:BO12"/>
    <mergeCell ref="A13:F13"/>
    <mergeCell ref="G13:K13"/>
    <mergeCell ref="M13:P13"/>
    <mergeCell ref="S13:Y13"/>
    <mergeCell ref="Z13:AD13"/>
    <mergeCell ref="AE13:AI13"/>
    <mergeCell ref="AK13:AM13"/>
    <mergeCell ref="AN13:AP13"/>
    <mergeCell ref="A12:F12"/>
    <mergeCell ref="G12:P12"/>
    <mergeCell ref="S12:Y12"/>
    <mergeCell ref="Z12:AD12"/>
    <mergeCell ref="AE12:AI12"/>
    <mergeCell ref="AK12:AM12"/>
    <mergeCell ref="AN12:AP12"/>
    <mergeCell ref="AQ12:AS12"/>
    <mergeCell ref="AT12:AY12"/>
    <mergeCell ref="A15:F15"/>
    <mergeCell ref="G15:P15"/>
    <mergeCell ref="S15:Y15"/>
    <mergeCell ref="Z15:AD15"/>
    <mergeCell ref="AE15:AI15"/>
    <mergeCell ref="AQ13:AS13"/>
    <mergeCell ref="AT13:AY13"/>
    <mergeCell ref="AZ13:BG13"/>
    <mergeCell ref="BH13:BO13"/>
    <mergeCell ref="A14:F14"/>
    <mergeCell ref="G14:P14"/>
    <mergeCell ref="S14:Y14"/>
    <mergeCell ref="Z14:AD14"/>
    <mergeCell ref="AE14:AI14"/>
    <mergeCell ref="AK14:AM14"/>
    <mergeCell ref="AK15:AM15"/>
    <mergeCell ref="AN15:AP15"/>
    <mergeCell ref="AQ15:AS15"/>
    <mergeCell ref="AT15:AY15"/>
    <mergeCell ref="AZ15:BG15"/>
    <mergeCell ref="BH15:BO15"/>
    <mergeCell ref="AN14:AP14"/>
    <mergeCell ref="AQ14:AS14"/>
    <mergeCell ref="AT14:AY14"/>
    <mergeCell ref="AZ14:BG14"/>
    <mergeCell ref="BH14:BO14"/>
    <mergeCell ref="Z18:AD18"/>
    <mergeCell ref="AE18:AI18"/>
    <mergeCell ref="AT18:AY18"/>
    <mergeCell ref="A19:F19"/>
    <mergeCell ref="G19:P19"/>
    <mergeCell ref="T19:Y19"/>
    <mergeCell ref="Z19:AD19"/>
    <mergeCell ref="AE19:AI19"/>
    <mergeCell ref="AZ16:BO16"/>
    <mergeCell ref="A17:F17"/>
    <mergeCell ref="G17:P17"/>
    <mergeCell ref="T17:AI17"/>
    <mergeCell ref="AK17:AS18"/>
    <mergeCell ref="AT17:AY17"/>
    <mergeCell ref="AZ17:BO18"/>
    <mergeCell ref="A18:F18"/>
    <mergeCell ref="G18:P18"/>
    <mergeCell ref="T18:Y18"/>
    <mergeCell ref="A16:F16"/>
    <mergeCell ref="G16:P16"/>
    <mergeCell ref="AK16:AM16"/>
    <mergeCell ref="AN16:AP16"/>
    <mergeCell ref="AQ16:AS16"/>
    <mergeCell ref="AT16:AY16"/>
    <mergeCell ref="T21:Y21"/>
    <mergeCell ref="Z21:AD21"/>
    <mergeCell ref="AE21:AI21"/>
    <mergeCell ref="AK21:AO21"/>
    <mergeCell ref="AP21:AT21"/>
    <mergeCell ref="AU21:AY21"/>
    <mergeCell ref="A20:F20"/>
    <mergeCell ref="G20:P20"/>
    <mergeCell ref="T20:Y20"/>
    <mergeCell ref="Z20:AD20"/>
    <mergeCell ref="AE20:AI20"/>
    <mergeCell ref="AK20:AY20"/>
    <mergeCell ref="AK23:AO23"/>
    <mergeCell ref="AP23:AT23"/>
    <mergeCell ref="AU23:AY23"/>
    <mergeCell ref="T24:AI24"/>
    <mergeCell ref="AK24:AO24"/>
    <mergeCell ref="AP24:AT24"/>
    <mergeCell ref="AU24:AY24"/>
    <mergeCell ref="T22:Y22"/>
    <mergeCell ref="Z22:AD22"/>
    <mergeCell ref="AE22:AI22"/>
    <mergeCell ref="AK22:AO22"/>
    <mergeCell ref="AP22:AT22"/>
    <mergeCell ref="AU22:AY22"/>
    <mergeCell ref="AU26:AY26"/>
    <mergeCell ref="AV28:BC28"/>
    <mergeCell ref="AV29:BA29"/>
    <mergeCell ref="BB29:BC29"/>
    <mergeCell ref="T25:AD25"/>
    <mergeCell ref="AE25:AG25"/>
    <mergeCell ref="AH25:AI25"/>
    <mergeCell ref="AK25:AO25"/>
    <mergeCell ref="AP25:AT25"/>
    <mergeCell ref="AU25:AY25"/>
    <mergeCell ref="A31:G32"/>
    <mergeCell ref="H31:P31"/>
    <mergeCell ref="Q31:S32"/>
    <mergeCell ref="T31:AB31"/>
    <mergeCell ref="AC31:AE32"/>
    <mergeCell ref="AF31:AI32"/>
    <mergeCell ref="H32:J32"/>
    <mergeCell ref="AK26:AO26"/>
    <mergeCell ref="AP26:AT26"/>
    <mergeCell ref="K32:M32"/>
    <mergeCell ref="N32:P32"/>
    <mergeCell ref="T32:V32"/>
    <mergeCell ref="W32:Y32"/>
    <mergeCell ref="Z32:AB32"/>
    <mergeCell ref="AU32:BD32"/>
    <mergeCell ref="AK30:AS32"/>
    <mergeCell ref="AV30:BA30"/>
    <mergeCell ref="BB30:BC30"/>
    <mergeCell ref="AU34:BD34"/>
    <mergeCell ref="AQ33:AS33"/>
    <mergeCell ref="AU33:BD33"/>
    <mergeCell ref="A34:G34"/>
    <mergeCell ref="H34:J34"/>
    <mergeCell ref="K34:M34"/>
    <mergeCell ref="N34:P34"/>
    <mergeCell ref="Q34:S34"/>
    <mergeCell ref="T34:V34"/>
    <mergeCell ref="W34:Y34"/>
    <mergeCell ref="Z34:AB34"/>
    <mergeCell ref="W33:Y33"/>
    <mergeCell ref="Z33:AB33"/>
    <mergeCell ref="AC33:AE33"/>
    <mergeCell ref="AF33:AI33"/>
    <mergeCell ref="AK33:AM33"/>
    <mergeCell ref="AN33:AP33"/>
    <mergeCell ref="A33:G33"/>
    <mergeCell ref="H33:J33"/>
    <mergeCell ref="K33:M33"/>
    <mergeCell ref="N33:P33"/>
    <mergeCell ref="Q33:S33"/>
    <mergeCell ref="T33:V33"/>
    <mergeCell ref="K35:M35"/>
    <mergeCell ref="N35:P35"/>
    <mergeCell ref="Q35:S35"/>
    <mergeCell ref="T35:V35"/>
    <mergeCell ref="AC34:AE34"/>
    <mergeCell ref="AF34:AI34"/>
    <mergeCell ref="AK34:AM34"/>
    <mergeCell ref="AN34:AP34"/>
    <mergeCell ref="AQ34:AS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C35:AE35"/>
    <mergeCell ref="AF35:AI35"/>
    <mergeCell ref="AK35:AM35"/>
    <mergeCell ref="AN35:AP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AU33:BD52">
    <cfRule type="notContainsBlanks" dxfId="140" priority="18">
      <formula>LEN(TRIM(AU33))&gt;0</formula>
    </cfRule>
  </conditionalFormatting>
  <conditionalFormatting sqref="V62:AI62 E62:K62 Z19:Z22 AE20:AE22 G18:P20 G14:P16 G13:K13 G12:P12 Y9:AI9 Y7:AI7 F9:P9 F7:P7 BB29:BC30 Z13:AD15 AE13">
    <cfRule type="containsBlanks" dxfId="139" priority="17">
      <formula>LEN(TRIM(E7))=0</formula>
    </cfRule>
  </conditionalFormatting>
  <conditionalFormatting sqref="Q53:AE53">
    <cfRule type="containsText" dxfId="138" priority="16" operator="containsText" text="CALC.">
      <formula>NOT(ISERROR(SEARCH("CALC.",Q53)))</formula>
    </cfRule>
  </conditionalFormatting>
  <conditionalFormatting sqref="A33:S52">
    <cfRule type="notContainsBlanks" dxfId="137" priority="14">
      <formula>LEN(TRIM(A33))&gt;0</formula>
    </cfRule>
    <cfRule type="expression" dxfId="136" priority="15">
      <formula>NOT(ISBLANK($H33))</formula>
    </cfRule>
  </conditionalFormatting>
  <conditionalFormatting sqref="AU53:BD53">
    <cfRule type="notContainsBlanks" dxfId="135" priority="13">
      <formula>LEN(TRIM(AU53))&gt;0</formula>
    </cfRule>
  </conditionalFormatting>
  <conditionalFormatting sqref="T33:AC52">
    <cfRule type="notContainsBlanks" dxfId="134" priority="11">
      <formula>LEN(TRIM(T33))&gt;0</formula>
    </cfRule>
    <cfRule type="expression" dxfId="133" priority="12">
      <formula>NOT(ISBLANK($H33))</formula>
    </cfRule>
  </conditionalFormatting>
  <conditionalFormatting sqref="T33:AB52">
    <cfRule type="expression" dxfId="132" priority="10">
      <formula>$AC33&lt;&gt;""</formula>
    </cfRule>
  </conditionalFormatting>
  <conditionalFormatting sqref="AZ13:BO15">
    <cfRule type="notContainsBlanks" dxfId="131" priority="9">
      <formula>LEN(TRIM(AZ13))&gt;0</formula>
    </cfRule>
  </conditionalFormatting>
  <conditionalFormatting sqref="AN13:AS15 AT18">
    <cfRule type="containsBlanks" dxfId="130" priority="8">
      <formula>LEN(TRIM(AN13))=0</formula>
    </cfRule>
  </conditionalFormatting>
  <conditionalFormatting sqref="AN16:AS16">
    <cfRule type="containsText" dxfId="129" priority="7" operator="containsText" text="CALC.">
      <formula>NOT(ISERROR(SEARCH("CALC.",AN16)))</formula>
    </cfRule>
  </conditionalFormatting>
  <conditionalFormatting sqref="AK14:AS16 AZ12:BO18">
    <cfRule type="expression" dxfId="128" priority="6">
      <formula>$AT$18="Single Phase"</formula>
    </cfRule>
  </conditionalFormatting>
  <conditionalFormatting sqref="AE15:AI15">
    <cfRule type="containsText" dxfId="127" priority="5" operator="containsText" text="CALC.">
      <formula>NOT(ISERROR(SEARCH("CALC.",AE15)))</formula>
    </cfRule>
  </conditionalFormatting>
  <conditionalFormatting sqref="AE14:AI14">
    <cfRule type="containsText" dxfId="126" priority="4" operator="containsText" text="CALC.">
      <formula>NOT(ISERROR(SEARCH("CALC.",AE14)))</formula>
    </cfRule>
  </conditionalFormatting>
  <conditionalFormatting sqref="AE25 AH25">
    <cfRule type="containsBlanks" dxfId="125" priority="3">
      <formula>LEN(TRIM(AE25))=0</formula>
    </cfRule>
  </conditionalFormatting>
  <conditionalFormatting sqref="AH25:AI25">
    <cfRule type="expression" dxfId="124" priority="2">
      <formula>OR($AE$25="HIGH",$AE$25="MEDIUM",$AE$25="LOW")</formula>
    </cfRule>
  </conditionalFormatting>
  <conditionalFormatting sqref="M13:P13">
    <cfRule type="containsBlanks" dxfId="123" priority="1">
      <formula>LEN(TRIM(M13))=0</formula>
    </cfRule>
  </conditionalFormatting>
  <dataValidations count="9">
    <dataValidation type="list" allowBlank="1" showInputMessage="1" sqref="M13:P13" xr:uid="{927850C3-85A0-4A7A-AECA-D4155B32A605}">
      <formula1>"Rectangular,Round, Oval"</formula1>
    </dataValidation>
    <dataValidation type="list" errorStyle="warning" allowBlank="1" showInputMessage="1" error="Use exact dropdown list (HIGH,MEDIUM,LOW) or input percent value ranging from 0-100 and include &quot;%&quot; symbol on right." sqref="AE25:AG25" xr:uid="{3D21AFD6-A4BA-4793-9711-C2167A4F1C37}">
      <formula1>"LOW,MEDIUM,HIGH"</formula1>
    </dataValidation>
    <dataValidation allowBlank="1" showInputMessage="1" showErrorMessage="1" prompt="If PF is unattainable use .80" sqref="AT16:AY16" xr:uid="{2A97D165-86A1-4776-BB43-A85053FFD028}"/>
    <dataValidation allowBlank="1" showInputMessage="1" showErrorMessage="1" prompt="If EFF is unatainable use .90" sqref="AT14:AY14" xr:uid="{8C46E2F7-8D5D-4E29-A528-839711F8E3B8}"/>
    <dataValidation type="list" allowBlank="1" showInputMessage="1" showErrorMessage="1" promptTitle="Phase Selection" prompt="Select Single or Three Phase" sqref="AT18:AY18" xr:uid="{F67210A6-C4D2-42C7-9E39-9DE75D6B4AE4}">
      <formula1>"Single Phase, Three Phase"</formula1>
    </dataValidation>
    <dataValidation type="list" allowBlank="1" showInputMessage="1" sqref="Z13:AI13" xr:uid="{65AAF39C-76D2-497E-B5C0-5B421D7E9D2F}">
      <formula1>".17,.25,.33,.5,.75,1,2,3,5,7.5,10,15,20,25,30,40,50,60,75,100,125,150,200"</formula1>
    </dataValidation>
    <dataValidation type="whole" allowBlank="1" showInputMessage="1" showErrorMessage="1" error="This Remarks section is limited to 5." sqref="A56:A60" xr:uid="{DA6B43AB-51A5-4C3D-8DA6-A3173456DBB8}">
      <formula1>1</formula1>
      <formula2>5</formula2>
    </dataValidation>
    <dataValidation type="list" allowBlank="1" showInputMessage="1" sqref="G13:K13" xr:uid="{D37377DD-B46A-4C75-B348-376514E03D10}">
      <formula1>"4,5,6,7,8,9,10,11,12,13,14,15,16,17,18,19,20"</formula1>
    </dataValidation>
    <dataValidation allowBlank="1" showInputMessage="1" sqref="G15:P15" xr:uid="{CE11C2FE-A2BC-4DA2-A120-C39DE8E47EB2}"/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2388B-3E69-49A1-AAE9-A100C06D41A7}">
  <sheetPr codeName="Sheet38">
    <pageSetUpPr fitToPage="1"/>
  </sheetPr>
  <dimension ref="A1:DB62"/>
  <sheetViews>
    <sheetView topLeftCell="A4" zoomScaleNormal="100" workbookViewId="0">
      <selection activeCell="AC23" sqref="AC23"/>
    </sheetView>
  </sheetViews>
  <sheetFormatPr defaultColWidth="0" defaultRowHeight="0" customHeight="1" zeroHeight="1" x14ac:dyDescent="0.2"/>
  <cols>
    <col min="1" max="106" width="2.7109375" style="12" customWidth="1"/>
    <col min="107" max="16384" width="9.140625" style="12" hidden="1"/>
  </cols>
  <sheetData>
    <row r="1" spans="1:106" ht="12" customHeight="1" x14ac:dyDescent="0.2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57" t="s">
        <v>159</v>
      </c>
      <c r="AK1" s="957"/>
      <c r="AL1" s="957"/>
      <c r="AM1" s="957"/>
      <c r="AN1" s="957"/>
      <c r="AO1" s="957"/>
      <c r="AP1" s="957"/>
      <c r="AQ1" s="957"/>
      <c r="AR1" s="957"/>
      <c r="AS1" s="957"/>
      <c r="AT1" s="957"/>
      <c r="AU1" s="957"/>
      <c r="AV1" s="957"/>
      <c r="AW1" s="957"/>
      <c r="AX1" s="957"/>
      <c r="AY1" s="957"/>
      <c r="AZ1" s="957"/>
      <c r="BA1" s="957"/>
      <c r="BB1" s="957"/>
      <c r="BC1" s="957"/>
      <c r="BD1" s="957"/>
      <c r="BE1" s="957"/>
      <c r="BF1" s="957"/>
      <c r="BG1" s="957"/>
      <c r="BH1" s="957"/>
      <c r="BI1" s="957"/>
      <c r="BJ1" s="957"/>
      <c r="BK1" s="957"/>
      <c r="BL1" s="957"/>
      <c r="BM1" s="957"/>
      <c r="BN1" s="957"/>
      <c r="BO1" s="957"/>
      <c r="BP1" s="957"/>
      <c r="BQ1" s="957"/>
      <c r="BR1" s="957"/>
      <c r="BS1" s="957"/>
      <c r="BT1" s="957"/>
      <c r="BU1" s="957"/>
      <c r="BV1" s="957"/>
      <c r="BW1" s="957"/>
      <c r="BX1" s="957"/>
      <c r="BY1" s="957"/>
      <c r="BZ1" s="957"/>
      <c r="CA1" s="957"/>
      <c r="CB1" s="957"/>
      <c r="CC1" s="957"/>
      <c r="CD1" s="957"/>
      <c r="CE1" s="957"/>
      <c r="CF1" s="957"/>
      <c r="CG1" s="957"/>
      <c r="CH1" s="957"/>
      <c r="CI1" s="957"/>
      <c r="CJ1" s="957"/>
      <c r="CK1" s="957"/>
      <c r="CL1" s="957"/>
      <c r="CM1" s="957"/>
      <c r="CN1" s="957"/>
      <c r="CO1" s="957"/>
      <c r="CP1" s="957"/>
      <c r="CQ1" s="957"/>
      <c r="CR1" s="957"/>
      <c r="CS1" s="957"/>
      <c r="CT1" s="957"/>
      <c r="CU1" s="957"/>
      <c r="CV1" s="957"/>
      <c r="CW1" s="957"/>
      <c r="CX1" s="957"/>
      <c r="CY1" s="957"/>
      <c r="CZ1" s="957"/>
      <c r="DA1" s="957"/>
      <c r="DB1" s="957"/>
    </row>
    <row r="2" spans="1:106" ht="12" customHeight="1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</row>
    <row r="3" spans="1:106" ht="12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</row>
    <row r="4" spans="1:106" ht="12" customHeight="1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</row>
    <row r="5" spans="1:106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 t="s">
        <v>430</v>
      </c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</row>
    <row r="6" spans="1:106" ht="12" customHeight="1" thickBo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</row>
    <row r="7" spans="1:106" ht="12" customHeight="1" x14ac:dyDescent="0.2">
      <c r="A7" s="526" t="s">
        <v>161</v>
      </c>
      <c r="B7" s="526"/>
      <c r="C7" s="526"/>
      <c r="D7" s="526"/>
      <c r="E7" s="526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42"/>
      <c r="R7" s="42"/>
      <c r="S7" s="42"/>
      <c r="T7" s="526" t="s">
        <v>162</v>
      </c>
      <c r="U7" s="526"/>
      <c r="V7" s="526"/>
      <c r="W7" s="526"/>
      <c r="X7" s="526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107"/>
      <c r="AK7" s="958" t="s">
        <v>240</v>
      </c>
      <c r="AL7" s="959"/>
      <c r="AM7" s="959"/>
      <c r="AN7" s="959"/>
      <c r="AO7" s="959"/>
      <c r="AP7" s="959"/>
      <c r="AQ7" s="959"/>
      <c r="AR7" s="959"/>
      <c r="AS7" s="959"/>
      <c r="AT7" s="959"/>
      <c r="AU7" s="959"/>
      <c r="AV7" s="959"/>
      <c r="AW7" s="959"/>
      <c r="AX7" s="959"/>
      <c r="AY7" s="959"/>
      <c r="AZ7" s="959"/>
      <c r="BA7" s="959"/>
      <c r="BB7" s="959"/>
      <c r="BC7" s="959"/>
      <c r="BD7" s="959"/>
      <c r="BE7" s="959"/>
      <c r="BF7" s="959"/>
      <c r="BG7" s="959"/>
      <c r="BH7" s="959"/>
      <c r="BI7" s="959"/>
      <c r="BJ7" s="959"/>
      <c r="BK7" s="960"/>
      <c r="BL7" s="964" t="s">
        <v>381</v>
      </c>
      <c r="BM7" s="965"/>
      <c r="BN7" s="965"/>
      <c r="BO7" s="965"/>
      <c r="BP7" s="965"/>
      <c r="BQ7" s="965"/>
      <c r="BR7" s="965"/>
      <c r="BS7" s="965"/>
      <c r="BT7" s="965"/>
      <c r="BU7" s="965"/>
      <c r="BV7" s="965"/>
      <c r="BW7" s="965"/>
      <c r="BX7" s="965"/>
      <c r="BY7" s="965"/>
      <c r="BZ7" s="965"/>
      <c r="CA7" s="965"/>
      <c r="CB7" s="965"/>
      <c r="CC7" s="965"/>
      <c r="CD7" s="965"/>
      <c r="CE7" s="965"/>
      <c r="CF7" s="965"/>
      <c r="CG7" s="965"/>
      <c r="CH7" s="965"/>
      <c r="CI7" s="965"/>
      <c r="CJ7" s="965"/>
      <c r="CK7" s="965"/>
      <c r="CL7" s="965"/>
      <c r="CM7" s="965"/>
      <c r="CN7" s="965"/>
      <c r="CO7" s="965"/>
      <c r="CP7" s="965"/>
      <c r="CQ7" s="965"/>
      <c r="CR7" s="965"/>
      <c r="CS7" s="965"/>
      <c r="CT7" s="965"/>
      <c r="CU7" s="965"/>
      <c r="CV7" s="965"/>
      <c r="CW7" s="965"/>
      <c r="CX7" s="965"/>
      <c r="CY7" s="965"/>
      <c r="CZ7" s="965"/>
      <c r="DA7" s="966"/>
      <c r="DB7" s="107"/>
    </row>
    <row r="8" spans="1:106" ht="12" customHeight="1" thickBo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961"/>
      <c r="AL8" s="962"/>
      <c r="AM8" s="962"/>
      <c r="AN8" s="962"/>
      <c r="AO8" s="962"/>
      <c r="AP8" s="962"/>
      <c r="AQ8" s="962"/>
      <c r="AR8" s="962"/>
      <c r="AS8" s="962"/>
      <c r="AT8" s="962"/>
      <c r="AU8" s="962"/>
      <c r="AV8" s="962"/>
      <c r="AW8" s="962"/>
      <c r="AX8" s="962"/>
      <c r="AY8" s="962"/>
      <c r="AZ8" s="962"/>
      <c r="BA8" s="962"/>
      <c r="BB8" s="962"/>
      <c r="BC8" s="962"/>
      <c r="BD8" s="962"/>
      <c r="BE8" s="962"/>
      <c r="BF8" s="962"/>
      <c r="BG8" s="962"/>
      <c r="BH8" s="962"/>
      <c r="BI8" s="962"/>
      <c r="BJ8" s="962"/>
      <c r="BK8" s="963"/>
      <c r="BL8" s="147">
        <v>1</v>
      </c>
      <c r="BM8" s="147">
        <v>2</v>
      </c>
      <c r="BN8" s="147">
        <v>3</v>
      </c>
      <c r="BO8" s="147">
        <v>4</v>
      </c>
      <c r="BP8" s="147">
        <v>5</v>
      </c>
      <c r="BQ8" s="147">
        <v>6</v>
      </c>
      <c r="BR8" s="147">
        <v>7</v>
      </c>
      <c r="BS8" s="147">
        <v>8</v>
      </c>
      <c r="BT8" s="147">
        <v>9</v>
      </c>
      <c r="BU8" s="147">
        <v>10</v>
      </c>
      <c r="BV8" s="147">
        <v>11</v>
      </c>
      <c r="BW8" s="147">
        <v>12</v>
      </c>
      <c r="BX8" s="147">
        <v>13</v>
      </c>
      <c r="BY8" s="147">
        <v>14</v>
      </c>
      <c r="BZ8" s="147">
        <v>15</v>
      </c>
      <c r="CA8" s="147">
        <v>16</v>
      </c>
      <c r="CB8" s="147">
        <v>17</v>
      </c>
      <c r="CC8" s="147">
        <v>18</v>
      </c>
      <c r="CD8" s="147">
        <v>19</v>
      </c>
      <c r="CE8" s="147">
        <v>20</v>
      </c>
      <c r="CF8" s="147">
        <v>21</v>
      </c>
      <c r="CG8" s="147">
        <v>22</v>
      </c>
      <c r="CH8" s="147">
        <v>23</v>
      </c>
      <c r="CI8" s="147">
        <v>24</v>
      </c>
      <c r="CJ8" s="147">
        <v>25</v>
      </c>
      <c r="CK8" s="147">
        <v>26</v>
      </c>
      <c r="CL8" s="147">
        <v>27</v>
      </c>
      <c r="CM8" s="147">
        <v>28</v>
      </c>
      <c r="CN8" s="147">
        <v>29</v>
      </c>
      <c r="CO8" s="147">
        <v>30</v>
      </c>
      <c r="CP8" s="147">
        <v>31</v>
      </c>
      <c r="CQ8" s="147">
        <v>32</v>
      </c>
      <c r="CR8" s="147">
        <v>33</v>
      </c>
      <c r="CS8" s="147">
        <v>34</v>
      </c>
      <c r="CT8" s="147">
        <v>35</v>
      </c>
      <c r="CU8" s="147">
        <v>36</v>
      </c>
      <c r="CV8" s="147">
        <v>37</v>
      </c>
      <c r="CW8" s="147">
        <v>38</v>
      </c>
      <c r="CX8" s="147">
        <v>39</v>
      </c>
      <c r="CY8" s="147">
        <v>40</v>
      </c>
      <c r="CZ8" s="147">
        <v>41</v>
      </c>
      <c r="DA8" s="148">
        <v>42</v>
      </c>
      <c r="DB8" s="107"/>
    </row>
    <row r="9" spans="1:106" ht="12" customHeight="1" thickTop="1" x14ac:dyDescent="0.2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526" t="s">
        <v>164</v>
      </c>
      <c r="U9" s="526"/>
      <c r="V9" s="526"/>
      <c r="W9" s="526"/>
      <c r="X9" s="526"/>
      <c r="Y9" s="527"/>
      <c r="Z9" s="527"/>
      <c r="AA9" s="527"/>
      <c r="AB9" s="527"/>
      <c r="AC9" s="527"/>
      <c r="AD9" s="527"/>
      <c r="AE9" s="527"/>
      <c r="AF9" s="527"/>
      <c r="AG9" s="527"/>
      <c r="AH9" s="527"/>
      <c r="AI9" s="527"/>
      <c r="AJ9" s="107"/>
      <c r="AK9" s="672"/>
      <c r="AL9" s="674"/>
      <c r="AM9" s="327">
        <v>1</v>
      </c>
      <c r="AN9" s="327"/>
      <c r="AO9" s="149" t="s">
        <v>382</v>
      </c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1"/>
      <c r="BM9" s="152"/>
      <c r="BN9" s="152"/>
      <c r="BO9" s="152"/>
      <c r="BP9" s="153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5"/>
      <c r="DB9" s="107"/>
    </row>
    <row r="10" spans="1:106" ht="12" customHeight="1" thickBo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287"/>
      <c r="AL10" s="288"/>
      <c r="AM10" s="296">
        <v>2</v>
      </c>
      <c r="AN10" s="296"/>
      <c r="AO10" s="156" t="s">
        <v>383</v>
      </c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8"/>
      <c r="BM10" s="159"/>
      <c r="BN10" s="159"/>
      <c r="BO10" s="159"/>
      <c r="BP10" s="160"/>
      <c r="BQ10" s="161"/>
      <c r="BR10" s="161"/>
      <c r="BS10" s="161"/>
      <c r="BT10" s="161"/>
      <c r="BU10" s="161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162"/>
      <c r="CH10" s="162"/>
      <c r="CI10" s="162"/>
      <c r="CJ10" s="162"/>
      <c r="CK10" s="162"/>
      <c r="CL10" s="162"/>
      <c r="CM10" s="162"/>
      <c r="CN10" s="162"/>
      <c r="CO10" s="162"/>
      <c r="CP10" s="162"/>
      <c r="CQ10" s="162"/>
      <c r="CR10" s="162"/>
      <c r="CS10" s="162"/>
      <c r="CT10" s="162"/>
      <c r="CU10" s="162"/>
      <c r="CV10" s="162"/>
      <c r="CW10" s="162"/>
      <c r="CX10" s="162"/>
      <c r="CY10" s="162"/>
      <c r="CZ10" s="162"/>
      <c r="DA10" s="163"/>
      <c r="DB10" s="107"/>
    </row>
    <row r="11" spans="1:106" ht="12" customHeight="1" thickBot="1" x14ac:dyDescent="0.25">
      <c r="A11" s="314" t="s">
        <v>431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6"/>
      <c r="Q11" s="42"/>
      <c r="R11" s="42"/>
      <c r="S11" s="94"/>
      <c r="T11" s="338" t="s">
        <v>432</v>
      </c>
      <c r="U11" s="339"/>
      <c r="V11" s="339"/>
      <c r="W11" s="339"/>
      <c r="X11" s="339"/>
      <c r="Y11" s="339"/>
      <c r="Z11" s="339"/>
      <c r="AA11" s="339"/>
      <c r="AB11" s="339"/>
      <c r="AC11" s="339"/>
      <c r="AD11" s="339"/>
      <c r="AE11" s="339"/>
      <c r="AF11" s="339"/>
      <c r="AG11" s="339"/>
      <c r="AH11" s="339"/>
      <c r="AI11" s="340"/>
      <c r="AJ11" s="107"/>
      <c r="AK11" s="287"/>
      <c r="AL11" s="288"/>
      <c r="AM11" s="296">
        <v>3</v>
      </c>
      <c r="AN11" s="296"/>
      <c r="AO11" s="156" t="s">
        <v>386</v>
      </c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64"/>
      <c r="BM11" s="154"/>
      <c r="BN11" s="154"/>
      <c r="BO11" s="154"/>
      <c r="BP11" s="154"/>
      <c r="BQ11" s="165"/>
      <c r="BR11" s="166"/>
      <c r="BS11" s="166"/>
      <c r="BT11" s="166"/>
      <c r="BU11" s="167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3"/>
      <c r="DB11" s="107"/>
    </row>
    <row r="12" spans="1:106" ht="12.75" thickTop="1" x14ac:dyDescent="0.2">
      <c r="A12" s="455" t="s">
        <v>433</v>
      </c>
      <c r="B12" s="456"/>
      <c r="C12" s="456"/>
      <c r="D12" s="456"/>
      <c r="E12" s="456"/>
      <c r="F12" s="456"/>
      <c r="G12" s="453"/>
      <c r="H12" s="453"/>
      <c r="I12" s="453"/>
      <c r="J12" s="453"/>
      <c r="K12" s="453"/>
      <c r="L12" s="453"/>
      <c r="M12" s="453"/>
      <c r="N12" s="453"/>
      <c r="O12" s="453"/>
      <c r="P12" s="454"/>
      <c r="Q12" s="42"/>
      <c r="R12" s="42"/>
      <c r="S12" s="94"/>
      <c r="T12" s="752"/>
      <c r="U12" s="753"/>
      <c r="V12" s="753"/>
      <c r="W12" s="753"/>
      <c r="X12" s="753"/>
      <c r="Y12" s="753"/>
      <c r="Z12" s="753" t="s">
        <v>197</v>
      </c>
      <c r="AA12" s="753"/>
      <c r="AB12" s="753"/>
      <c r="AC12" s="753"/>
      <c r="AD12" s="753"/>
      <c r="AE12" s="753" t="s">
        <v>199</v>
      </c>
      <c r="AF12" s="753"/>
      <c r="AG12" s="753"/>
      <c r="AH12" s="753"/>
      <c r="AI12" s="779"/>
      <c r="AJ12" s="107"/>
      <c r="AK12" s="287"/>
      <c r="AL12" s="288"/>
      <c r="AM12" s="296">
        <v>4</v>
      </c>
      <c r="AN12" s="296"/>
      <c r="AO12" s="156" t="s">
        <v>388</v>
      </c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68"/>
      <c r="BM12" s="162"/>
      <c r="BN12" s="162"/>
      <c r="BO12" s="162"/>
      <c r="BP12" s="162"/>
      <c r="BQ12" s="169"/>
      <c r="BR12" s="170"/>
      <c r="BS12" s="171"/>
      <c r="BT12" s="171"/>
      <c r="BU12" s="171"/>
      <c r="BV12" s="162"/>
      <c r="BW12" s="162"/>
      <c r="BX12" s="162"/>
      <c r="BY12" s="162"/>
      <c r="BZ12" s="162"/>
      <c r="CA12" s="162"/>
      <c r="CB12" s="162"/>
      <c r="CC12" s="162"/>
      <c r="CD12" s="162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3"/>
      <c r="DB12" s="107"/>
    </row>
    <row r="13" spans="1:106" ht="12" customHeight="1" x14ac:dyDescent="0.2">
      <c r="A13" s="333" t="s">
        <v>389</v>
      </c>
      <c r="B13" s="334"/>
      <c r="C13" s="334"/>
      <c r="D13" s="334"/>
      <c r="E13" s="334"/>
      <c r="F13" s="334"/>
      <c r="G13" s="952"/>
      <c r="H13" s="953"/>
      <c r="I13" s="953"/>
      <c r="J13" s="953"/>
      <c r="K13" s="953"/>
      <c r="L13" s="172" t="s">
        <v>201</v>
      </c>
      <c r="M13" s="419"/>
      <c r="N13" s="419"/>
      <c r="O13" s="419"/>
      <c r="P13" s="420"/>
      <c r="Q13" s="42"/>
      <c r="R13" s="42"/>
      <c r="S13" s="42"/>
      <c r="T13" s="333" t="s">
        <v>97</v>
      </c>
      <c r="U13" s="334"/>
      <c r="V13" s="334"/>
      <c r="W13" s="334"/>
      <c r="X13" s="334"/>
      <c r="Y13" s="334"/>
      <c r="Z13" s="577"/>
      <c r="AA13" s="577"/>
      <c r="AB13" s="577"/>
      <c r="AC13" s="577"/>
      <c r="AD13" s="577"/>
      <c r="AE13" s="899" t="str">
        <f>AC53</f>
        <v/>
      </c>
      <c r="AF13" s="899"/>
      <c r="AG13" s="899"/>
      <c r="AH13" s="899"/>
      <c r="AI13" s="954"/>
      <c r="AJ13" s="107"/>
      <c r="AK13" s="287"/>
      <c r="AL13" s="288"/>
      <c r="AM13" s="296">
        <v>5</v>
      </c>
      <c r="AN13" s="296"/>
      <c r="AO13" s="156" t="s">
        <v>390</v>
      </c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68"/>
      <c r="BM13" s="162"/>
      <c r="BN13" s="162"/>
      <c r="BO13" s="162"/>
      <c r="BP13" s="162"/>
      <c r="BQ13" s="154"/>
      <c r="BR13" s="154"/>
      <c r="BS13" s="169"/>
      <c r="BT13" s="173"/>
      <c r="BU13" s="170"/>
      <c r="BV13" s="161"/>
      <c r="BW13" s="161"/>
      <c r="BX13" s="161"/>
      <c r="BY13" s="161"/>
      <c r="BZ13" s="161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3"/>
      <c r="DB13" s="107"/>
    </row>
    <row r="14" spans="1:106" ht="12" customHeight="1" x14ac:dyDescent="0.2">
      <c r="A14" s="333" t="s">
        <v>168</v>
      </c>
      <c r="B14" s="334"/>
      <c r="C14" s="334"/>
      <c r="D14" s="334"/>
      <c r="E14" s="334"/>
      <c r="F14" s="334"/>
      <c r="G14" s="400"/>
      <c r="H14" s="400"/>
      <c r="I14" s="400"/>
      <c r="J14" s="400"/>
      <c r="K14" s="400"/>
      <c r="L14" s="400"/>
      <c r="M14" s="400"/>
      <c r="N14" s="400"/>
      <c r="O14" s="400"/>
      <c r="P14" s="401"/>
      <c r="Q14" s="42"/>
      <c r="R14" s="42"/>
      <c r="S14" s="42"/>
      <c r="T14" s="333" t="s">
        <v>98</v>
      </c>
      <c r="U14" s="334"/>
      <c r="V14" s="334"/>
      <c r="W14" s="334"/>
      <c r="X14" s="334"/>
      <c r="Y14" s="334"/>
      <c r="Z14" s="577"/>
      <c r="AA14" s="577"/>
      <c r="AB14" s="577"/>
      <c r="AC14" s="577"/>
      <c r="AD14" s="577"/>
      <c r="AE14" s="577"/>
      <c r="AF14" s="577"/>
      <c r="AG14" s="577"/>
      <c r="AH14" s="577"/>
      <c r="AI14" s="578"/>
      <c r="AJ14" s="107"/>
      <c r="AK14" s="287"/>
      <c r="AL14" s="288"/>
      <c r="AM14" s="296">
        <v>6</v>
      </c>
      <c r="AN14" s="296"/>
      <c r="AO14" s="156" t="s">
        <v>391</v>
      </c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68"/>
      <c r="BM14" s="162"/>
      <c r="BN14" s="162"/>
      <c r="BO14" s="162"/>
      <c r="BP14" s="162"/>
      <c r="BQ14" s="162"/>
      <c r="BR14" s="162"/>
      <c r="BS14" s="154"/>
      <c r="BT14" s="154"/>
      <c r="BU14" s="154"/>
      <c r="BV14" s="165"/>
      <c r="BW14" s="166"/>
      <c r="BX14" s="166"/>
      <c r="BY14" s="166"/>
      <c r="BZ14" s="167"/>
      <c r="CA14" s="161"/>
      <c r="CB14" s="161"/>
      <c r="CC14" s="162"/>
      <c r="CD14" s="162"/>
      <c r="CE14" s="162"/>
      <c r="CF14" s="162"/>
      <c r="CG14" s="162"/>
      <c r="CH14" s="162"/>
      <c r="CI14" s="162"/>
      <c r="CJ14" s="162"/>
      <c r="CK14" s="162"/>
      <c r="CL14" s="162"/>
      <c r="CM14" s="162"/>
      <c r="CN14" s="162"/>
      <c r="CO14" s="162"/>
      <c r="CP14" s="162"/>
      <c r="CQ14" s="162"/>
      <c r="CR14" s="162"/>
      <c r="CS14" s="162"/>
      <c r="CT14" s="162"/>
      <c r="CU14" s="162"/>
      <c r="CV14" s="162"/>
      <c r="CW14" s="162"/>
      <c r="CX14" s="162"/>
      <c r="CY14" s="162"/>
      <c r="CZ14" s="162"/>
      <c r="DA14" s="163"/>
      <c r="DB14" s="107"/>
    </row>
    <row r="15" spans="1:106" ht="12" customHeight="1" x14ac:dyDescent="0.2">
      <c r="A15" s="406" t="s">
        <v>174</v>
      </c>
      <c r="B15" s="407"/>
      <c r="C15" s="407"/>
      <c r="D15" s="407"/>
      <c r="E15" s="407"/>
      <c r="F15" s="408"/>
      <c r="G15" s="400"/>
      <c r="H15" s="400"/>
      <c r="I15" s="400"/>
      <c r="J15" s="400"/>
      <c r="K15" s="400"/>
      <c r="L15" s="400"/>
      <c r="M15" s="400"/>
      <c r="N15" s="400"/>
      <c r="O15" s="400"/>
      <c r="P15" s="401"/>
      <c r="Q15" s="42"/>
      <c r="R15" s="42"/>
      <c r="S15" s="42"/>
      <c r="T15" s="333" t="s">
        <v>99</v>
      </c>
      <c r="U15" s="334"/>
      <c r="V15" s="334"/>
      <c r="W15" s="334"/>
      <c r="X15" s="334"/>
      <c r="Y15" s="334"/>
      <c r="Z15" s="984"/>
      <c r="AA15" s="577"/>
      <c r="AB15" s="577"/>
      <c r="AC15" s="577"/>
      <c r="AD15" s="577"/>
      <c r="AE15" s="984"/>
      <c r="AF15" s="577"/>
      <c r="AG15" s="577"/>
      <c r="AH15" s="577"/>
      <c r="AI15" s="578"/>
      <c r="AJ15" s="107"/>
      <c r="AK15" s="287"/>
      <c r="AL15" s="288"/>
      <c r="AM15" s="296">
        <v>7</v>
      </c>
      <c r="AN15" s="296"/>
      <c r="AO15" s="156" t="s">
        <v>392</v>
      </c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68"/>
      <c r="BM15" s="162"/>
      <c r="BN15" s="162"/>
      <c r="BO15" s="162"/>
      <c r="BP15" s="162"/>
      <c r="BQ15" s="162"/>
      <c r="BR15" s="162"/>
      <c r="BS15" s="162"/>
      <c r="BT15" s="162"/>
      <c r="BU15" s="162"/>
      <c r="BV15" s="154"/>
      <c r="BW15" s="154"/>
      <c r="BX15" s="154"/>
      <c r="BY15" s="154"/>
      <c r="BZ15" s="154"/>
      <c r="CA15" s="169"/>
      <c r="CB15" s="170"/>
      <c r="CC15" s="161"/>
      <c r="CD15" s="161"/>
      <c r="CE15" s="161"/>
      <c r="CF15" s="161"/>
      <c r="CG15" s="161"/>
      <c r="CH15" s="161"/>
      <c r="CI15" s="161"/>
      <c r="CJ15" s="161"/>
      <c r="CK15" s="161"/>
      <c r="CL15" s="161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3"/>
      <c r="DB15" s="107"/>
    </row>
    <row r="16" spans="1:106" ht="12" customHeight="1" thickBot="1" x14ac:dyDescent="0.25">
      <c r="A16" s="406" t="s">
        <v>178</v>
      </c>
      <c r="B16" s="407"/>
      <c r="C16" s="407"/>
      <c r="D16" s="407"/>
      <c r="E16" s="407"/>
      <c r="F16" s="408"/>
      <c r="G16" s="400"/>
      <c r="H16" s="400"/>
      <c r="I16" s="400"/>
      <c r="J16" s="400"/>
      <c r="K16" s="400"/>
      <c r="L16" s="400"/>
      <c r="M16" s="400"/>
      <c r="N16" s="400"/>
      <c r="O16" s="400"/>
      <c r="P16" s="401"/>
      <c r="Q16" s="42"/>
      <c r="R16" s="42"/>
      <c r="S16" s="42"/>
      <c r="T16" s="347" t="s">
        <v>100</v>
      </c>
      <c r="U16" s="348"/>
      <c r="V16" s="348"/>
      <c r="W16" s="348"/>
      <c r="X16" s="348"/>
      <c r="Y16" s="348"/>
      <c r="Z16" s="1042"/>
      <c r="AA16" s="555"/>
      <c r="AB16" s="555"/>
      <c r="AC16" s="555"/>
      <c r="AD16" s="555"/>
      <c r="AE16" s="1042"/>
      <c r="AF16" s="555"/>
      <c r="AG16" s="555"/>
      <c r="AH16" s="555"/>
      <c r="AI16" s="951"/>
      <c r="AJ16" s="107"/>
      <c r="AK16" s="287"/>
      <c r="AL16" s="288"/>
      <c r="AM16" s="296">
        <v>8</v>
      </c>
      <c r="AN16" s="296"/>
      <c r="AO16" s="156" t="s">
        <v>393</v>
      </c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68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54"/>
      <c r="CB16" s="154"/>
      <c r="CC16" s="174"/>
      <c r="CD16" s="175"/>
      <c r="CE16" s="175"/>
      <c r="CF16" s="175"/>
      <c r="CG16" s="175"/>
      <c r="CH16" s="175"/>
      <c r="CI16" s="175"/>
      <c r="CJ16" s="175"/>
      <c r="CK16" s="175"/>
      <c r="CL16" s="176"/>
      <c r="CM16" s="161"/>
      <c r="CN16" s="161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3"/>
      <c r="DB16" s="107"/>
    </row>
    <row r="17" spans="1:106" ht="12" customHeight="1" x14ac:dyDescent="0.2">
      <c r="A17" s="406" t="s">
        <v>181</v>
      </c>
      <c r="B17" s="407"/>
      <c r="C17" s="407"/>
      <c r="D17" s="407"/>
      <c r="E17" s="407"/>
      <c r="F17" s="408"/>
      <c r="G17" s="513" t="s">
        <v>182</v>
      </c>
      <c r="H17" s="513"/>
      <c r="I17" s="513"/>
      <c r="J17" s="513"/>
      <c r="K17" s="513"/>
      <c r="L17" s="513"/>
      <c r="M17" s="513"/>
      <c r="N17" s="513"/>
      <c r="O17" s="513"/>
      <c r="P17" s="514"/>
      <c r="Q17" s="42"/>
      <c r="R17" s="42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107"/>
      <c r="AK17" s="287"/>
      <c r="AL17" s="288"/>
      <c r="AM17" s="296">
        <v>9</v>
      </c>
      <c r="AN17" s="296"/>
      <c r="AO17" s="156" t="s">
        <v>394</v>
      </c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68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54"/>
      <c r="CD17" s="154"/>
      <c r="CE17" s="154"/>
      <c r="CF17" s="154"/>
      <c r="CG17" s="154"/>
      <c r="CH17" s="154"/>
      <c r="CI17" s="154"/>
      <c r="CJ17" s="154"/>
      <c r="CK17" s="154"/>
      <c r="CL17" s="154"/>
      <c r="CM17" s="169"/>
      <c r="CN17" s="170"/>
      <c r="CO17" s="161"/>
      <c r="CP17" s="161"/>
      <c r="CQ17" s="161"/>
      <c r="CR17" s="162"/>
      <c r="CS17" s="162"/>
      <c r="CT17" s="162"/>
      <c r="CU17" s="162"/>
      <c r="CV17" s="162"/>
      <c r="CW17" s="162"/>
      <c r="CX17" s="162"/>
      <c r="CY17" s="162"/>
      <c r="CZ17" s="162"/>
      <c r="DA17" s="163"/>
      <c r="DB17" s="107"/>
    </row>
    <row r="18" spans="1:106" ht="12" customHeight="1" x14ac:dyDescent="0.2">
      <c r="A18" s="333" t="s">
        <v>185</v>
      </c>
      <c r="B18" s="334"/>
      <c r="C18" s="334"/>
      <c r="D18" s="334"/>
      <c r="E18" s="334"/>
      <c r="F18" s="334"/>
      <c r="G18" s="400"/>
      <c r="H18" s="400"/>
      <c r="I18" s="400"/>
      <c r="J18" s="400"/>
      <c r="K18" s="400"/>
      <c r="L18" s="400"/>
      <c r="M18" s="400"/>
      <c r="N18" s="400"/>
      <c r="O18" s="400"/>
      <c r="P18" s="401"/>
      <c r="Q18" s="42"/>
      <c r="R18" s="42"/>
      <c r="S18" s="42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107"/>
      <c r="AK18" s="287"/>
      <c r="AL18" s="288"/>
      <c r="AM18" s="296">
        <v>10</v>
      </c>
      <c r="AN18" s="296"/>
      <c r="AO18" s="156" t="s">
        <v>395</v>
      </c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68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54"/>
      <c r="CN18" s="154"/>
      <c r="CO18" s="165"/>
      <c r="CP18" s="166"/>
      <c r="CQ18" s="167"/>
      <c r="CR18" s="161"/>
      <c r="CS18" s="161"/>
      <c r="CT18" s="162"/>
      <c r="CU18" s="162"/>
      <c r="CV18" s="162"/>
      <c r="CW18" s="162"/>
      <c r="CX18" s="162"/>
      <c r="CY18" s="162"/>
      <c r="CZ18" s="162"/>
      <c r="DA18" s="163"/>
      <c r="DB18" s="107"/>
    </row>
    <row r="19" spans="1:106" ht="12" x14ac:dyDescent="0.2">
      <c r="A19" s="333" t="s">
        <v>396</v>
      </c>
      <c r="B19" s="334"/>
      <c r="C19" s="334"/>
      <c r="D19" s="334"/>
      <c r="E19" s="334"/>
      <c r="F19" s="334"/>
      <c r="G19" s="475"/>
      <c r="H19" s="400"/>
      <c r="I19" s="400"/>
      <c r="J19" s="400"/>
      <c r="K19" s="400"/>
      <c r="L19" s="400"/>
      <c r="M19" s="400"/>
      <c r="N19" s="400"/>
      <c r="O19" s="400"/>
      <c r="P19" s="401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212"/>
      <c r="AF19" s="212"/>
      <c r="AG19" s="71"/>
      <c r="AH19" s="71"/>
      <c r="AI19" s="71"/>
      <c r="AJ19" s="107"/>
      <c r="AK19" s="287"/>
      <c r="AL19" s="288"/>
      <c r="AM19" s="296">
        <v>11</v>
      </c>
      <c r="AN19" s="296"/>
      <c r="AO19" s="156" t="s">
        <v>397</v>
      </c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68"/>
      <c r="BM19" s="161"/>
      <c r="BN19" s="161"/>
      <c r="BO19" s="161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54"/>
      <c r="CP19" s="154"/>
      <c r="CQ19" s="154"/>
      <c r="CR19" s="169"/>
      <c r="CS19" s="170"/>
      <c r="CT19" s="161"/>
      <c r="CU19" s="161"/>
      <c r="CV19" s="161"/>
      <c r="CW19" s="161"/>
      <c r="CX19" s="161"/>
      <c r="CY19" s="162"/>
      <c r="CZ19" s="162"/>
      <c r="DA19" s="163"/>
      <c r="DB19" s="107"/>
    </row>
    <row r="20" spans="1:106" ht="12" customHeight="1" thickBot="1" x14ac:dyDescent="0.25">
      <c r="A20" s="347" t="s">
        <v>398</v>
      </c>
      <c r="B20" s="348"/>
      <c r="C20" s="348"/>
      <c r="D20" s="348"/>
      <c r="E20" s="348"/>
      <c r="F20" s="348"/>
      <c r="G20" s="466"/>
      <c r="H20" s="466"/>
      <c r="I20" s="466"/>
      <c r="J20" s="466"/>
      <c r="K20" s="466"/>
      <c r="L20" s="466"/>
      <c r="M20" s="466"/>
      <c r="N20" s="466"/>
      <c r="O20" s="466"/>
      <c r="P20" s="950"/>
      <c r="Q20" s="42"/>
      <c r="R20" s="42"/>
      <c r="S20" s="42"/>
      <c r="T20" s="42"/>
      <c r="U20" s="42"/>
      <c r="V20" s="42"/>
      <c r="W20" s="42"/>
      <c r="X20" s="42"/>
      <c r="Y20" s="42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107"/>
      <c r="AK20" s="287"/>
      <c r="AL20" s="288"/>
      <c r="AM20" s="296">
        <v>12</v>
      </c>
      <c r="AN20" s="296"/>
      <c r="AO20" s="156" t="s">
        <v>399</v>
      </c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68"/>
      <c r="BM20" s="944" t="s">
        <v>400</v>
      </c>
      <c r="BN20" s="949"/>
      <c r="BO20" s="945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54"/>
      <c r="CS20" s="154"/>
      <c r="CT20" s="165"/>
      <c r="CU20" s="166"/>
      <c r="CV20" s="166"/>
      <c r="CW20" s="166"/>
      <c r="CX20" s="167"/>
      <c r="CY20" s="162"/>
      <c r="CZ20" s="162"/>
      <c r="DA20" s="163"/>
      <c r="DB20" s="107"/>
    </row>
    <row r="21" spans="1:106" ht="12" customHeight="1" thickBo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107"/>
      <c r="AK21" s="287"/>
      <c r="AL21" s="288"/>
      <c r="AM21" s="296">
        <v>13</v>
      </c>
      <c r="AN21" s="296"/>
      <c r="AO21" s="156" t="s">
        <v>401</v>
      </c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68"/>
      <c r="BM21" s="177"/>
      <c r="BN21" s="944" t="s">
        <v>402</v>
      </c>
      <c r="BO21" s="945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51"/>
      <c r="CU21" s="152"/>
      <c r="CV21" s="152"/>
      <c r="CW21" s="152"/>
      <c r="CX21" s="153"/>
      <c r="CY21" s="161"/>
      <c r="CZ21" s="161"/>
      <c r="DA21" s="178"/>
      <c r="DB21" s="107"/>
    </row>
    <row r="22" spans="1:106" ht="12" customHeight="1" x14ac:dyDescent="0.2">
      <c r="A22" s="42"/>
      <c r="B22" s="42"/>
      <c r="C22" s="42"/>
      <c r="D22" s="42"/>
      <c r="E22" s="42"/>
      <c r="F22" s="42"/>
      <c r="G22" s="42"/>
      <c r="H22" s="42"/>
      <c r="I22" s="42"/>
      <c r="J22" s="179"/>
      <c r="K22" s="130"/>
      <c r="L22" s="93"/>
      <c r="M22" s="130"/>
      <c r="N22" s="93"/>
      <c r="O22" s="130"/>
      <c r="P22" s="93"/>
      <c r="Q22" s="130"/>
      <c r="R22" s="93"/>
      <c r="S22" s="130"/>
      <c r="T22" s="93"/>
      <c r="U22" s="130"/>
      <c r="V22" s="93"/>
      <c r="W22" s="130"/>
      <c r="X22" s="180"/>
      <c r="Y22" s="42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107"/>
      <c r="AK22" s="287"/>
      <c r="AL22" s="288"/>
      <c r="AM22" s="296">
        <v>14</v>
      </c>
      <c r="AN22" s="296"/>
      <c r="AO22" s="156" t="s">
        <v>403</v>
      </c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68"/>
      <c r="BM22" s="181"/>
      <c r="BN22" s="944" t="s">
        <v>404</v>
      </c>
      <c r="BO22" s="945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54"/>
      <c r="CU22" s="154"/>
      <c r="CV22" s="154"/>
      <c r="CW22" s="154"/>
      <c r="CX22" s="154"/>
      <c r="CY22" s="165"/>
      <c r="CZ22" s="166"/>
      <c r="DA22" s="182"/>
      <c r="DB22" s="107"/>
    </row>
    <row r="23" spans="1:106" ht="12" customHeight="1" x14ac:dyDescent="0.2">
      <c r="A23" s="42"/>
      <c r="B23" s="42"/>
      <c r="C23" s="42"/>
      <c r="D23" s="42"/>
      <c r="E23" s="42"/>
      <c r="F23" s="42"/>
      <c r="G23" s="42"/>
      <c r="H23" s="42"/>
      <c r="I23" s="42"/>
      <c r="J23" s="67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183"/>
      <c r="Y23" s="42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107"/>
      <c r="AK23" s="287"/>
      <c r="AL23" s="288"/>
      <c r="AM23" s="296">
        <v>15</v>
      </c>
      <c r="AN23" s="296"/>
      <c r="AO23" s="156" t="s">
        <v>405</v>
      </c>
      <c r="AP23" s="157"/>
      <c r="AQ23" s="157"/>
      <c r="AR23" s="157"/>
      <c r="AS23" s="157"/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7"/>
      <c r="BK23" s="157"/>
      <c r="BL23" s="168"/>
      <c r="BM23" s="184"/>
      <c r="BN23" s="944" t="s">
        <v>406</v>
      </c>
      <c r="BO23" s="945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54"/>
      <c r="CZ23" s="154"/>
      <c r="DA23" s="185"/>
      <c r="DB23" s="107"/>
    </row>
    <row r="24" spans="1:106" ht="12" customHeight="1" thickBot="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67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183"/>
      <c r="Y24" s="42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107"/>
      <c r="AK24" s="946"/>
      <c r="AL24" s="635"/>
      <c r="AM24" s="292">
        <v>16</v>
      </c>
      <c r="AN24" s="292"/>
      <c r="AO24" s="186" t="s">
        <v>275</v>
      </c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8"/>
      <c r="BM24" s="114"/>
      <c r="BN24" s="114"/>
      <c r="BO24" s="114"/>
      <c r="BP24" s="189"/>
      <c r="BQ24" s="189"/>
      <c r="BR24" s="189"/>
      <c r="BS24" s="189"/>
      <c r="BT24" s="189"/>
      <c r="BU24" s="189"/>
      <c r="BV24" s="189"/>
      <c r="BW24" s="189"/>
      <c r="BX24" s="189"/>
      <c r="BY24" s="189"/>
      <c r="BZ24" s="189"/>
      <c r="CA24" s="189"/>
      <c r="CB24" s="189"/>
      <c r="CC24" s="189"/>
      <c r="CD24" s="189"/>
      <c r="CE24" s="189"/>
      <c r="CF24" s="189"/>
      <c r="CG24" s="189"/>
      <c r="CH24" s="189"/>
      <c r="CI24" s="189"/>
      <c r="CJ24" s="189"/>
      <c r="CK24" s="189"/>
      <c r="CL24" s="189"/>
      <c r="CM24" s="189"/>
      <c r="CN24" s="189"/>
      <c r="CO24" s="189"/>
      <c r="CP24" s="189"/>
      <c r="CQ24" s="189"/>
      <c r="CR24" s="189"/>
      <c r="CS24" s="189"/>
      <c r="CT24" s="189"/>
      <c r="CU24" s="189"/>
      <c r="CV24" s="189"/>
      <c r="CW24" s="189"/>
      <c r="CX24" s="189"/>
      <c r="CY24" s="189"/>
      <c r="CZ24" s="189"/>
      <c r="DA24" s="115"/>
      <c r="DB24" s="107"/>
    </row>
    <row r="25" spans="1:106" ht="12" customHeight="1" x14ac:dyDescent="0.2">
      <c r="A25" s="42"/>
      <c r="B25" s="42"/>
      <c r="C25" s="42"/>
      <c r="D25" s="42"/>
      <c r="E25" s="42"/>
      <c r="F25" s="42"/>
      <c r="G25" s="42"/>
      <c r="H25" s="42"/>
      <c r="I25" s="42"/>
      <c r="J25" s="67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183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7"/>
      <c r="CV25" s="107"/>
      <c r="CW25" s="107"/>
      <c r="CX25" s="107"/>
      <c r="CY25" s="107"/>
      <c r="CZ25" s="107"/>
      <c r="DA25" s="107"/>
      <c r="DB25" s="107"/>
    </row>
    <row r="26" spans="1:106" ht="12" customHeight="1" x14ac:dyDescent="0.2">
      <c r="A26" s="42"/>
      <c r="B26" s="42"/>
      <c r="C26" s="42"/>
      <c r="D26" s="42"/>
      <c r="E26" s="42"/>
      <c r="F26" s="42"/>
      <c r="G26" s="42"/>
      <c r="H26" s="42"/>
      <c r="I26" s="42"/>
      <c r="J26" s="67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183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7"/>
      <c r="CS26" s="107"/>
      <c r="CT26" s="107"/>
      <c r="CU26" s="107"/>
      <c r="CV26" s="107"/>
      <c r="CW26" s="107"/>
      <c r="CX26" s="107"/>
      <c r="CY26" s="107"/>
      <c r="CZ26" s="107"/>
      <c r="DA26" s="107"/>
      <c r="DB26" s="107"/>
    </row>
    <row r="27" spans="1:106" ht="12" customHeight="1" thickBot="1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67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183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7"/>
      <c r="CS27" s="107"/>
      <c r="CT27" s="107"/>
      <c r="CU27" s="107"/>
      <c r="CV27" s="107"/>
      <c r="CW27" s="107"/>
      <c r="CX27" s="107"/>
      <c r="CY27" s="107"/>
      <c r="CZ27" s="107"/>
      <c r="DA27" s="107"/>
      <c r="DB27" s="107"/>
    </row>
    <row r="28" spans="1:106" ht="12" customHeight="1" thickBot="1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67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183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47" t="s">
        <v>297</v>
      </c>
      <c r="AW28" s="472"/>
      <c r="AX28" s="472"/>
      <c r="AY28" s="472"/>
      <c r="AZ28" s="472"/>
      <c r="BA28" s="472"/>
      <c r="BB28" s="472"/>
      <c r="BC28" s="948"/>
      <c r="BD28" s="191"/>
      <c r="BE28" s="107"/>
      <c r="BF28" s="471" t="s">
        <v>160</v>
      </c>
      <c r="BG28" s="472"/>
      <c r="BH28" s="472"/>
      <c r="BI28" s="472"/>
      <c r="BJ28" s="472"/>
      <c r="BK28" s="472"/>
      <c r="BL28" s="472"/>
      <c r="BM28" s="472"/>
      <c r="BN28" s="472"/>
      <c r="BO28" s="472"/>
      <c r="BP28" s="472"/>
      <c r="BQ28" s="472"/>
      <c r="BR28" s="472"/>
      <c r="BS28" s="472"/>
      <c r="BT28" s="473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</row>
    <row r="29" spans="1:106" ht="12" customHeight="1" thickTop="1" thickBot="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134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9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29" t="s">
        <v>298</v>
      </c>
      <c r="AW29" s="750"/>
      <c r="AX29" s="750"/>
      <c r="AY29" s="750"/>
      <c r="AZ29" s="750"/>
      <c r="BA29" s="751"/>
      <c r="BB29" s="930"/>
      <c r="BC29" s="931"/>
      <c r="BD29" s="193"/>
      <c r="BE29" s="107"/>
      <c r="BF29" s="324"/>
      <c r="BG29" s="547"/>
      <c r="BH29" s="547"/>
      <c r="BI29" s="547"/>
      <c r="BJ29" s="325"/>
      <c r="BK29" s="548"/>
      <c r="BL29" s="547"/>
      <c r="BM29" s="547"/>
      <c r="BN29" s="547"/>
      <c r="BO29" s="325"/>
      <c r="BP29" s="548"/>
      <c r="BQ29" s="547"/>
      <c r="BR29" s="547"/>
      <c r="BS29" s="547"/>
      <c r="BT29" s="549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</row>
    <row r="30" spans="1:106" ht="12" customHeight="1" thickBot="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932" t="s">
        <v>299</v>
      </c>
      <c r="AL30" s="933"/>
      <c r="AM30" s="933"/>
      <c r="AN30" s="933"/>
      <c r="AO30" s="933"/>
      <c r="AP30" s="933"/>
      <c r="AQ30" s="933"/>
      <c r="AR30" s="933"/>
      <c r="AS30" s="934"/>
      <c r="AT30" s="107"/>
      <c r="AU30" s="53"/>
      <c r="AV30" s="941" t="s">
        <v>300</v>
      </c>
      <c r="AW30" s="543"/>
      <c r="AX30" s="543"/>
      <c r="AY30" s="543"/>
      <c r="AZ30" s="543"/>
      <c r="BA30" s="544"/>
      <c r="BB30" s="942"/>
      <c r="BC30" s="943"/>
      <c r="BD30" s="55"/>
      <c r="BE30" s="107"/>
      <c r="BF30" s="521"/>
      <c r="BG30" s="522"/>
      <c r="BH30" s="522"/>
      <c r="BI30" s="522"/>
      <c r="BJ30" s="523"/>
      <c r="BK30" s="524"/>
      <c r="BL30" s="522"/>
      <c r="BM30" s="522"/>
      <c r="BN30" s="522"/>
      <c r="BO30" s="523"/>
      <c r="BP30" s="524"/>
      <c r="BQ30" s="522"/>
      <c r="BR30" s="522"/>
      <c r="BS30" s="522"/>
      <c r="BT30" s="525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</row>
    <row r="31" spans="1:106" ht="12" customHeight="1" thickBot="1" x14ac:dyDescent="0.25">
      <c r="A31" s="649" t="s">
        <v>301</v>
      </c>
      <c r="B31" s="650"/>
      <c r="C31" s="650"/>
      <c r="D31" s="650"/>
      <c r="E31" s="650"/>
      <c r="F31" s="650"/>
      <c r="G31" s="650"/>
      <c r="H31" s="653" t="s">
        <v>302</v>
      </c>
      <c r="I31" s="653"/>
      <c r="J31" s="653"/>
      <c r="K31" s="653"/>
      <c r="L31" s="653"/>
      <c r="M31" s="653"/>
      <c r="N31" s="653"/>
      <c r="O31" s="653"/>
      <c r="P31" s="653"/>
      <c r="Q31" s="650" t="s">
        <v>303</v>
      </c>
      <c r="R31" s="650"/>
      <c r="S31" s="650"/>
      <c r="T31" s="653" t="s">
        <v>304</v>
      </c>
      <c r="U31" s="653"/>
      <c r="V31" s="653"/>
      <c r="W31" s="653"/>
      <c r="X31" s="653"/>
      <c r="Y31" s="653"/>
      <c r="Z31" s="653"/>
      <c r="AA31" s="653"/>
      <c r="AB31" s="653"/>
      <c r="AC31" s="650" t="s">
        <v>305</v>
      </c>
      <c r="AD31" s="650"/>
      <c r="AE31" s="650"/>
      <c r="AF31" s="654" t="s">
        <v>262</v>
      </c>
      <c r="AG31" s="655"/>
      <c r="AH31" s="655"/>
      <c r="AI31" s="656"/>
      <c r="AJ31" s="107"/>
      <c r="AK31" s="935"/>
      <c r="AL31" s="936"/>
      <c r="AM31" s="936"/>
      <c r="AN31" s="936"/>
      <c r="AO31" s="936"/>
      <c r="AP31" s="936"/>
      <c r="AQ31" s="936"/>
      <c r="AR31" s="936"/>
      <c r="AS31" s="937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07"/>
      <c r="BF31" s="521"/>
      <c r="BG31" s="522"/>
      <c r="BH31" s="522"/>
      <c r="BI31" s="522"/>
      <c r="BJ31" s="523"/>
      <c r="BK31" s="524"/>
      <c r="BL31" s="522"/>
      <c r="BM31" s="522"/>
      <c r="BN31" s="522"/>
      <c r="BO31" s="523"/>
      <c r="BP31" s="524"/>
      <c r="BQ31" s="522"/>
      <c r="BR31" s="522"/>
      <c r="BS31" s="522"/>
      <c r="BT31" s="525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</row>
    <row r="32" spans="1:106" ht="12" customHeight="1" thickBot="1" x14ac:dyDescent="0.25">
      <c r="A32" s="651"/>
      <c r="B32" s="652"/>
      <c r="C32" s="652"/>
      <c r="D32" s="652"/>
      <c r="E32" s="652"/>
      <c r="F32" s="652"/>
      <c r="G32" s="652"/>
      <c r="H32" s="392" t="s">
        <v>306</v>
      </c>
      <c r="I32" s="392"/>
      <c r="J32" s="392"/>
      <c r="K32" s="392" t="s">
        <v>174</v>
      </c>
      <c r="L32" s="392"/>
      <c r="M32" s="392"/>
      <c r="N32" s="392" t="s">
        <v>307</v>
      </c>
      <c r="O32" s="392"/>
      <c r="P32" s="392"/>
      <c r="Q32" s="652"/>
      <c r="R32" s="652"/>
      <c r="S32" s="652"/>
      <c r="T32" s="392" t="s">
        <v>308</v>
      </c>
      <c r="U32" s="392"/>
      <c r="V32" s="392"/>
      <c r="W32" s="392" t="s">
        <v>180</v>
      </c>
      <c r="X32" s="392"/>
      <c r="Y32" s="392"/>
      <c r="Z32" s="392" t="s">
        <v>183</v>
      </c>
      <c r="AA32" s="392"/>
      <c r="AB32" s="392"/>
      <c r="AC32" s="652"/>
      <c r="AD32" s="652"/>
      <c r="AE32" s="652"/>
      <c r="AF32" s="657"/>
      <c r="AG32" s="658"/>
      <c r="AH32" s="658"/>
      <c r="AI32" s="659"/>
      <c r="AJ32" s="107"/>
      <c r="AK32" s="938"/>
      <c r="AL32" s="939"/>
      <c r="AM32" s="939"/>
      <c r="AN32" s="939"/>
      <c r="AO32" s="939"/>
      <c r="AP32" s="939"/>
      <c r="AQ32" s="939"/>
      <c r="AR32" s="939"/>
      <c r="AS32" s="940"/>
      <c r="AT32" s="107"/>
      <c r="AU32" s="471" t="s">
        <v>309</v>
      </c>
      <c r="AV32" s="472"/>
      <c r="AW32" s="472"/>
      <c r="AX32" s="472"/>
      <c r="AY32" s="472"/>
      <c r="AZ32" s="472"/>
      <c r="BA32" s="472"/>
      <c r="BB32" s="472"/>
      <c r="BC32" s="472"/>
      <c r="BD32" s="473"/>
      <c r="BE32" s="107"/>
      <c r="BF32" s="521"/>
      <c r="BG32" s="522"/>
      <c r="BH32" s="522"/>
      <c r="BI32" s="522"/>
      <c r="BJ32" s="523"/>
      <c r="BK32" s="524"/>
      <c r="BL32" s="522"/>
      <c r="BM32" s="522"/>
      <c r="BN32" s="522"/>
      <c r="BO32" s="523"/>
      <c r="BP32" s="524"/>
      <c r="BQ32" s="522"/>
      <c r="BR32" s="522"/>
      <c r="BS32" s="522"/>
      <c r="BT32" s="525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</row>
    <row r="33" spans="1:106" ht="15.75" customHeight="1" thickTop="1" x14ac:dyDescent="0.2">
      <c r="A33" s="926"/>
      <c r="B33" s="927"/>
      <c r="C33" s="927"/>
      <c r="D33" s="927"/>
      <c r="E33" s="927"/>
      <c r="F33" s="927"/>
      <c r="G33" s="927"/>
      <c r="H33" s="644"/>
      <c r="I33" s="644"/>
      <c r="J33" s="644"/>
      <c r="K33" s="644"/>
      <c r="L33" s="644"/>
      <c r="M33" s="644"/>
      <c r="N33" s="1041"/>
      <c r="O33" s="644"/>
      <c r="P33" s="644"/>
      <c r="Q33" s="644"/>
      <c r="R33" s="644"/>
      <c r="S33" s="644"/>
      <c r="T33" s="638"/>
      <c r="U33" s="638"/>
      <c r="V33" s="638"/>
      <c r="W33" s="638"/>
      <c r="X33" s="638"/>
      <c r="Y33" s="638"/>
      <c r="Z33" s="638"/>
      <c r="AA33" s="638"/>
      <c r="AB33" s="638"/>
      <c r="AC33" s="638"/>
      <c r="AD33" s="638"/>
      <c r="AE33" s="638"/>
      <c r="AF33" s="644"/>
      <c r="AG33" s="644"/>
      <c r="AH33" s="644"/>
      <c r="AI33" s="928"/>
      <c r="AJ33" s="107"/>
      <c r="AK33" s="620" t="str">
        <f>IFERROR(AN33*(1-$BB$30),"")</f>
        <v/>
      </c>
      <c r="AL33" s="621"/>
      <c r="AM33" s="621"/>
      <c r="AN33" s="621" t="str">
        <f>IFERROR(($AK$53*Q33),"")</f>
        <v/>
      </c>
      <c r="AO33" s="621"/>
      <c r="AP33" s="621"/>
      <c r="AQ33" s="621" t="str">
        <f>IFERROR(AN33*(1+$BB$29),"")</f>
        <v/>
      </c>
      <c r="AR33" s="621"/>
      <c r="AS33" s="622"/>
      <c r="AT33" s="107"/>
      <c r="AU33" s="923" t="str">
        <f t="shared" ref="AU33:AU53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24"/>
      <c r="AW33" s="924"/>
      <c r="AX33" s="924"/>
      <c r="AY33" s="924"/>
      <c r="AZ33" s="924"/>
      <c r="BA33" s="924"/>
      <c r="BB33" s="924"/>
      <c r="BC33" s="924"/>
      <c r="BD33" s="925"/>
      <c r="BE33" s="107"/>
      <c r="BF33" s="521"/>
      <c r="BG33" s="522"/>
      <c r="BH33" s="522"/>
      <c r="BI33" s="522"/>
      <c r="BJ33" s="523"/>
      <c r="BK33" s="524"/>
      <c r="BL33" s="522"/>
      <c r="BM33" s="522"/>
      <c r="BN33" s="522"/>
      <c r="BO33" s="523"/>
      <c r="BP33" s="524"/>
      <c r="BQ33" s="522"/>
      <c r="BR33" s="522"/>
      <c r="BS33" s="522"/>
      <c r="BT33" s="525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</row>
    <row r="34" spans="1:106" ht="12" customHeight="1" thickBot="1" x14ac:dyDescent="0.25">
      <c r="A34" s="926"/>
      <c r="B34" s="927"/>
      <c r="C34" s="927"/>
      <c r="D34" s="927"/>
      <c r="E34" s="927"/>
      <c r="F34" s="927"/>
      <c r="G34" s="927"/>
      <c r="H34" s="453"/>
      <c r="I34" s="453"/>
      <c r="J34" s="453"/>
      <c r="K34" s="453"/>
      <c r="L34" s="453"/>
      <c r="M34" s="453"/>
      <c r="N34" s="1040"/>
      <c r="O34" s="453"/>
      <c r="P34" s="453"/>
      <c r="Q34" s="453"/>
      <c r="R34" s="453"/>
      <c r="S34" s="453"/>
      <c r="T34" s="638"/>
      <c r="U34" s="638"/>
      <c r="V34" s="638"/>
      <c r="W34" s="638"/>
      <c r="X34" s="638"/>
      <c r="Y34" s="638"/>
      <c r="Z34" s="638"/>
      <c r="AA34" s="638"/>
      <c r="AB34" s="638"/>
      <c r="AC34" s="638"/>
      <c r="AD34" s="638"/>
      <c r="AE34" s="638"/>
      <c r="AF34" s="400"/>
      <c r="AG34" s="400"/>
      <c r="AH34" s="400"/>
      <c r="AI34" s="401"/>
      <c r="AJ34" s="107"/>
      <c r="AK34" s="620" t="str">
        <f t="shared" ref="AK34:AK52" si="1">IFERROR(AN34*(1-$BB$30),"")</f>
        <v/>
      </c>
      <c r="AL34" s="621"/>
      <c r="AM34" s="621"/>
      <c r="AN34" s="621" t="str">
        <f t="shared" ref="AN34:AN52" si="2">IFERROR(($AK$53*Q34),"")</f>
        <v/>
      </c>
      <c r="AO34" s="621"/>
      <c r="AP34" s="621"/>
      <c r="AQ34" s="621" t="str">
        <f t="shared" ref="AQ34:AQ52" si="3">IFERROR(AN34*(1+$BB$29),"")</f>
        <v/>
      </c>
      <c r="AR34" s="621"/>
      <c r="AS34" s="622"/>
      <c r="AT34" s="107"/>
      <c r="AU34" s="923" t="str">
        <f t="shared" si="0"/>
        <v/>
      </c>
      <c r="AV34" s="924"/>
      <c r="AW34" s="924"/>
      <c r="AX34" s="924"/>
      <c r="AY34" s="924"/>
      <c r="AZ34" s="924"/>
      <c r="BA34" s="924"/>
      <c r="BB34" s="924"/>
      <c r="BC34" s="924"/>
      <c r="BD34" s="925"/>
      <c r="BE34" s="107"/>
      <c r="BF34" s="528"/>
      <c r="BG34" s="529"/>
      <c r="BH34" s="529"/>
      <c r="BI34" s="529"/>
      <c r="BJ34" s="530"/>
      <c r="BK34" s="531"/>
      <c r="BL34" s="529"/>
      <c r="BM34" s="529"/>
      <c r="BN34" s="529"/>
      <c r="BO34" s="530"/>
      <c r="BP34" s="531"/>
      <c r="BQ34" s="529"/>
      <c r="BR34" s="529"/>
      <c r="BS34" s="529"/>
      <c r="BT34" s="532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</row>
    <row r="35" spans="1:106" ht="12" customHeight="1" x14ac:dyDescent="0.2">
      <c r="A35" s="926"/>
      <c r="B35" s="927"/>
      <c r="C35" s="927"/>
      <c r="D35" s="927"/>
      <c r="E35" s="927"/>
      <c r="F35" s="927"/>
      <c r="G35" s="927"/>
      <c r="H35" s="453"/>
      <c r="I35" s="453"/>
      <c r="J35" s="453"/>
      <c r="K35" s="453"/>
      <c r="L35" s="453"/>
      <c r="M35" s="453"/>
      <c r="N35" s="1040"/>
      <c r="O35" s="453"/>
      <c r="P35" s="453"/>
      <c r="Q35" s="453"/>
      <c r="R35" s="453"/>
      <c r="S35" s="453"/>
      <c r="T35" s="638"/>
      <c r="U35" s="638"/>
      <c r="V35" s="638"/>
      <c r="W35" s="638"/>
      <c r="X35" s="638"/>
      <c r="Y35" s="638"/>
      <c r="Z35" s="638"/>
      <c r="AA35" s="638"/>
      <c r="AB35" s="638"/>
      <c r="AC35" s="638"/>
      <c r="AD35" s="638"/>
      <c r="AE35" s="638"/>
      <c r="AF35" s="400"/>
      <c r="AG35" s="400"/>
      <c r="AH35" s="400"/>
      <c r="AI35" s="401"/>
      <c r="AJ35" s="107"/>
      <c r="AK35" s="620" t="str">
        <f t="shared" si="1"/>
        <v/>
      </c>
      <c r="AL35" s="621"/>
      <c r="AM35" s="621"/>
      <c r="AN35" s="621" t="str">
        <f t="shared" si="2"/>
        <v/>
      </c>
      <c r="AO35" s="621"/>
      <c r="AP35" s="621"/>
      <c r="AQ35" s="621" t="str">
        <f t="shared" si="3"/>
        <v/>
      </c>
      <c r="AR35" s="621"/>
      <c r="AS35" s="622"/>
      <c r="AT35" s="107"/>
      <c r="AU35" s="923" t="str">
        <f t="shared" si="0"/>
        <v/>
      </c>
      <c r="AV35" s="924"/>
      <c r="AW35" s="924"/>
      <c r="AX35" s="924"/>
      <c r="AY35" s="924"/>
      <c r="AZ35" s="924"/>
      <c r="BA35" s="924"/>
      <c r="BB35" s="924"/>
      <c r="BC35" s="924"/>
      <c r="BD35" s="925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</row>
    <row r="36" spans="1:106" ht="12" customHeight="1" x14ac:dyDescent="0.2">
      <c r="A36" s="926"/>
      <c r="B36" s="927"/>
      <c r="C36" s="927"/>
      <c r="D36" s="927"/>
      <c r="E36" s="927"/>
      <c r="F36" s="927"/>
      <c r="G36" s="927"/>
      <c r="H36" s="453"/>
      <c r="I36" s="453"/>
      <c r="J36" s="453"/>
      <c r="K36" s="453"/>
      <c r="L36" s="453"/>
      <c r="M36" s="453"/>
      <c r="N36" s="453"/>
      <c r="O36" s="453"/>
      <c r="P36" s="453"/>
      <c r="Q36" s="453"/>
      <c r="R36" s="453"/>
      <c r="S36" s="453"/>
      <c r="T36" s="638"/>
      <c r="U36" s="638"/>
      <c r="V36" s="638"/>
      <c r="W36" s="638"/>
      <c r="X36" s="638"/>
      <c r="Y36" s="638"/>
      <c r="Z36" s="638"/>
      <c r="AA36" s="638"/>
      <c r="AB36" s="638"/>
      <c r="AC36" s="638"/>
      <c r="AD36" s="638"/>
      <c r="AE36" s="638"/>
      <c r="AF36" s="400"/>
      <c r="AG36" s="400"/>
      <c r="AH36" s="400"/>
      <c r="AI36" s="401"/>
      <c r="AJ36" s="107"/>
      <c r="AK36" s="620" t="str">
        <f t="shared" si="1"/>
        <v/>
      </c>
      <c r="AL36" s="621"/>
      <c r="AM36" s="621"/>
      <c r="AN36" s="621" t="str">
        <f t="shared" si="2"/>
        <v/>
      </c>
      <c r="AO36" s="621"/>
      <c r="AP36" s="621"/>
      <c r="AQ36" s="621" t="str">
        <f t="shared" si="3"/>
        <v/>
      </c>
      <c r="AR36" s="621"/>
      <c r="AS36" s="622"/>
      <c r="AT36" s="107"/>
      <c r="AU36" s="923" t="str">
        <f t="shared" si="0"/>
        <v/>
      </c>
      <c r="AV36" s="924"/>
      <c r="AW36" s="924"/>
      <c r="AX36" s="924"/>
      <c r="AY36" s="924"/>
      <c r="AZ36" s="924"/>
      <c r="BA36" s="924"/>
      <c r="BB36" s="924"/>
      <c r="BC36" s="924"/>
      <c r="BD36" s="925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</row>
    <row r="37" spans="1:106" ht="12" customHeight="1" x14ac:dyDescent="0.2">
      <c r="A37" s="926"/>
      <c r="B37" s="927"/>
      <c r="C37" s="927"/>
      <c r="D37" s="927"/>
      <c r="E37" s="927"/>
      <c r="F37" s="927"/>
      <c r="G37" s="927"/>
      <c r="H37" s="453"/>
      <c r="I37" s="453"/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638"/>
      <c r="U37" s="638"/>
      <c r="V37" s="638"/>
      <c r="W37" s="638"/>
      <c r="X37" s="638"/>
      <c r="Y37" s="638"/>
      <c r="Z37" s="638"/>
      <c r="AA37" s="638"/>
      <c r="AB37" s="638"/>
      <c r="AC37" s="638"/>
      <c r="AD37" s="638"/>
      <c r="AE37" s="638"/>
      <c r="AF37" s="400"/>
      <c r="AG37" s="400"/>
      <c r="AH37" s="400"/>
      <c r="AI37" s="401"/>
      <c r="AJ37" s="107"/>
      <c r="AK37" s="620" t="str">
        <f t="shared" si="1"/>
        <v/>
      </c>
      <c r="AL37" s="621"/>
      <c r="AM37" s="621"/>
      <c r="AN37" s="621" t="str">
        <f t="shared" si="2"/>
        <v/>
      </c>
      <c r="AO37" s="621"/>
      <c r="AP37" s="621"/>
      <c r="AQ37" s="621" t="str">
        <f t="shared" si="3"/>
        <v/>
      </c>
      <c r="AR37" s="621"/>
      <c r="AS37" s="622"/>
      <c r="AT37" s="107"/>
      <c r="AU37" s="923" t="str">
        <f t="shared" si="0"/>
        <v/>
      </c>
      <c r="AV37" s="924"/>
      <c r="AW37" s="924"/>
      <c r="AX37" s="924"/>
      <c r="AY37" s="924"/>
      <c r="AZ37" s="924"/>
      <c r="BA37" s="924"/>
      <c r="BB37" s="924"/>
      <c r="BC37" s="924"/>
      <c r="BD37" s="925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</row>
    <row r="38" spans="1:106" ht="12" customHeight="1" x14ac:dyDescent="0.2">
      <c r="A38" s="926"/>
      <c r="B38" s="927"/>
      <c r="C38" s="927"/>
      <c r="D38" s="927"/>
      <c r="E38" s="927"/>
      <c r="F38" s="927"/>
      <c r="G38" s="927"/>
      <c r="H38" s="453"/>
      <c r="I38" s="453"/>
      <c r="J38" s="453"/>
      <c r="K38" s="453"/>
      <c r="L38" s="453"/>
      <c r="M38" s="453"/>
      <c r="N38" s="453"/>
      <c r="O38" s="453"/>
      <c r="P38" s="453"/>
      <c r="Q38" s="453"/>
      <c r="R38" s="453"/>
      <c r="S38" s="453"/>
      <c r="T38" s="638"/>
      <c r="U38" s="638"/>
      <c r="V38" s="638"/>
      <c r="W38" s="638"/>
      <c r="X38" s="638"/>
      <c r="Y38" s="638"/>
      <c r="Z38" s="638"/>
      <c r="AA38" s="638"/>
      <c r="AB38" s="638"/>
      <c r="AC38" s="638"/>
      <c r="AD38" s="638"/>
      <c r="AE38" s="638"/>
      <c r="AF38" s="400"/>
      <c r="AG38" s="400"/>
      <c r="AH38" s="400"/>
      <c r="AI38" s="401"/>
      <c r="AJ38" s="107"/>
      <c r="AK38" s="620" t="str">
        <f t="shared" si="1"/>
        <v/>
      </c>
      <c r="AL38" s="621"/>
      <c r="AM38" s="621"/>
      <c r="AN38" s="621" t="str">
        <f t="shared" si="2"/>
        <v/>
      </c>
      <c r="AO38" s="621"/>
      <c r="AP38" s="621"/>
      <c r="AQ38" s="621" t="str">
        <f t="shared" si="3"/>
        <v/>
      </c>
      <c r="AR38" s="621"/>
      <c r="AS38" s="622"/>
      <c r="AT38" s="107"/>
      <c r="AU38" s="923" t="str">
        <f t="shared" si="0"/>
        <v/>
      </c>
      <c r="AV38" s="924"/>
      <c r="AW38" s="924"/>
      <c r="AX38" s="924"/>
      <c r="AY38" s="924"/>
      <c r="AZ38" s="924"/>
      <c r="BA38" s="924"/>
      <c r="BB38" s="924"/>
      <c r="BC38" s="924"/>
      <c r="BD38" s="925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</row>
    <row r="39" spans="1:106" ht="12" customHeight="1" x14ac:dyDescent="0.2">
      <c r="A39" s="926"/>
      <c r="B39" s="927"/>
      <c r="C39" s="927"/>
      <c r="D39" s="927"/>
      <c r="E39" s="927"/>
      <c r="F39" s="927"/>
      <c r="G39" s="927"/>
      <c r="H39" s="453"/>
      <c r="I39" s="453"/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638"/>
      <c r="U39" s="638"/>
      <c r="V39" s="638"/>
      <c r="W39" s="638"/>
      <c r="X39" s="638"/>
      <c r="Y39" s="638"/>
      <c r="Z39" s="638"/>
      <c r="AA39" s="638"/>
      <c r="AB39" s="638"/>
      <c r="AC39" s="638"/>
      <c r="AD39" s="638"/>
      <c r="AE39" s="638"/>
      <c r="AF39" s="400"/>
      <c r="AG39" s="400"/>
      <c r="AH39" s="400"/>
      <c r="AI39" s="401"/>
      <c r="AJ39" s="107"/>
      <c r="AK39" s="620" t="str">
        <f t="shared" si="1"/>
        <v/>
      </c>
      <c r="AL39" s="621"/>
      <c r="AM39" s="621"/>
      <c r="AN39" s="621" t="str">
        <f t="shared" si="2"/>
        <v/>
      </c>
      <c r="AO39" s="621"/>
      <c r="AP39" s="621"/>
      <c r="AQ39" s="621" t="str">
        <f t="shared" si="3"/>
        <v/>
      </c>
      <c r="AR39" s="621"/>
      <c r="AS39" s="622"/>
      <c r="AT39" s="107"/>
      <c r="AU39" s="923" t="str">
        <f t="shared" si="0"/>
        <v/>
      </c>
      <c r="AV39" s="924"/>
      <c r="AW39" s="924"/>
      <c r="AX39" s="924"/>
      <c r="AY39" s="924"/>
      <c r="AZ39" s="924"/>
      <c r="BA39" s="924"/>
      <c r="BB39" s="924"/>
      <c r="BC39" s="924"/>
      <c r="BD39" s="925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</row>
    <row r="40" spans="1:106" ht="12" customHeight="1" x14ac:dyDescent="0.2">
      <c r="A40" s="926"/>
      <c r="B40" s="927"/>
      <c r="C40" s="927"/>
      <c r="D40" s="927"/>
      <c r="E40" s="927"/>
      <c r="F40" s="927"/>
      <c r="G40" s="927"/>
      <c r="H40" s="453"/>
      <c r="I40" s="453"/>
      <c r="J40" s="453"/>
      <c r="K40" s="453"/>
      <c r="L40" s="453"/>
      <c r="M40" s="453"/>
      <c r="N40" s="453"/>
      <c r="O40" s="453"/>
      <c r="P40" s="453"/>
      <c r="Q40" s="453"/>
      <c r="R40" s="453"/>
      <c r="S40" s="453"/>
      <c r="T40" s="638"/>
      <c r="U40" s="638"/>
      <c r="V40" s="638"/>
      <c r="W40" s="638"/>
      <c r="X40" s="638"/>
      <c r="Y40" s="638"/>
      <c r="Z40" s="638"/>
      <c r="AA40" s="638"/>
      <c r="AB40" s="638"/>
      <c r="AC40" s="638"/>
      <c r="AD40" s="638"/>
      <c r="AE40" s="638"/>
      <c r="AF40" s="400"/>
      <c r="AG40" s="400"/>
      <c r="AH40" s="400"/>
      <c r="AI40" s="401"/>
      <c r="AJ40" s="107"/>
      <c r="AK40" s="620" t="str">
        <f t="shared" si="1"/>
        <v/>
      </c>
      <c r="AL40" s="621"/>
      <c r="AM40" s="621"/>
      <c r="AN40" s="621" t="str">
        <f t="shared" si="2"/>
        <v/>
      </c>
      <c r="AO40" s="621"/>
      <c r="AP40" s="621"/>
      <c r="AQ40" s="621" t="str">
        <f t="shared" si="3"/>
        <v/>
      </c>
      <c r="AR40" s="621"/>
      <c r="AS40" s="622"/>
      <c r="AT40" s="107"/>
      <c r="AU40" s="923" t="str">
        <f t="shared" si="0"/>
        <v/>
      </c>
      <c r="AV40" s="924"/>
      <c r="AW40" s="924"/>
      <c r="AX40" s="924"/>
      <c r="AY40" s="924"/>
      <c r="AZ40" s="924"/>
      <c r="BA40" s="924"/>
      <c r="BB40" s="924"/>
      <c r="BC40" s="924"/>
      <c r="BD40" s="925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</row>
    <row r="41" spans="1:106" ht="12" customHeight="1" x14ac:dyDescent="0.2">
      <c r="A41" s="926"/>
      <c r="B41" s="927"/>
      <c r="C41" s="927"/>
      <c r="D41" s="927"/>
      <c r="E41" s="927"/>
      <c r="F41" s="927"/>
      <c r="G41" s="927"/>
      <c r="H41" s="453"/>
      <c r="I41" s="453"/>
      <c r="J41" s="453"/>
      <c r="K41" s="453"/>
      <c r="L41" s="453"/>
      <c r="M41" s="453"/>
      <c r="N41" s="453"/>
      <c r="O41" s="453"/>
      <c r="P41" s="453"/>
      <c r="Q41" s="453"/>
      <c r="R41" s="453"/>
      <c r="S41" s="453"/>
      <c r="T41" s="638"/>
      <c r="U41" s="638"/>
      <c r="V41" s="638"/>
      <c r="W41" s="638"/>
      <c r="X41" s="638"/>
      <c r="Y41" s="638"/>
      <c r="Z41" s="638"/>
      <c r="AA41" s="638"/>
      <c r="AB41" s="638"/>
      <c r="AC41" s="638"/>
      <c r="AD41" s="638"/>
      <c r="AE41" s="638"/>
      <c r="AF41" s="400"/>
      <c r="AG41" s="400"/>
      <c r="AH41" s="400"/>
      <c r="AI41" s="401"/>
      <c r="AJ41" s="107"/>
      <c r="AK41" s="620" t="str">
        <f t="shared" si="1"/>
        <v/>
      </c>
      <c r="AL41" s="621"/>
      <c r="AM41" s="621"/>
      <c r="AN41" s="621" t="str">
        <f t="shared" si="2"/>
        <v/>
      </c>
      <c r="AO41" s="621"/>
      <c r="AP41" s="621"/>
      <c r="AQ41" s="621" t="str">
        <f t="shared" si="3"/>
        <v/>
      </c>
      <c r="AR41" s="621"/>
      <c r="AS41" s="622"/>
      <c r="AT41" s="107"/>
      <c r="AU41" s="923" t="str">
        <f t="shared" si="0"/>
        <v/>
      </c>
      <c r="AV41" s="924"/>
      <c r="AW41" s="924"/>
      <c r="AX41" s="924"/>
      <c r="AY41" s="924"/>
      <c r="AZ41" s="924"/>
      <c r="BA41" s="924"/>
      <c r="BB41" s="924"/>
      <c r="BC41" s="924"/>
      <c r="BD41" s="925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</row>
    <row r="42" spans="1:106" ht="12" customHeight="1" x14ac:dyDescent="0.2">
      <c r="A42" s="926"/>
      <c r="B42" s="927"/>
      <c r="C42" s="927"/>
      <c r="D42" s="927"/>
      <c r="E42" s="927"/>
      <c r="F42" s="927"/>
      <c r="G42" s="927"/>
      <c r="H42" s="453"/>
      <c r="I42" s="453"/>
      <c r="J42" s="453"/>
      <c r="K42" s="453"/>
      <c r="L42" s="453"/>
      <c r="M42" s="453"/>
      <c r="N42" s="453"/>
      <c r="O42" s="453"/>
      <c r="P42" s="453"/>
      <c r="Q42" s="453"/>
      <c r="R42" s="453"/>
      <c r="S42" s="453"/>
      <c r="T42" s="638"/>
      <c r="U42" s="638"/>
      <c r="V42" s="638"/>
      <c r="W42" s="638"/>
      <c r="X42" s="638"/>
      <c r="Y42" s="638"/>
      <c r="Z42" s="638"/>
      <c r="AA42" s="638"/>
      <c r="AB42" s="638"/>
      <c r="AC42" s="638"/>
      <c r="AD42" s="638"/>
      <c r="AE42" s="638"/>
      <c r="AF42" s="400"/>
      <c r="AG42" s="400"/>
      <c r="AH42" s="400"/>
      <c r="AI42" s="401"/>
      <c r="AJ42" s="107"/>
      <c r="AK42" s="620" t="str">
        <f t="shared" si="1"/>
        <v/>
      </c>
      <c r="AL42" s="621"/>
      <c r="AM42" s="621"/>
      <c r="AN42" s="621" t="str">
        <f t="shared" si="2"/>
        <v/>
      </c>
      <c r="AO42" s="621"/>
      <c r="AP42" s="621"/>
      <c r="AQ42" s="621" t="str">
        <f t="shared" si="3"/>
        <v/>
      </c>
      <c r="AR42" s="621"/>
      <c r="AS42" s="622"/>
      <c r="AT42" s="107"/>
      <c r="AU42" s="923" t="str">
        <f t="shared" si="0"/>
        <v/>
      </c>
      <c r="AV42" s="924"/>
      <c r="AW42" s="924"/>
      <c r="AX42" s="924"/>
      <c r="AY42" s="924"/>
      <c r="AZ42" s="924"/>
      <c r="BA42" s="924"/>
      <c r="BB42" s="924"/>
      <c r="BC42" s="924"/>
      <c r="BD42" s="925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7"/>
      <c r="CP42" s="107"/>
      <c r="CQ42" s="107"/>
      <c r="CR42" s="107"/>
      <c r="CS42" s="107"/>
      <c r="CT42" s="107"/>
      <c r="CU42" s="107"/>
      <c r="CV42" s="107"/>
      <c r="CW42" s="107"/>
      <c r="CX42" s="107"/>
      <c r="CY42" s="107"/>
      <c r="CZ42" s="107"/>
      <c r="DA42" s="107"/>
      <c r="DB42" s="107"/>
    </row>
    <row r="43" spans="1:106" ht="12" customHeight="1" x14ac:dyDescent="0.2">
      <c r="A43" s="926"/>
      <c r="B43" s="927"/>
      <c r="C43" s="927"/>
      <c r="D43" s="927"/>
      <c r="E43" s="927"/>
      <c r="F43" s="927"/>
      <c r="G43" s="927"/>
      <c r="H43" s="453"/>
      <c r="I43" s="453"/>
      <c r="J43" s="453"/>
      <c r="K43" s="453"/>
      <c r="L43" s="453"/>
      <c r="M43" s="453"/>
      <c r="N43" s="453"/>
      <c r="O43" s="453"/>
      <c r="P43" s="453"/>
      <c r="Q43" s="453"/>
      <c r="R43" s="453"/>
      <c r="S43" s="453"/>
      <c r="T43" s="638"/>
      <c r="U43" s="638"/>
      <c r="V43" s="638"/>
      <c r="W43" s="638"/>
      <c r="X43" s="638"/>
      <c r="Y43" s="638"/>
      <c r="Z43" s="638"/>
      <c r="AA43" s="638"/>
      <c r="AB43" s="638"/>
      <c r="AC43" s="638"/>
      <c r="AD43" s="638"/>
      <c r="AE43" s="638"/>
      <c r="AF43" s="400"/>
      <c r="AG43" s="400"/>
      <c r="AH43" s="400"/>
      <c r="AI43" s="401"/>
      <c r="AJ43" s="107"/>
      <c r="AK43" s="620" t="str">
        <f t="shared" si="1"/>
        <v/>
      </c>
      <c r="AL43" s="621"/>
      <c r="AM43" s="621"/>
      <c r="AN43" s="621" t="str">
        <f t="shared" si="2"/>
        <v/>
      </c>
      <c r="AO43" s="621"/>
      <c r="AP43" s="621"/>
      <c r="AQ43" s="621" t="str">
        <f t="shared" si="3"/>
        <v/>
      </c>
      <c r="AR43" s="621"/>
      <c r="AS43" s="622"/>
      <c r="AT43" s="107"/>
      <c r="AU43" s="923" t="str">
        <f t="shared" si="0"/>
        <v/>
      </c>
      <c r="AV43" s="924"/>
      <c r="AW43" s="924"/>
      <c r="AX43" s="924"/>
      <c r="AY43" s="924"/>
      <c r="AZ43" s="924"/>
      <c r="BA43" s="924"/>
      <c r="BB43" s="924"/>
      <c r="BC43" s="924"/>
      <c r="BD43" s="925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</row>
    <row r="44" spans="1:106" ht="12" customHeight="1" x14ac:dyDescent="0.2">
      <c r="A44" s="926"/>
      <c r="B44" s="927"/>
      <c r="C44" s="927"/>
      <c r="D44" s="927"/>
      <c r="E44" s="927"/>
      <c r="F44" s="927"/>
      <c r="G44" s="927"/>
      <c r="H44" s="453"/>
      <c r="I44" s="453"/>
      <c r="J44" s="453"/>
      <c r="K44" s="453"/>
      <c r="L44" s="453"/>
      <c r="M44" s="453"/>
      <c r="N44" s="453"/>
      <c r="O44" s="453"/>
      <c r="P44" s="453"/>
      <c r="Q44" s="453"/>
      <c r="R44" s="453"/>
      <c r="S44" s="453"/>
      <c r="T44" s="638"/>
      <c r="U44" s="638"/>
      <c r="V44" s="638"/>
      <c r="W44" s="638"/>
      <c r="X44" s="638"/>
      <c r="Y44" s="638"/>
      <c r="Z44" s="638"/>
      <c r="AA44" s="638"/>
      <c r="AB44" s="638"/>
      <c r="AC44" s="638"/>
      <c r="AD44" s="638"/>
      <c r="AE44" s="638"/>
      <c r="AF44" s="400"/>
      <c r="AG44" s="400"/>
      <c r="AH44" s="400"/>
      <c r="AI44" s="401"/>
      <c r="AJ44" s="107"/>
      <c r="AK44" s="620" t="str">
        <f t="shared" si="1"/>
        <v/>
      </c>
      <c r="AL44" s="621"/>
      <c r="AM44" s="621"/>
      <c r="AN44" s="621" t="str">
        <f t="shared" si="2"/>
        <v/>
      </c>
      <c r="AO44" s="621"/>
      <c r="AP44" s="621"/>
      <c r="AQ44" s="621" t="str">
        <f t="shared" si="3"/>
        <v/>
      </c>
      <c r="AR44" s="621"/>
      <c r="AS44" s="622"/>
      <c r="AT44" s="107"/>
      <c r="AU44" s="923" t="str">
        <f t="shared" si="0"/>
        <v/>
      </c>
      <c r="AV44" s="924"/>
      <c r="AW44" s="924"/>
      <c r="AX44" s="924"/>
      <c r="AY44" s="924"/>
      <c r="AZ44" s="924"/>
      <c r="BA44" s="924"/>
      <c r="BB44" s="924"/>
      <c r="BC44" s="924"/>
      <c r="BD44" s="925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</row>
    <row r="45" spans="1:106" ht="12" customHeight="1" x14ac:dyDescent="0.2">
      <c r="A45" s="926"/>
      <c r="B45" s="927"/>
      <c r="C45" s="927"/>
      <c r="D45" s="927"/>
      <c r="E45" s="927"/>
      <c r="F45" s="927"/>
      <c r="G45" s="927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53"/>
      <c r="S45" s="453"/>
      <c r="T45" s="638"/>
      <c r="U45" s="638"/>
      <c r="V45" s="638"/>
      <c r="W45" s="638"/>
      <c r="X45" s="638"/>
      <c r="Y45" s="638"/>
      <c r="Z45" s="638"/>
      <c r="AA45" s="638"/>
      <c r="AB45" s="638"/>
      <c r="AC45" s="638"/>
      <c r="AD45" s="638"/>
      <c r="AE45" s="638"/>
      <c r="AF45" s="400"/>
      <c r="AG45" s="400"/>
      <c r="AH45" s="400"/>
      <c r="AI45" s="401"/>
      <c r="AJ45" s="107"/>
      <c r="AK45" s="620" t="str">
        <f t="shared" si="1"/>
        <v/>
      </c>
      <c r="AL45" s="621"/>
      <c r="AM45" s="621"/>
      <c r="AN45" s="621" t="str">
        <f t="shared" si="2"/>
        <v/>
      </c>
      <c r="AO45" s="621"/>
      <c r="AP45" s="621"/>
      <c r="AQ45" s="621" t="str">
        <f t="shared" si="3"/>
        <v/>
      </c>
      <c r="AR45" s="621"/>
      <c r="AS45" s="622"/>
      <c r="AT45" s="107"/>
      <c r="AU45" s="923" t="str">
        <f t="shared" si="0"/>
        <v/>
      </c>
      <c r="AV45" s="924"/>
      <c r="AW45" s="924"/>
      <c r="AX45" s="924"/>
      <c r="AY45" s="924"/>
      <c r="AZ45" s="924"/>
      <c r="BA45" s="924"/>
      <c r="BB45" s="924"/>
      <c r="BC45" s="924"/>
      <c r="BD45" s="925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</row>
    <row r="46" spans="1:106" ht="12" customHeight="1" x14ac:dyDescent="0.2">
      <c r="A46" s="926"/>
      <c r="B46" s="927"/>
      <c r="C46" s="927"/>
      <c r="D46" s="927"/>
      <c r="E46" s="927"/>
      <c r="F46" s="927"/>
      <c r="G46" s="927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638"/>
      <c r="U46" s="638"/>
      <c r="V46" s="638"/>
      <c r="W46" s="638"/>
      <c r="X46" s="638"/>
      <c r="Y46" s="638"/>
      <c r="Z46" s="638"/>
      <c r="AA46" s="638"/>
      <c r="AB46" s="638"/>
      <c r="AC46" s="638"/>
      <c r="AD46" s="638"/>
      <c r="AE46" s="638"/>
      <c r="AF46" s="400"/>
      <c r="AG46" s="400"/>
      <c r="AH46" s="400"/>
      <c r="AI46" s="401"/>
      <c r="AJ46" s="107"/>
      <c r="AK46" s="620" t="str">
        <f t="shared" si="1"/>
        <v/>
      </c>
      <c r="AL46" s="621"/>
      <c r="AM46" s="621"/>
      <c r="AN46" s="621" t="str">
        <f t="shared" si="2"/>
        <v/>
      </c>
      <c r="AO46" s="621"/>
      <c r="AP46" s="621"/>
      <c r="AQ46" s="621" t="str">
        <f t="shared" si="3"/>
        <v/>
      </c>
      <c r="AR46" s="621"/>
      <c r="AS46" s="622"/>
      <c r="AT46" s="107"/>
      <c r="AU46" s="923" t="str">
        <f t="shared" si="0"/>
        <v/>
      </c>
      <c r="AV46" s="924"/>
      <c r="AW46" s="924"/>
      <c r="AX46" s="924"/>
      <c r="AY46" s="924"/>
      <c r="AZ46" s="924"/>
      <c r="BA46" s="924"/>
      <c r="BB46" s="924"/>
      <c r="BC46" s="924"/>
      <c r="BD46" s="925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  <c r="CI46" s="107"/>
      <c r="CJ46" s="107"/>
      <c r="CK46" s="107"/>
      <c r="CL46" s="107"/>
      <c r="CM46" s="107"/>
      <c r="CN46" s="107"/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B46" s="107"/>
    </row>
    <row r="47" spans="1:106" ht="12" customHeight="1" x14ac:dyDescent="0.2">
      <c r="A47" s="926"/>
      <c r="B47" s="927"/>
      <c r="C47" s="927"/>
      <c r="D47" s="927"/>
      <c r="E47" s="927"/>
      <c r="F47" s="927"/>
      <c r="G47" s="927"/>
      <c r="H47" s="453"/>
      <c r="I47" s="453"/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638"/>
      <c r="U47" s="638"/>
      <c r="V47" s="638"/>
      <c r="W47" s="638"/>
      <c r="X47" s="638"/>
      <c r="Y47" s="638"/>
      <c r="Z47" s="638"/>
      <c r="AA47" s="638"/>
      <c r="AB47" s="638"/>
      <c r="AC47" s="638"/>
      <c r="AD47" s="638"/>
      <c r="AE47" s="638"/>
      <c r="AF47" s="400"/>
      <c r="AG47" s="400"/>
      <c r="AH47" s="400"/>
      <c r="AI47" s="401"/>
      <c r="AJ47" s="107"/>
      <c r="AK47" s="620" t="str">
        <f t="shared" si="1"/>
        <v/>
      </c>
      <c r="AL47" s="621"/>
      <c r="AM47" s="621"/>
      <c r="AN47" s="621" t="str">
        <f t="shared" si="2"/>
        <v/>
      </c>
      <c r="AO47" s="621"/>
      <c r="AP47" s="621"/>
      <c r="AQ47" s="621" t="str">
        <f t="shared" si="3"/>
        <v/>
      </c>
      <c r="AR47" s="621"/>
      <c r="AS47" s="622"/>
      <c r="AT47" s="107"/>
      <c r="AU47" s="923" t="str">
        <f t="shared" si="0"/>
        <v/>
      </c>
      <c r="AV47" s="924"/>
      <c r="AW47" s="924"/>
      <c r="AX47" s="924"/>
      <c r="AY47" s="924"/>
      <c r="AZ47" s="924"/>
      <c r="BA47" s="924"/>
      <c r="BB47" s="924"/>
      <c r="BC47" s="924"/>
      <c r="BD47" s="925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  <c r="BV47" s="107"/>
      <c r="BW47" s="107"/>
      <c r="BX47" s="107"/>
      <c r="BY47" s="107"/>
      <c r="BZ47" s="107"/>
      <c r="CA47" s="107"/>
      <c r="CB47" s="107"/>
      <c r="CC47" s="107"/>
      <c r="CD47" s="107"/>
      <c r="CE47" s="107"/>
      <c r="CF47" s="107"/>
      <c r="CG47" s="107"/>
      <c r="CH47" s="107"/>
      <c r="CI47" s="107"/>
      <c r="CJ47" s="107"/>
      <c r="CK47" s="107"/>
      <c r="CL47" s="107"/>
      <c r="CM47" s="107"/>
      <c r="CN47" s="107"/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B47" s="107"/>
    </row>
    <row r="48" spans="1:106" ht="12" customHeight="1" x14ac:dyDescent="0.2">
      <c r="A48" s="926"/>
      <c r="B48" s="927"/>
      <c r="C48" s="927"/>
      <c r="D48" s="927"/>
      <c r="E48" s="927"/>
      <c r="F48" s="927"/>
      <c r="G48" s="927"/>
      <c r="H48" s="453"/>
      <c r="I48" s="453"/>
      <c r="J48" s="453"/>
      <c r="K48" s="453"/>
      <c r="L48" s="453"/>
      <c r="M48" s="453"/>
      <c r="N48" s="453"/>
      <c r="O48" s="453"/>
      <c r="P48" s="453"/>
      <c r="Q48" s="453"/>
      <c r="R48" s="453"/>
      <c r="S48" s="453"/>
      <c r="T48" s="638"/>
      <c r="U48" s="638"/>
      <c r="V48" s="638"/>
      <c r="W48" s="638"/>
      <c r="X48" s="638"/>
      <c r="Y48" s="638"/>
      <c r="Z48" s="638"/>
      <c r="AA48" s="638"/>
      <c r="AB48" s="638"/>
      <c r="AC48" s="638"/>
      <c r="AD48" s="638"/>
      <c r="AE48" s="638"/>
      <c r="AF48" s="400"/>
      <c r="AG48" s="400"/>
      <c r="AH48" s="400"/>
      <c r="AI48" s="401"/>
      <c r="AJ48" s="107"/>
      <c r="AK48" s="620" t="str">
        <f t="shared" si="1"/>
        <v/>
      </c>
      <c r="AL48" s="621"/>
      <c r="AM48" s="621"/>
      <c r="AN48" s="621" t="str">
        <f t="shared" si="2"/>
        <v/>
      </c>
      <c r="AO48" s="621"/>
      <c r="AP48" s="621"/>
      <c r="AQ48" s="621" t="str">
        <f t="shared" si="3"/>
        <v/>
      </c>
      <c r="AR48" s="621"/>
      <c r="AS48" s="622"/>
      <c r="AT48" s="107"/>
      <c r="AU48" s="923" t="str">
        <f t="shared" si="0"/>
        <v/>
      </c>
      <c r="AV48" s="924"/>
      <c r="AW48" s="924"/>
      <c r="AX48" s="924"/>
      <c r="AY48" s="924"/>
      <c r="AZ48" s="924"/>
      <c r="BA48" s="924"/>
      <c r="BB48" s="924"/>
      <c r="BC48" s="924"/>
      <c r="BD48" s="925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  <c r="CJ48" s="107"/>
      <c r="CK48" s="107"/>
      <c r="CL48" s="107"/>
      <c r="CM48" s="107"/>
      <c r="CN48" s="107"/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B48" s="107"/>
    </row>
    <row r="49" spans="1:106" ht="12" customHeight="1" x14ac:dyDescent="0.2">
      <c r="A49" s="926"/>
      <c r="B49" s="927"/>
      <c r="C49" s="927"/>
      <c r="D49" s="927"/>
      <c r="E49" s="927"/>
      <c r="F49" s="927"/>
      <c r="G49" s="927"/>
      <c r="H49" s="453"/>
      <c r="I49" s="453"/>
      <c r="J49" s="453"/>
      <c r="K49" s="453"/>
      <c r="L49" s="453"/>
      <c r="M49" s="453"/>
      <c r="N49" s="453"/>
      <c r="O49" s="453"/>
      <c r="P49" s="453"/>
      <c r="Q49" s="453"/>
      <c r="R49" s="453"/>
      <c r="S49" s="453"/>
      <c r="T49" s="638"/>
      <c r="U49" s="638"/>
      <c r="V49" s="638"/>
      <c r="W49" s="638"/>
      <c r="X49" s="638"/>
      <c r="Y49" s="638"/>
      <c r="Z49" s="638"/>
      <c r="AA49" s="638"/>
      <c r="AB49" s="638"/>
      <c r="AC49" s="638"/>
      <c r="AD49" s="638"/>
      <c r="AE49" s="638"/>
      <c r="AF49" s="400"/>
      <c r="AG49" s="400"/>
      <c r="AH49" s="400"/>
      <c r="AI49" s="401"/>
      <c r="AJ49" s="107"/>
      <c r="AK49" s="620" t="str">
        <f t="shared" si="1"/>
        <v/>
      </c>
      <c r="AL49" s="621"/>
      <c r="AM49" s="621"/>
      <c r="AN49" s="621" t="str">
        <f t="shared" si="2"/>
        <v/>
      </c>
      <c r="AO49" s="621"/>
      <c r="AP49" s="621"/>
      <c r="AQ49" s="621" t="str">
        <f t="shared" si="3"/>
        <v/>
      </c>
      <c r="AR49" s="621"/>
      <c r="AS49" s="622"/>
      <c r="AT49" s="107"/>
      <c r="AU49" s="923" t="str">
        <f t="shared" si="0"/>
        <v/>
      </c>
      <c r="AV49" s="924"/>
      <c r="AW49" s="924"/>
      <c r="AX49" s="924"/>
      <c r="AY49" s="924"/>
      <c r="AZ49" s="924"/>
      <c r="BA49" s="924"/>
      <c r="BB49" s="924"/>
      <c r="BC49" s="924"/>
      <c r="BD49" s="925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  <c r="BV49" s="107"/>
      <c r="BW49" s="107"/>
      <c r="BX49" s="107"/>
      <c r="BY49" s="107"/>
      <c r="BZ49" s="107"/>
      <c r="CA49" s="107"/>
      <c r="CB49" s="107"/>
      <c r="CC49" s="107"/>
      <c r="CD49" s="107"/>
      <c r="CE49" s="107"/>
      <c r="CF49" s="107"/>
      <c r="CG49" s="107"/>
      <c r="CH49" s="107"/>
      <c r="CI49" s="107"/>
      <c r="CJ49" s="107"/>
      <c r="CK49" s="107"/>
      <c r="CL49" s="107"/>
      <c r="CM49" s="107"/>
      <c r="CN49" s="107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B49" s="107"/>
    </row>
    <row r="50" spans="1:106" ht="12" customHeight="1" x14ac:dyDescent="0.2">
      <c r="A50" s="926"/>
      <c r="B50" s="927"/>
      <c r="C50" s="927"/>
      <c r="D50" s="927"/>
      <c r="E50" s="927"/>
      <c r="F50" s="927"/>
      <c r="G50" s="927"/>
      <c r="H50" s="453"/>
      <c r="I50" s="453"/>
      <c r="J50" s="453"/>
      <c r="K50" s="453"/>
      <c r="L50" s="453"/>
      <c r="M50" s="453"/>
      <c r="N50" s="453"/>
      <c r="O50" s="453"/>
      <c r="P50" s="453"/>
      <c r="Q50" s="453"/>
      <c r="R50" s="453"/>
      <c r="S50" s="453"/>
      <c r="T50" s="638"/>
      <c r="U50" s="638"/>
      <c r="V50" s="638"/>
      <c r="W50" s="638"/>
      <c r="X50" s="638"/>
      <c r="Y50" s="638"/>
      <c r="Z50" s="638"/>
      <c r="AA50" s="638"/>
      <c r="AB50" s="638"/>
      <c r="AC50" s="638"/>
      <c r="AD50" s="638"/>
      <c r="AE50" s="638"/>
      <c r="AF50" s="400"/>
      <c r="AG50" s="400"/>
      <c r="AH50" s="400"/>
      <c r="AI50" s="401"/>
      <c r="AJ50" s="107"/>
      <c r="AK50" s="620" t="str">
        <f t="shared" si="1"/>
        <v/>
      </c>
      <c r="AL50" s="621"/>
      <c r="AM50" s="621"/>
      <c r="AN50" s="621" t="str">
        <f t="shared" si="2"/>
        <v/>
      </c>
      <c r="AO50" s="621"/>
      <c r="AP50" s="621"/>
      <c r="AQ50" s="621" t="str">
        <f t="shared" si="3"/>
        <v/>
      </c>
      <c r="AR50" s="621"/>
      <c r="AS50" s="622"/>
      <c r="AT50" s="107"/>
      <c r="AU50" s="923" t="str">
        <f t="shared" si="0"/>
        <v/>
      </c>
      <c r="AV50" s="924"/>
      <c r="AW50" s="924"/>
      <c r="AX50" s="924"/>
      <c r="AY50" s="924"/>
      <c r="AZ50" s="924"/>
      <c r="BA50" s="924"/>
      <c r="BB50" s="924"/>
      <c r="BC50" s="924"/>
      <c r="BD50" s="925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107"/>
      <c r="CH50" s="107"/>
      <c r="CI50" s="107"/>
      <c r="CJ50" s="107"/>
      <c r="CK50" s="107"/>
      <c r="CL50" s="107"/>
      <c r="CM50" s="107"/>
      <c r="CN50" s="107"/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B50" s="107"/>
    </row>
    <row r="51" spans="1:106" ht="12" customHeight="1" x14ac:dyDescent="0.2">
      <c r="A51" s="926"/>
      <c r="B51" s="927"/>
      <c r="C51" s="927"/>
      <c r="D51" s="927"/>
      <c r="E51" s="927"/>
      <c r="F51" s="927"/>
      <c r="G51" s="927"/>
      <c r="H51" s="453"/>
      <c r="I51" s="453"/>
      <c r="J51" s="453"/>
      <c r="K51" s="453"/>
      <c r="L51" s="453"/>
      <c r="M51" s="453"/>
      <c r="N51" s="453"/>
      <c r="O51" s="453"/>
      <c r="P51" s="453"/>
      <c r="Q51" s="453"/>
      <c r="R51" s="453"/>
      <c r="S51" s="453"/>
      <c r="T51" s="638"/>
      <c r="U51" s="638"/>
      <c r="V51" s="638"/>
      <c r="W51" s="638"/>
      <c r="X51" s="638"/>
      <c r="Y51" s="638"/>
      <c r="Z51" s="638"/>
      <c r="AA51" s="638"/>
      <c r="AB51" s="638"/>
      <c r="AC51" s="638"/>
      <c r="AD51" s="638"/>
      <c r="AE51" s="638"/>
      <c r="AF51" s="400"/>
      <c r="AG51" s="400"/>
      <c r="AH51" s="400"/>
      <c r="AI51" s="401"/>
      <c r="AJ51" s="107"/>
      <c r="AK51" s="620" t="str">
        <f t="shared" si="1"/>
        <v/>
      </c>
      <c r="AL51" s="621"/>
      <c r="AM51" s="621"/>
      <c r="AN51" s="621" t="str">
        <f t="shared" si="2"/>
        <v/>
      </c>
      <c r="AO51" s="621"/>
      <c r="AP51" s="621"/>
      <c r="AQ51" s="621" t="str">
        <f t="shared" si="3"/>
        <v/>
      </c>
      <c r="AR51" s="621"/>
      <c r="AS51" s="622"/>
      <c r="AT51" s="107"/>
      <c r="AU51" s="923" t="str">
        <f t="shared" si="0"/>
        <v/>
      </c>
      <c r="AV51" s="924"/>
      <c r="AW51" s="924"/>
      <c r="AX51" s="924"/>
      <c r="AY51" s="924"/>
      <c r="AZ51" s="924"/>
      <c r="BA51" s="924"/>
      <c r="BB51" s="924"/>
      <c r="BC51" s="924"/>
      <c r="BD51" s="925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</row>
    <row r="52" spans="1:106" ht="12" customHeight="1" x14ac:dyDescent="0.2">
      <c r="A52" s="926"/>
      <c r="B52" s="927"/>
      <c r="C52" s="927"/>
      <c r="D52" s="927"/>
      <c r="E52" s="927"/>
      <c r="F52" s="927"/>
      <c r="G52" s="927"/>
      <c r="H52" s="453"/>
      <c r="I52" s="453"/>
      <c r="J52" s="453"/>
      <c r="K52" s="453"/>
      <c r="L52" s="453"/>
      <c r="M52" s="453"/>
      <c r="N52" s="453"/>
      <c r="O52" s="453"/>
      <c r="P52" s="453"/>
      <c r="Q52" s="453"/>
      <c r="R52" s="453"/>
      <c r="S52" s="453"/>
      <c r="T52" s="638"/>
      <c r="U52" s="638"/>
      <c r="V52" s="638"/>
      <c r="W52" s="638"/>
      <c r="X52" s="638"/>
      <c r="Y52" s="638"/>
      <c r="Z52" s="638"/>
      <c r="AA52" s="638"/>
      <c r="AB52" s="638"/>
      <c r="AC52" s="638"/>
      <c r="AD52" s="638"/>
      <c r="AE52" s="638"/>
      <c r="AF52" s="400"/>
      <c r="AG52" s="400"/>
      <c r="AH52" s="400"/>
      <c r="AI52" s="401"/>
      <c r="AJ52" s="107"/>
      <c r="AK52" s="620" t="str">
        <f t="shared" si="1"/>
        <v/>
      </c>
      <c r="AL52" s="621"/>
      <c r="AM52" s="621"/>
      <c r="AN52" s="621" t="str">
        <f t="shared" si="2"/>
        <v/>
      </c>
      <c r="AO52" s="621"/>
      <c r="AP52" s="621"/>
      <c r="AQ52" s="621" t="str">
        <f t="shared" si="3"/>
        <v/>
      </c>
      <c r="AR52" s="621"/>
      <c r="AS52" s="622"/>
      <c r="AT52" s="107"/>
      <c r="AU52" s="923" t="str">
        <f t="shared" si="0"/>
        <v/>
      </c>
      <c r="AV52" s="924"/>
      <c r="AW52" s="924"/>
      <c r="AX52" s="924"/>
      <c r="AY52" s="924"/>
      <c r="AZ52" s="924"/>
      <c r="BA52" s="924"/>
      <c r="BB52" s="924"/>
      <c r="BC52" s="924"/>
      <c r="BD52" s="925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B52" s="107"/>
    </row>
    <row r="53" spans="1:106" ht="12" customHeight="1" thickBot="1" x14ac:dyDescent="0.25">
      <c r="A53" s="618" t="s">
        <v>379</v>
      </c>
      <c r="B53" s="619"/>
      <c r="C53" s="619"/>
      <c r="D53" s="619"/>
      <c r="E53" s="619"/>
      <c r="F53" s="619"/>
      <c r="G53" s="619"/>
      <c r="H53" s="619"/>
      <c r="I53" s="619"/>
      <c r="J53" s="619"/>
      <c r="K53" s="619"/>
      <c r="L53" s="619"/>
      <c r="M53" s="619"/>
      <c r="N53" s="619"/>
      <c r="O53" s="619"/>
      <c r="P53" s="619"/>
      <c r="Q53" s="350" t="str">
        <f>IF(SUM(Q33:S52)&lt;&gt;0,SUM(Q33:S52),"")</f>
        <v/>
      </c>
      <c r="R53" s="350"/>
      <c r="S53" s="350"/>
      <c r="T53" s="350" t="str">
        <f>IF(SUM(T33:V52)&lt;&gt;0,SUM(T33:V52),"")</f>
        <v/>
      </c>
      <c r="U53" s="350"/>
      <c r="V53" s="350"/>
      <c r="W53" s="350" t="str">
        <f>IF(SUM(W33:Y52)&lt;&gt;0,SUM(W33:Y52),"")</f>
        <v/>
      </c>
      <c r="X53" s="350"/>
      <c r="Y53" s="350"/>
      <c r="Z53" s="350" t="str">
        <f>IF(SUM(Z33:AB52)&lt;&gt;0,SUM(Z33:AB52),"")</f>
        <v/>
      </c>
      <c r="AA53" s="350"/>
      <c r="AB53" s="350"/>
      <c r="AC53" s="350" t="str">
        <f>IF(SUM(AC33:AE52)&lt;&gt;0,SUM(AC33:AE52),"")</f>
        <v/>
      </c>
      <c r="AD53" s="350"/>
      <c r="AE53" s="350"/>
      <c r="AF53" s="616"/>
      <c r="AG53" s="616"/>
      <c r="AH53" s="616"/>
      <c r="AI53" s="617"/>
      <c r="AJ53" s="107"/>
      <c r="AK53" s="1026" t="str">
        <f>IFERROR((T53/Q53),"")</f>
        <v/>
      </c>
      <c r="AL53" s="1027"/>
      <c r="AM53" s="1028"/>
      <c r="AN53" s="624"/>
      <c r="AO53" s="624"/>
      <c r="AP53" s="624"/>
      <c r="AQ53" s="624"/>
      <c r="AR53" s="624"/>
      <c r="AS53" s="625"/>
      <c r="AT53" s="107"/>
      <c r="AU53" s="917" t="str">
        <f t="shared" si="0"/>
        <v/>
      </c>
      <c r="AV53" s="918"/>
      <c r="AW53" s="918"/>
      <c r="AX53" s="918"/>
      <c r="AY53" s="918"/>
      <c r="AZ53" s="918"/>
      <c r="BA53" s="918"/>
      <c r="BB53" s="918"/>
      <c r="BC53" s="918"/>
      <c r="BD53" s="919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7"/>
      <c r="BX53" s="107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7"/>
      <c r="CJ53" s="107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B53" s="107"/>
    </row>
    <row r="54" spans="1:106" ht="12" customHeight="1" x14ac:dyDescent="0.2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  <c r="BV54" s="107"/>
      <c r="BW54" s="107"/>
      <c r="BX54" s="107"/>
      <c r="BY54" s="107"/>
      <c r="BZ54" s="107"/>
      <c r="CA54" s="107"/>
      <c r="CB54" s="107"/>
      <c r="CC54" s="107"/>
      <c r="CD54" s="107"/>
      <c r="CE54" s="107"/>
      <c r="CF54" s="107"/>
      <c r="CG54" s="107"/>
      <c r="CH54" s="107"/>
      <c r="CI54" s="107"/>
      <c r="CJ54" s="107"/>
      <c r="CK54" s="107"/>
      <c r="CL54" s="107"/>
      <c r="CM54" s="107"/>
      <c r="CN54" s="107"/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B54" s="107"/>
    </row>
    <row r="55" spans="1:106" ht="12" customHeight="1" x14ac:dyDescent="0.2">
      <c r="A55" s="42" t="s">
        <v>262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7"/>
      <c r="BX55" s="107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7"/>
      <c r="CJ55" s="107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B55" s="107"/>
    </row>
    <row r="56" spans="1:106" ht="12" customHeight="1" x14ac:dyDescent="0.2">
      <c r="A56" s="84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  <c r="BV56" s="107"/>
      <c r="BW56" s="107"/>
      <c r="BX56" s="107"/>
      <c r="BY56" s="107"/>
      <c r="BZ56" s="107"/>
      <c r="CA56" s="107"/>
      <c r="CB56" s="107"/>
      <c r="CC56" s="107"/>
      <c r="CD56" s="107"/>
      <c r="CE56" s="107"/>
      <c r="CF56" s="107"/>
      <c r="CG56" s="107"/>
      <c r="CH56" s="107"/>
      <c r="CI56" s="107"/>
      <c r="CJ56" s="107"/>
      <c r="CK56" s="107"/>
      <c r="CL56" s="107"/>
      <c r="CM56" s="107"/>
      <c r="CN56" s="107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B56" s="107"/>
    </row>
    <row r="57" spans="1:106" ht="12" customHeight="1" x14ac:dyDescent="0.2">
      <c r="A57" s="84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107"/>
      <c r="CA57" s="107"/>
      <c r="CB57" s="107"/>
      <c r="CC57" s="107"/>
      <c r="CD57" s="107"/>
      <c r="CE57" s="107"/>
      <c r="CF57" s="107"/>
      <c r="CG57" s="107"/>
      <c r="CH57" s="107"/>
      <c r="CI57" s="107"/>
      <c r="CJ57" s="107"/>
      <c r="CK57" s="107"/>
      <c r="CL57" s="107"/>
      <c r="CM57" s="107"/>
      <c r="CN57" s="107"/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B57" s="107"/>
    </row>
    <row r="58" spans="1:106" ht="12" customHeight="1" x14ac:dyDescent="0.2">
      <c r="A58" s="84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  <c r="CG58" s="107"/>
      <c r="CH58" s="107"/>
      <c r="CI58" s="107"/>
      <c r="CJ58" s="107"/>
      <c r="CK58" s="107"/>
      <c r="CL58" s="107"/>
      <c r="CM58" s="107"/>
      <c r="CN58" s="107"/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B58" s="107"/>
    </row>
    <row r="59" spans="1:106" ht="12" customHeight="1" x14ac:dyDescent="0.2">
      <c r="A59" s="84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  <c r="BV59" s="107"/>
      <c r="BW59" s="107"/>
      <c r="BX59" s="107"/>
      <c r="BY59" s="107"/>
      <c r="BZ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B59" s="107"/>
    </row>
    <row r="60" spans="1:106" ht="12" customHeight="1" x14ac:dyDescent="0.2">
      <c r="A60" s="84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B60" s="107"/>
    </row>
    <row r="61" spans="1:106" ht="12" customHeight="1" x14ac:dyDescent="0.2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B61" s="107"/>
    </row>
    <row r="62" spans="1:106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B62" s="107"/>
    </row>
  </sheetData>
  <mergeCells count="420">
    <mergeCell ref="AJ1:DB1"/>
    <mergeCell ref="M5:AI5"/>
    <mergeCell ref="A7:E7"/>
    <mergeCell ref="F7:P7"/>
    <mergeCell ref="T7:X7"/>
    <mergeCell ref="Y7:AI7"/>
    <mergeCell ref="AK7:BK8"/>
    <mergeCell ref="BL7:DA7"/>
    <mergeCell ref="AK10:AL10"/>
    <mergeCell ref="AM10:AN10"/>
    <mergeCell ref="A11:P11"/>
    <mergeCell ref="T11:AI11"/>
    <mergeCell ref="AK11:AL11"/>
    <mergeCell ref="AM11:AN11"/>
    <mergeCell ref="A9:E9"/>
    <mergeCell ref="F9:P9"/>
    <mergeCell ref="T9:X9"/>
    <mergeCell ref="Y9:AI9"/>
    <mergeCell ref="AK9:AL9"/>
    <mergeCell ref="AM9:AN9"/>
    <mergeCell ref="AM12:AN12"/>
    <mergeCell ref="A13:F13"/>
    <mergeCell ref="G13:K13"/>
    <mergeCell ref="M13:P13"/>
    <mergeCell ref="T13:Y13"/>
    <mergeCell ref="Z13:AD13"/>
    <mergeCell ref="AE13:AI13"/>
    <mergeCell ref="AK13:AL13"/>
    <mergeCell ref="AM13:AN13"/>
    <mergeCell ref="A12:F12"/>
    <mergeCell ref="G12:P12"/>
    <mergeCell ref="T12:Y12"/>
    <mergeCell ref="Z12:AD12"/>
    <mergeCell ref="AE12:AI12"/>
    <mergeCell ref="AK12:AL12"/>
    <mergeCell ref="AM14:AN14"/>
    <mergeCell ref="A15:F15"/>
    <mergeCell ref="G15:P15"/>
    <mergeCell ref="T15:Y15"/>
    <mergeCell ref="Z15:AD15"/>
    <mergeCell ref="AE15:AI15"/>
    <mergeCell ref="AK15:AL15"/>
    <mergeCell ref="AM15:AN15"/>
    <mergeCell ref="A14:F14"/>
    <mergeCell ref="G14:P14"/>
    <mergeCell ref="T14:Y14"/>
    <mergeCell ref="Z14:AD14"/>
    <mergeCell ref="AE14:AI14"/>
    <mergeCell ref="AK14:AL14"/>
    <mergeCell ref="A19:F19"/>
    <mergeCell ref="G19:P19"/>
    <mergeCell ref="AK19:AL19"/>
    <mergeCell ref="AM19:AN19"/>
    <mergeCell ref="A20:F20"/>
    <mergeCell ref="G20:P20"/>
    <mergeCell ref="AK20:AL20"/>
    <mergeCell ref="AM20:AN20"/>
    <mergeCell ref="AM16:AN16"/>
    <mergeCell ref="A17:F17"/>
    <mergeCell ref="G17:P17"/>
    <mergeCell ref="AK17:AL17"/>
    <mergeCell ref="AM17:AN17"/>
    <mergeCell ref="A18:F18"/>
    <mergeCell ref="G18:P18"/>
    <mergeCell ref="AK18:AL18"/>
    <mergeCell ref="AM18:AN18"/>
    <mergeCell ref="A16:F16"/>
    <mergeCell ref="G16:P16"/>
    <mergeCell ref="T16:Y16"/>
    <mergeCell ref="Z16:AD16"/>
    <mergeCell ref="AE16:AI16"/>
    <mergeCell ref="AK16:AL16"/>
    <mergeCell ref="AK23:AL23"/>
    <mergeCell ref="AM23:AN23"/>
    <mergeCell ref="BN23:BO23"/>
    <mergeCell ref="AK24:AL24"/>
    <mergeCell ref="AM24:AN24"/>
    <mergeCell ref="AV28:BC28"/>
    <mergeCell ref="BF28:BT28"/>
    <mergeCell ref="BM20:BO20"/>
    <mergeCell ref="AK21:AL21"/>
    <mergeCell ref="AM21:AN21"/>
    <mergeCell ref="BN21:BO21"/>
    <mergeCell ref="AK22:AL22"/>
    <mergeCell ref="AM22:AN22"/>
    <mergeCell ref="BN22:BO22"/>
    <mergeCell ref="AV29:BA29"/>
    <mergeCell ref="BB29:BC29"/>
    <mergeCell ref="BF29:BJ29"/>
    <mergeCell ref="BK29:BO29"/>
    <mergeCell ref="BP29:BT29"/>
    <mergeCell ref="AK30:AS32"/>
    <mergeCell ref="AV30:BA30"/>
    <mergeCell ref="BB30:BC30"/>
    <mergeCell ref="BF30:BJ30"/>
    <mergeCell ref="BK30:BO30"/>
    <mergeCell ref="BP30:BT30"/>
    <mergeCell ref="AF31:AI32"/>
    <mergeCell ref="BF31:BJ31"/>
    <mergeCell ref="BK31:BO31"/>
    <mergeCell ref="BP31:BT31"/>
    <mergeCell ref="AU32:BD32"/>
    <mergeCell ref="BF32:BJ32"/>
    <mergeCell ref="BK32:BO32"/>
    <mergeCell ref="BP32:BT32"/>
    <mergeCell ref="W32:Y32"/>
    <mergeCell ref="Z32:AB32"/>
    <mergeCell ref="H32:J32"/>
    <mergeCell ref="K32:M32"/>
    <mergeCell ref="N32:P32"/>
    <mergeCell ref="T32:V32"/>
    <mergeCell ref="A31:G32"/>
    <mergeCell ref="H31:P31"/>
    <mergeCell ref="Q31:S32"/>
    <mergeCell ref="T31:AB31"/>
    <mergeCell ref="AC31:AE32"/>
    <mergeCell ref="A34:G34"/>
    <mergeCell ref="H34:J34"/>
    <mergeCell ref="K34:M34"/>
    <mergeCell ref="N34:P34"/>
    <mergeCell ref="Q34:S34"/>
    <mergeCell ref="W33:Y33"/>
    <mergeCell ref="Z33:AB33"/>
    <mergeCell ref="AC33:AE33"/>
    <mergeCell ref="AF33:AI33"/>
    <mergeCell ref="A33:G33"/>
    <mergeCell ref="H33:J33"/>
    <mergeCell ref="K33:M33"/>
    <mergeCell ref="N33:P33"/>
    <mergeCell ref="Q33:S33"/>
    <mergeCell ref="T33:V33"/>
    <mergeCell ref="BP34:BT34"/>
    <mergeCell ref="T34:V34"/>
    <mergeCell ref="W34:Y34"/>
    <mergeCell ref="Z34:AB34"/>
    <mergeCell ref="AC34:AE34"/>
    <mergeCell ref="AF34:AI34"/>
    <mergeCell ref="AK34:AM34"/>
    <mergeCell ref="AQ33:AS33"/>
    <mergeCell ref="AU33:BD33"/>
    <mergeCell ref="BF33:BJ33"/>
    <mergeCell ref="BK33:BO33"/>
    <mergeCell ref="BP33:BT33"/>
    <mergeCell ref="AK33:AM33"/>
    <mergeCell ref="AN33:AP33"/>
    <mergeCell ref="K35:M35"/>
    <mergeCell ref="N35:P35"/>
    <mergeCell ref="Q35:S35"/>
    <mergeCell ref="T35:V35"/>
    <mergeCell ref="AN34:AP34"/>
    <mergeCell ref="AQ34:AS34"/>
    <mergeCell ref="AU34:BD34"/>
    <mergeCell ref="BF34:BJ34"/>
    <mergeCell ref="BK34:BO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C35:AE35"/>
    <mergeCell ref="AF35:AI35"/>
    <mergeCell ref="AK35:AM35"/>
    <mergeCell ref="AN35:AP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V62:AI62 E62:K62 Z13:Z16 AE14:AE16 G18:P20 G14:P16 G13:K13 G12:P12 Y9:AI9 Y7:AI7 F9:P9 F7:P7">
    <cfRule type="containsBlanks" dxfId="122" priority="11">
      <formula>LEN(TRIM(E7))=0</formula>
    </cfRule>
  </conditionalFormatting>
  <conditionalFormatting sqref="Q53:AE53">
    <cfRule type="containsText" dxfId="121" priority="10" operator="containsText" text="CALC.">
      <formula>NOT(ISERROR(SEARCH("CALC.",Q53)))</formula>
    </cfRule>
  </conditionalFormatting>
  <conditionalFormatting sqref="A33:S52">
    <cfRule type="notContainsBlanks" dxfId="120" priority="8">
      <formula>LEN(TRIM(A33))&gt;0</formula>
    </cfRule>
    <cfRule type="expression" dxfId="119" priority="9">
      <formula>NOT(ISBLANK($H33))</formula>
    </cfRule>
  </conditionalFormatting>
  <conditionalFormatting sqref="AK9:BK24">
    <cfRule type="expression" dxfId="118" priority="7">
      <formula>NOT(ISBLANK($AK9))</formula>
    </cfRule>
  </conditionalFormatting>
  <conditionalFormatting sqref="T33:AC52">
    <cfRule type="notContainsBlanks" dxfId="117" priority="5">
      <formula>LEN(TRIM(T33))&gt;0</formula>
    </cfRule>
    <cfRule type="expression" dxfId="116" priority="6">
      <formula>NOT(ISBLANK($H33))</formula>
    </cfRule>
  </conditionalFormatting>
  <conditionalFormatting sqref="T33:AB52">
    <cfRule type="expression" dxfId="115" priority="4">
      <formula>$AC33&lt;&gt;""</formula>
    </cfRule>
  </conditionalFormatting>
  <conditionalFormatting sqref="AU33:BD53">
    <cfRule type="notContainsBlanks" dxfId="114" priority="3">
      <formula>LEN(TRIM(AU33))&gt;0</formula>
    </cfRule>
  </conditionalFormatting>
  <conditionalFormatting sqref="BB29:BC30">
    <cfRule type="containsBlanks" dxfId="113" priority="2">
      <formula>LEN(TRIM(BB29))=0</formula>
    </cfRule>
  </conditionalFormatting>
  <conditionalFormatting sqref="M13:P13">
    <cfRule type="containsBlanks" dxfId="112" priority="1">
      <formula>LEN(TRIM(M13))=0</formula>
    </cfRule>
  </conditionalFormatting>
  <dataValidations count="4">
    <dataValidation type="list" allowBlank="1" showInputMessage="1" sqref="M13:P13" xr:uid="{774E78D0-BD61-4633-B146-1103ABD22DE9}">
      <formula1>"Rectangular,Round, Oval"</formula1>
    </dataValidation>
    <dataValidation type="whole" allowBlank="1" showInputMessage="1" showErrorMessage="1" error="This Remarks section is limited to 5." sqref="A56:A60" xr:uid="{25C9CEDB-F9C2-48CD-8BB2-0837DB22A867}">
      <formula1>1</formula1>
      <formula2>5</formula2>
    </dataValidation>
    <dataValidation type="list" allowBlank="1" showInputMessage="1" sqref="G13:K13" xr:uid="{F2BF856C-9BE3-4883-A89D-90CBEF539CAA}">
      <formula1>"4,5,6,7,8,9,10,11,12,13,14,15,16,17,18,19,20"</formula1>
    </dataValidation>
    <dataValidation allowBlank="1" showInputMessage="1" sqref="G15:P15" xr:uid="{C8949B58-DFE4-4D6D-B7B1-0A8116CF3DCF}"/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D97A8-EC03-4A15-93F8-20B5D1297A6A}">
  <sheetPr codeName="Sheet37">
    <pageSetUpPr fitToPage="1"/>
  </sheetPr>
  <dimension ref="A1:DB62"/>
  <sheetViews>
    <sheetView topLeftCell="A3" zoomScaleNormal="100" workbookViewId="0">
      <selection activeCell="AK44" sqref="AK44:AM44"/>
    </sheetView>
  </sheetViews>
  <sheetFormatPr defaultColWidth="0" defaultRowHeight="0" customHeight="1" zeroHeight="1" x14ac:dyDescent="0.2"/>
  <cols>
    <col min="1" max="106" width="2.7109375" style="12" customWidth="1"/>
    <col min="107" max="16384" width="9.140625" style="12" hidden="1"/>
  </cols>
  <sheetData>
    <row r="1" spans="1:106" ht="12" customHeight="1" x14ac:dyDescent="0.2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57" t="s">
        <v>159</v>
      </c>
      <c r="AK1" s="957"/>
      <c r="AL1" s="957"/>
      <c r="AM1" s="957"/>
      <c r="AN1" s="957"/>
      <c r="AO1" s="957"/>
      <c r="AP1" s="957"/>
      <c r="AQ1" s="957"/>
      <c r="AR1" s="957"/>
      <c r="AS1" s="957"/>
      <c r="AT1" s="957"/>
      <c r="AU1" s="957"/>
      <c r="AV1" s="957"/>
      <c r="AW1" s="957"/>
      <c r="AX1" s="957"/>
      <c r="AY1" s="957"/>
      <c r="AZ1" s="957"/>
      <c r="BA1" s="957"/>
      <c r="BB1" s="957"/>
      <c r="BC1" s="957"/>
      <c r="BD1" s="957"/>
      <c r="BE1" s="957"/>
      <c r="BF1" s="957"/>
      <c r="BG1" s="957"/>
      <c r="BH1" s="957"/>
      <c r="BI1" s="957"/>
      <c r="BJ1" s="957"/>
      <c r="BK1" s="957"/>
      <c r="BL1" s="957"/>
      <c r="BM1" s="957"/>
      <c r="BN1" s="957"/>
      <c r="BO1" s="957"/>
      <c r="BP1" s="957"/>
      <c r="BQ1" s="957"/>
      <c r="BR1" s="957"/>
      <c r="BS1" s="957"/>
      <c r="BT1" s="957"/>
      <c r="BU1" s="957"/>
      <c r="BV1" s="957"/>
      <c r="BW1" s="957"/>
      <c r="BX1" s="957"/>
      <c r="BY1" s="957"/>
      <c r="BZ1" s="957"/>
      <c r="CA1" s="957"/>
      <c r="CB1" s="957"/>
      <c r="CC1" s="957"/>
      <c r="CD1" s="957"/>
      <c r="CE1" s="957"/>
      <c r="CF1" s="957"/>
      <c r="CG1" s="957"/>
      <c r="CH1" s="957"/>
      <c r="CI1" s="957"/>
      <c r="CJ1" s="957"/>
      <c r="CK1" s="957"/>
      <c r="CL1" s="957"/>
      <c r="CM1" s="957"/>
      <c r="CN1" s="957"/>
      <c r="CO1" s="957"/>
      <c r="CP1" s="957"/>
      <c r="CQ1" s="957"/>
      <c r="CR1" s="957"/>
      <c r="CS1" s="957"/>
      <c r="CT1" s="957"/>
      <c r="CU1" s="957"/>
      <c r="CV1" s="957"/>
      <c r="CW1" s="957"/>
      <c r="CX1" s="957"/>
      <c r="CY1" s="957"/>
      <c r="CZ1" s="957"/>
      <c r="DA1" s="957"/>
      <c r="DB1" s="957"/>
    </row>
    <row r="2" spans="1:106" ht="12" customHeight="1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</row>
    <row r="3" spans="1:106" ht="12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</row>
    <row r="4" spans="1:106" ht="12" customHeight="1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</row>
    <row r="5" spans="1:106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 t="s">
        <v>434</v>
      </c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</row>
    <row r="6" spans="1:106" ht="12" customHeight="1" thickBo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</row>
    <row r="7" spans="1:106" ht="12" customHeight="1" x14ac:dyDescent="0.2">
      <c r="A7" s="526" t="s">
        <v>161</v>
      </c>
      <c r="B7" s="526"/>
      <c r="C7" s="526"/>
      <c r="D7" s="526"/>
      <c r="E7" s="526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42"/>
      <c r="R7" s="42"/>
      <c r="S7" s="42"/>
      <c r="T7" s="526" t="s">
        <v>162</v>
      </c>
      <c r="U7" s="526"/>
      <c r="V7" s="526"/>
      <c r="W7" s="526"/>
      <c r="X7" s="526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107"/>
      <c r="AK7" s="958" t="s">
        <v>240</v>
      </c>
      <c r="AL7" s="959"/>
      <c r="AM7" s="959"/>
      <c r="AN7" s="959"/>
      <c r="AO7" s="959"/>
      <c r="AP7" s="959"/>
      <c r="AQ7" s="959"/>
      <c r="AR7" s="959"/>
      <c r="AS7" s="959"/>
      <c r="AT7" s="959"/>
      <c r="AU7" s="959"/>
      <c r="AV7" s="959"/>
      <c r="AW7" s="959"/>
      <c r="AX7" s="959"/>
      <c r="AY7" s="959"/>
      <c r="AZ7" s="959"/>
      <c r="BA7" s="959"/>
      <c r="BB7" s="959"/>
      <c r="BC7" s="959"/>
      <c r="BD7" s="959"/>
      <c r="BE7" s="959"/>
      <c r="BF7" s="959"/>
      <c r="BG7" s="959"/>
      <c r="BH7" s="959"/>
      <c r="BI7" s="959"/>
      <c r="BJ7" s="959"/>
      <c r="BK7" s="960"/>
      <c r="BL7" s="964" t="s">
        <v>381</v>
      </c>
      <c r="BM7" s="965"/>
      <c r="BN7" s="965"/>
      <c r="BO7" s="965"/>
      <c r="BP7" s="965"/>
      <c r="BQ7" s="965"/>
      <c r="BR7" s="965"/>
      <c r="BS7" s="965"/>
      <c r="BT7" s="965"/>
      <c r="BU7" s="965"/>
      <c r="BV7" s="965"/>
      <c r="BW7" s="965"/>
      <c r="BX7" s="965"/>
      <c r="BY7" s="965"/>
      <c r="BZ7" s="965"/>
      <c r="CA7" s="965"/>
      <c r="CB7" s="965"/>
      <c r="CC7" s="965"/>
      <c r="CD7" s="965"/>
      <c r="CE7" s="965"/>
      <c r="CF7" s="965"/>
      <c r="CG7" s="965"/>
      <c r="CH7" s="965"/>
      <c r="CI7" s="965"/>
      <c r="CJ7" s="965"/>
      <c r="CK7" s="965"/>
      <c r="CL7" s="965"/>
      <c r="CM7" s="965"/>
      <c r="CN7" s="965"/>
      <c r="CO7" s="965"/>
      <c r="CP7" s="965"/>
      <c r="CQ7" s="965"/>
      <c r="CR7" s="965"/>
      <c r="CS7" s="965"/>
      <c r="CT7" s="965"/>
      <c r="CU7" s="965"/>
      <c r="CV7" s="965"/>
      <c r="CW7" s="965"/>
      <c r="CX7" s="965"/>
      <c r="CY7" s="965"/>
      <c r="CZ7" s="965"/>
      <c r="DA7" s="966"/>
      <c r="DB7" s="107"/>
    </row>
    <row r="8" spans="1:106" ht="12" customHeight="1" thickBo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961"/>
      <c r="AL8" s="962"/>
      <c r="AM8" s="962"/>
      <c r="AN8" s="962"/>
      <c r="AO8" s="962"/>
      <c r="AP8" s="962"/>
      <c r="AQ8" s="962"/>
      <c r="AR8" s="962"/>
      <c r="AS8" s="962"/>
      <c r="AT8" s="962"/>
      <c r="AU8" s="962"/>
      <c r="AV8" s="962"/>
      <c r="AW8" s="962"/>
      <c r="AX8" s="962"/>
      <c r="AY8" s="962"/>
      <c r="AZ8" s="962"/>
      <c r="BA8" s="962"/>
      <c r="BB8" s="962"/>
      <c r="BC8" s="962"/>
      <c r="BD8" s="962"/>
      <c r="BE8" s="962"/>
      <c r="BF8" s="962"/>
      <c r="BG8" s="962"/>
      <c r="BH8" s="962"/>
      <c r="BI8" s="962"/>
      <c r="BJ8" s="962"/>
      <c r="BK8" s="963"/>
      <c r="BL8" s="147">
        <v>1</v>
      </c>
      <c r="BM8" s="147">
        <v>2</v>
      </c>
      <c r="BN8" s="147">
        <v>3</v>
      </c>
      <c r="BO8" s="147">
        <v>4</v>
      </c>
      <c r="BP8" s="147">
        <v>5</v>
      </c>
      <c r="BQ8" s="147">
        <v>6</v>
      </c>
      <c r="BR8" s="147">
        <v>7</v>
      </c>
      <c r="BS8" s="147">
        <v>8</v>
      </c>
      <c r="BT8" s="147">
        <v>9</v>
      </c>
      <c r="BU8" s="147">
        <v>10</v>
      </c>
      <c r="BV8" s="147">
        <v>11</v>
      </c>
      <c r="BW8" s="147">
        <v>12</v>
      </c>
      <c r="BX8" s="147">
        <v>13</v>
      </c>
      <c r="BY8" s="147">
        <v>14</v>
      </c>
      <c r="BZ8" s="147">
        <v>15</v>
      </c>
      <c r="CA8" s="147">
        <v>16</v>
      </c>
      <c r="CB8" s="147">
        <v>17</v>
      </c>
      <c r="CC8" s="147">
        <v>18</v>
      </c>
      <c r="CD8" s="147">
        <v>19</v>
      </c>
      <c r="CE8" s="147">
        <v>20</v>
      </c>
      <c r="CF8" s="147">
        <v>21</v>
      </c>
      <c r="CG8" s="147">
        <v>22</v>
      </c>
      <c r="CH8" s="147">
        <v>23</v>
      </c>
      <c r="CI8" s="147">
        <v>24</v>
      </c>
      <c r="CJ8" s="147">
        <v>25</v>
      </c>
      <c r="CK8" s="147">
        <v>26</v>
      </c>
      <c r="CL8" s="147">
        <v>27</v>
      </c>
      <c r="CM8" s="147">
        <v>28</v>
      </c>
      <c r="CN8" s="147">
        <v>29</v>
      </c>
      <c r="CO8" s="147">
        <v>30</v>
      </c>
      <c r="CP8" s="147">
        <v>31</v>
      </c>
      <c r="CQ8" s="147">
        <v>32</v>
      </c>
      <c r="CR8" s="147">
        <v>33</v>
      </c>
      <c r="CS8" s="147">
        <v>34</v>
      </c>
      <c r="CT8" s="147">
        <v>35</v>
      </c>
      <c r="CU8" s="147">
        <v>36</v>
      </c>
      <c r="CV8" s="147">
        <v>37</v>
      </c>
      <c r="CW8" s="147">
        <v>38</v>
      </c>
      <c r="CX8" s="147">
        <v>39</v>
      </c>
      <c r="CY8" s="147">
        <v>40</v>
      </c>
      <c r="CZ8" s="147">
        <v>41</v>
      </c>
      <c r="DA8" s="148">
        <v>42</v>
      </c>
      <c r="DB8" s="107"/>
    </row>
    <row r="9" spans="1:106" ht="12" customHeight="1" thickTop="1" x14ac:dyDescent="0.2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526" t="s">
        <v>164</v>
      </c>
      <c r="U9" s="526"/>
      <c r="V9" s="526"/>
      <c r="W9" s="526"/>
      <c r="X9" s="526"/>
      <c r="Y9" s="527"/>
      <c r="Z9" s="527"/>
      <c r="AA9" s="527"/>
      <c r="AB9" s="527"/>
      <c r="AC9" s="527"/>
      <c r="AD9" s="527"/>
      <c r="AE9" s="527"/>
      <c r="AF9" s="527"/>
      <c r="AG9" s="527"/>
      <c r="AH9" s="527"/>
      <c r="AI9" s="527"/>
      <c r="AJ9" s="107"/>
      <c r="AK9" s="672"/>
      <c r="AL9" s="674"/>
      <c r="AM9" s="327">
        <v>1</v>
      </c>
      <c r="AN9" s="327"/>
      <c r="AO9" s="149" t="s">
        <v>382</v>
      </c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1"/>
      <c r="BM9" s="152"/>
      <c r="BN9" s="152"/>
      <c r="BO9" s="152"/>
      <c r="BP9" s="153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5"/>
      <c r="DB9" s="107"/>
    </row>
    <row r="10" spans="1:106" ht="12" customHeight="1" thickBo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287"/>
      <c r="AL10" s="288"/>
      <c r="AM10" s="296">
        <v>2</v>
      </c>
      <c r="AN10" s="296"/>
      <c r="AO10" s="156" t="s">
        <v>383</v>
      </c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8"/>
      <c r="BM10" s="159"/>
      <c r="BN10" s="159"/>
      <c r="BO10" s="159"/>
      <c r="BP10" s="160"/>
      <c r="BQ10" s="161"/>
      <c r="BR10" s="161"/>
      <c r="BS10" s="161"/>
      <c r="BT10" s="161"/>
      <c r="BU10" s="161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162"/>
      <c r="CH10" s="162"/>
      <c r="CI10" s="162"/>
      <c r="CJ10" s="162"/>
      <c r="CK10" s="162"/>
      <c r="CL10" s="162"/>
      <c r="CM10" s="162"/>
      <c r="CN10" s="162"/>
      <c r="CO10" s="162"/>
      <c r="CP10" s="162"/>
      <c r="CQ10" s="162"/>
      <c r="CR10" s="162"/>
      <c r="CS10" s="162"/>
      <c r="CT10" s="162"/>
      <c r="CU10" s="162"/>
      <c r="CV10" s="162"/>
      <c r="CW10" s="162"/>
      <c r="CX10" s="162"/>
      <c r="CY10" s="162"/>
      <c r="CZ10" s="162"/>
      <c r="DA10" s="163"/>
      <c r="DB10" s="107"/>
    </row>
    <row r="11" spans="1:106" ht="12" customHeight="1" thickBot="1" x14ac:dyDescent="0.25">
      <c r="A11" s="314" t="s">
        <v>431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6"/>
      <c r="Q11" s="42"/>
      <c r="R11" s="42"/>
      <c r="S11" s="94"/>
      <c r="T11" s="338" t="s">
        <v>432</v>
      </c>
      <c r="U11" s="339"/>
      <c r="V11" s="339"/>
      <c r="W11" s="339"/>
      <c r="X11" s="339"/>
      <c r="Y11" s="339"/>
      <c r="Z11" s="339"/>
      <c r="AA11" s="339"/>
      <c r="AB11" s="339"/>
      <c r="AC11" s="339"/>
      <c r="AD11" s="339"/>
      <c r="AE11" s="339"/>
      <c r="AF11" s="339"/>
      <c r="AG11" s="339"/>
      <c r="AH11" s="339"/>
      <c r="AI11" s="340"/>
      <c r="AJ11" s="107"/>
      <c r="AK11" s="287"/>
      <c r="AL11" s="288"/>
      <c r="AM11" s="296">
        <v>3</v>
      </c>
      <c r="AN11" s="296"/>
      <c r="AO11" s="156" t="s">
        <v>386</v>
      </c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64"/>
      <c r="BM11" s="154"/>
      <c r="BN11" s="154"/>
      <c r="BO11" s="154"/>
      <c r="BP11" s="154"/>
      <c r="BQ11" s="165"/>
      <c r="BR11" s="166"/>
      <c r="BS11" s="166"/>
      <c r="BT11" s="166"/>
      <c r="BU11" s="167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3"/>
      <c r="DB11" s="107"/>
    </row>
    <row r="12" spans="1:106" ht="12.75" thickTop="1" x14ac:dyDescent="0.2">
      <c r="A12" s="455" t="s">
        <v>433</v>
      </c>
      <c r="B12" s="456"/>
      <c r="C12" s="456"/>
      <c r="D12" s="456"/>
      <c r="E12" s="456"/>
      <c r="F12" s="456"/>
      <c r="G12" s="453"/>
      <c r="H12" s="453"/>
      <c r="I12" s="453"/>
      <c r="J12" s="453"/>
      <c r="K12" s="453"/>
      <c r="L12" s="453"/>
      <c r="M12" s="453"/>
      <c r="N12" s="453"/>
      <c r="O12" s="453"/>
      <c r="P12" s="454"/>
      <c r="Q12" s="42"/>
      <c r="R12" s="42"/>
      <c r="S12" s="94"/>
      <c r="T12" s="752"/>
      <c r="U12" s="753"/>
      <c r="V12" s="753"/>
      <c r="W12" s="753"/>
      <c r="X12" s="753"/>
      <c r="Y12" s="753"/>
      <c r="Z12" s="753" t="s">
        <v>197</v>
      </c>
      <c r="AA12" s="753"/>
      <c r="AB12" s="753"/>
      <c r="AC12" s="753"/>
      <c r="AD12" s="753"/>
      <c r="AE12" s="753" t="s">
        <v>199</v>
      </c>
      <c r="AF12" s="753"/>
      <c r="AG12" s="753"/>
      <c r="AH12" s="753"/>
      <c r="AI12" s="779"/>
      <c r="AJ12" s="107"/>
      <c r="AK12" s="287"/>
      <c r="AL12" s="288"/>
      <c r="AM12" s="296">
        <v>4</v>
      </c>
      <c r="AN12" s="296"/>
      <c r="AO12" s="156" t="s">
        <v>388</v>
      </c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68"/>
      <c r="BM12" s="162"/>
      <c r="BN12" s="162"/>
      <c r="BO12" s="162"/>
      <c r="BP12" s="162"/>
      <c r="BQ12" s="169"/>
      <c r="BR12" s="170"/>
      <c r="BS12" s="171"/>
      <c r="BT12" s="171"/>
      <c r="BU12" s="171"/>
      <c r="BV12" s="162"/>
      <c r="BW12" s="162"/>
      <c r="BX12" s="162"/>
      <c r="BY12" s="162"/>
      <c r="BZ12" s="162"/>
      <c r="CA12" s="162"/>
      <c r="CB12" s="162"/>
      <c r="CC12" s="162"/>
      <c r="CD12" s="162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3"/>
      <c r="DB12" s="107"/>
    </row>
    <row r="13" spans="1:106" ht="12" customHeight="1" x14ac:dyDescent="0.2">
      <c r="A13" s="333" t="s">
        <v>389</v>
      </c>
      <c r="B13" s="334"/>
      <c r="C13" s="334"/>
      <c r="D13" s="334"/>
      <c r="E13" s="334"/>
      <c r="F13" s="334"/>
      <c r="G13" s="952"/>
      <c r="H13" s="953"/>
      <c r="I13" s="953"/>
      <c r="J13" s="953"/>
      <c r="K13" s="953"/>
      <c r="L13" s="172" t="s">
        <v>201</v>
      </c>
      <c r="M13" s="419"/>
      <c r="N13" s="419"/>
      <c r="O13" s="419"/>
      <c r="P13" s="420"/>
      <c r="Q13" s="42"/>
      <c r="R13" s="42"/>
      <c r="S13" s="42"/>
      <c r="T13" s="333" t="s">
        <v>435</v>
      </c>
      <c r="U13" s="334"/>
      <c r="V13" s="334"/>
      <c r="W13" s="334"/>
      <c r="X13" s="334"/>
      <c r="Y13" s="334"/>
      <c r="Z13" s="577"/>
      <c r="AA13" s="577"/>
      <c r="AB13" s="577"/>
      <c r="AC13" s="577"/>
      <c r="AD13" s="577"/>
      <c r="AE13" s="899" t="str">
        <f>AC53</f>
        <v/>
      </c>
      <c r="AF13" s="899"/>
      <c r="AG13" s="899"/>
      <c r="AH13" s="899"/>
      <c r="AI13" s="954"/>
      <c r="AJ13" s="107"/>
      <c r="AK13" s="287"/>
      <c r="AL13" s="288"/>
      <c r="AM13" s="296">
        <v>5</v>
      </c>
      <c r="AN13" s="296"/>
      <c r="AO13" s="156" t="s">
        <v>390</v>
      </c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68"/>
      <c r="BM13" s="162"/>
      <c r="BN13" s="162"/>
      <c r="BO13" s="162"/>
      <c r="BP13" s="162"/>
      <c r="BQ13" s="154"/>
      <c r="BR13" s="154"/>
      <c r="BS13" s="169"/>
      <c r="BT13" s="173"/>
      <c r="BU13" s="170"/>
      <c r="BV13" s="161"/>
      <c r="BW13" s="161"/>
      <c r="BX13" s="161"/>
      <c r="BY13" s="161"/>
      <c r="BZ13" s="161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3"/>
      <c r="DB13" s="107"/>
    </row>
    <row r="14" spans="1:106" ht="12" customHeight="1" thickBot="1" x14ac:dyDescent="0.25">
      <c r="A14" s="333" t="s">
        <v>168</v>
      </c>
      <c r="B14" s="334"/>
      <c r="C14" s="334"/>
      <c r="D14" s="334"/>
      <c r="E14" s="334"/>
      <c r="F14" s="334"/>
      <c r="G14" s="400"/>
      <c r="H14" s="400"/>
      <c r="I14" s="400"/>
      <c r="J14" s="400"/>
      <c r="K14" s="400"/>
      <c r="L14" s="400"/>
      <c r="M14" s="400"/>
      <c r="N14" s="400"/>
      <c r="O14" s="400"/>
      <c r="P14" s="401"/>
      <c r="Q14" s="42"/>
      <c r="R14" s="42"/>
      <c r="S14" s="42"/>
      <c r="T14" s="347" t="s">
        <v>436</v>
      </c>
      <c r="U14" s="348"/>
      <c r="V14" s="348"/>
      <c r="W14" s="348"/>
      <c r="X14" s="348"/>
      <c r="Y14" s="348"/>
      <c r="Z14" s="555"/>
      <c r="AA14" s="555"/>
      <c r="AB14" s="555"/>
      <c r="AC14" s="555"/>
      <c r="AD14" s="555"/>
      <c r="AE14" s="555"/>
      <c r="AF14" s="555"/>
      <c r="AG14" s="555"/>
      <c r="AH14" s="555"/>
      <c r="AI14" s="951"/>
      <c r="AJ14" s="107"/>
      <c r="AK14" s="287"/>
      <c r="AL14" s="288"/>
      <c r="AM14" s="296">
        <v>6</v>
      </c>
      <c r="AN14" s="296"/>
      <c r="AO14" s="156" t="s">
        <v>391</v>
      </c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68"/>
      <c r="BM14" s="162"/>
      <c r="BN14" s="162"/>
      <c r="BO14" s="162"/>
      <c r="BP14" s="162"/>
      <c r="BQ14" s="162"/>
      <c r="BR14" s="162"/>
      <c r="BS14" s="154"/>
      <c r="BT14" s="154"/>
      <c r="BU14" s="154"/>
      <c r="BV14" s="165"/>
      <c r="BW14" s="166"/>
      <c r="BX14" s="166"/>
      <c r="BY14" s="166"/>
      <c r="BZ14" s="167"/>
      <c r="CA14" s="161"/>
      <c r="CB14" s="161"/>
      <c r="CC14" s="162"/>
      <c r="CD14" s="162"/>
      <c r="CE14" s="162"/>
      <c r="CF14" s="162"/>
      <c r="CG14" s="162"/>
      <c r="CH14" s="162"/>
      <c r="CI14" s="162"/>
      <c r="CJ14" s="162"/>
      <c r="CK14" s="162"/>
      <c r="CL14" s="162"/>
      <c r="CM14" s="162"/>
      <c r="CN14" s="162"/>
      <c r="CO14" s="162"/>
      <c r="CP14" s="162"/>
      <c r="CQ14" s="162"/>
      <c r="CR14" s="162"/>
      <c r="CS14" s="162"/>
      <c r="CT14" s="162"/>
      <c r="CU14" s="162"/>
      <c r="CV14" s="162"/>
      <c r="CW14" s="162"/>
      <c r="CX14" s="162"/>
      <c r="CY14" s="162"/>
      <c r="CZ14" s="162"/>
      <c r="DA14" s="163"/>
      <c r="DB14" s="107"/>
    </row>
    <row r="15" spans="1:106" ht="12" customHeight="1" x14ac:dyDescent="0.2">
      <c r="A15" s="406" t="s">
        <v>174</v>
      </c>
      <c r="B15" s="407"/>
      <c r="C15" s="407"/>
      <c r="D15" s="407"/>
      <c r="E15" s="407"/>
      <c r="F15" s="408"/>
      <c r="G15" s="400"/>
      <c r="H15" s="400"/>
      <c r="I15" s="400"/>
      <c r="J15" s="400"/>
      <c r="K15" s="400"/>
      <c r="L15" s="400"/>
      <c r="M15" s="400"/>
      <c r="N15" s="400"/>
      <c r="O15" s="400"/>
      <c r="P15" s="401"/>
      <c r="Q15" s="42"/>
      <c r="R15" s="42"/>
      <c r="S15" s="42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107"/>
      <c r="AK15" s="287"/>
      <c r="AL15" s="288"/>
      <c r="AM15" s="296">
        <v>7</v>
      </c>
      <c r="AN15" s="296"/>
      <c r="AO15" s="156" t="s">
        <v>392</v>
      </c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68"/>
      <c r="BM15" s="162"/>
      <c r="BN15" s="162"/>
      <c r="BO15" s="162"/>
      <c r="BP15" s="162"/>
      <c r="BQ15" s="162"/>
      <c r="BR15" s="162"/>
      <c r="BS15" s="162"/>
      <c r="BT15" s="162"/>
      <c r="BU15" s="162"/>
      <c r="BV15" s="154"/>
      <c r="BW15" s="154"/>
      <c r="BX15" s="154"/>
      <c r="BY15" s="154"/>
      <c r="BZ15" s="154"/>
      <c r="CA15" s="169"/>
      <c r="CB15" s="170"/>
      <c r="CC15" s="161"/>
      <c r="CD15" s="161"/>
      <c r="CE15" s="161"/>
      <c r="CF15" s="161"/>
      <c r="CG15" s="161"/>
      <c r="CH15" s="161"/>
      <c r="CI15" s="161"/>
      <c r="CJ15" s="161"/>
      <c r="CK15" s="161"/>
      <c r="CL15" s="161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3"/>
      <c r="DB15" s="107"/>
    </row>
    <row r="16" spans="1:106" ht="12" customHeight="1" x14ac:dyDescent="0.2">
      <c r="A16" s="406" t="s">
        <v>178</v>
      </c>
      <c r="B16" s="407"/>
      <c r="C16" s="407"/>
      <c r="D16" s="407"/>
      <c r="E16" s="407"/>
      <c r="F16" s="408"/>
      <c r="G16" s="400"/>
      <c r="H16" s="400"/>
      <c r="I16" s="400"/>
      <c r="J16" s="400"/>
      <c r="K16" s="400"/>
      <c r="L16" s="400"/>
      <c r="M16" s="400"/>
      <c r="N16" s="400"/>
      <c r="O16" s="400"/>
      <c r="P16" s="401"/>
      <c r="Q16" s="42"/>
      <c r="R16" s="42"/>
      <c r="S16" s="42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107"/>
      <c r="AK16" s="287"/>
      <c r="AL16" s="288"/>
      <c r="AM16" s="296">
        <v>8</v>
      </c>
      <c r="AN16" s="296"/>
      <c r="AO16" s="156" t="s">
        <v>393</v>
      </c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68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54"/>
      <c r="CB16" s="154"/>
      <c r="CC16" s="174"/>
      <c r="CD16" s="175"/>
      <c r="CE16" s="175"/>
      <c r="CF16" s="175"/>
      <c r="CG16" s="175"/>
      <c r="CH16" s="175"/>
      <c r="CI16" s="175"/>
      <c r="CJ16" s="175"/>
      <c r="CK16" s="175"/>
      <c r="CL16" s="176"/>
      <c r="CM16" s="161"/>
      <c r="CN16" s="161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3"/>
      <c r="DB16" s="107"/>
    </row>
    <row r="17" spans="1:106" ht="12" customHeight="1" x14ac:dyDescent="0.2">
      <c r="A17" s="406" t="s">
        <v>181</v>
      </c>
      <c r="B17" s="407"/>
      <c r="C17" s="407"/>
      <c r="D17" s="407"/>
      <c r="E17" s="407"/>
      <c r="F17" s="408"/>
      <c r="G17" s="513" t="s">
        <v>182</v>
      </c>
      <c r="H17" s="513"/>
      <c r="I17" s="513"/>
      <c r="J17" s="513"/>
      <c r="K17" s="513"/>
      <c r="L17" s="513"/>
      <c r="M17" s="513"/>
      <c r="N17" s="513"/>
      <c r="O17" s="513"/>
      <c r="P17" s="514"/>
      <c r="Q17" s="42"/>
      <c r="R17" s="42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107"/>
      <c r="AK17" s="287"/>
      <c r="AL17" s="288"/>
      <c r="AM17" s="296">
        <v>9</v>
      </c>
      <c r="AN17" s="296"/>
      <c r="AO17" s="156" t="s">
        <v>394</v>
      </c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68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54"/>
      <c r="CD17" s="154"/>
      <c r="CE17" s="154"/>
      <c r="CF17" s="154"/>
      <c r="CG17" s="154"/>
      <c r="CH17" s="154"/>
      <c r="CI17" s="154"/>
      <c r="CJ17" s="154"/>
      <c r="CK17" s="154"/>
      <c r="CL17" s="154"/>
      <c r="CM17" s="169"/>
      <c r="CN17" s="170"/>
      <c r="CO17" s="161"/>
      <c r="CP17" s="161"/>
      <c r="CQ17" s="161"/>
      <c r="CR17" s="162"/>
      <c r="CS17" s="162"/>
      <c r="CT17" s="162"/>
      <c r="CU17" s="162"/>
      <c r="CV17" s="162"/>
      <c r="CW17" s="162"/>
      <c r="CX17" s="162"/>
      <c r="CY17" s="162"/>
      <c r="CZ17" s="162"/>
      <c r="DA17" s="163"/>
      <c r="DB17" s="107"/>
    </row>
    <row r="18" spans="1:106" ht="12" customHeight="1" x14ac:dyDescent="0.2">
      <c r="A18" s="333" t="s">
        <v>185</v>
      </c>
      <c r="B18" s="334"/>
      <c r="C18" s="334"/>
      <c r="D18" s="334"/>
      <c r="E18" s="334"/>
      <c r="F18" s="334"/>
      <c r="G18" s="400"/>
      <c r="H18" s="400"/>
      <c r="I18" s="400"/>
      <c r="J18" s="400"/>
      <c r="K18" s="400"/>
      <c r="L18" s="400"/>
      <c r="M18" s="400"/>
      <c r="N18" s="400"/>
      <c r="O18" s="400"/>
      <c r="P18" s="401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212"/>
      <c r="AF18" s="212"/>
      <c r="AG18" s="71"/>
      <c r="AH18" s="71"/>
      <c r="AI18" s="71"/>
      <c r="AJ18" s="107"/>
      <c r="AK18" s="287"/>
      <c r="AL18" s="288"/>
      <c r="AM18" s="296">
        <v>10</v>
      </c>
      <c r="AN18" s="296"/>
      <c r="AO18" s="156" t="s">
        <v>395</v>
      </c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68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54"/>
      <c r="CN18" s="154"/>
      <c r="CO18" s="165"/>
      <c r="CP18" s="166"/>
      <c r="CQ18" s="167"/>
      <c r="CR18" s="161"/>
      <c r="CS18" s="161"/>
      <c r="CT18" s="162"/>
      <c r="CU18" s="162"/>
      <c r="CV18" s="162"/>
      <c r="CW18" s="162"/>
      <c r="CX18" s="162"/>
      <c r="CY18" s="162"/>
      <c r="CZ18" s="162"/>
      <c r="DA18" s="163"/>
      <c r="DB18" s="107"/>
    </row>
    <row r="19" spans="1:106" ht="12" x14ac:dyDescent="0.2">
      <c r="A19" s="333" t="s">
        <v>396</v>
      </c>
      <c r="B19" s="334"/>
      <c r="C19" s="334"/>
      <c r="D19" s="334"/>
      <c r="E19" s="334"/>
      <c r="F19" s="334"/>
      <c r="G19" s="475"/>
      <c r="H19" s="400"/>
      <c r="I19" s="400"/>
      <c r="J19" s="400"/>
      <c r="K19" s="400"/>
      <c r="L19" s="400"/>
      <c r="M19" s="400"/>
      <c r="N19" s="400"/>
      <c r="O19" s="400"/>
      <c r="P19" s="401"/>
      <c r="Q19" s="42"/>
      <c r="R19" s="42"/>
      <c r="S19" s="42"/>
      <c r="T19" s="42"/>
      <c r="U19" s="42"/>
      <c r="V19" s="42"/>
      <c r="W19" s="42"/>
      <c r="X19" s="42"/>
      <c r="Y19" s="42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107"/>
      <c r="AK19" s="287"/>
      <c r="AL19" s="288"/>
      <c r="AM19" s="296">
        <v>11</v>
      </c>
      <c r="AN19" s="296"/>
      <c r="AO19" s="156" t="s">
        <v>397</v>
      </c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68"/>
      <c r="BM19" s="161"/>
      <c r="BN19" s="161"/>
      <c r="BO19" s="161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54"/>
      <c r="CP19" s="154"/>
      <c r="CQ19" s="154"/>
      <c r="CR19" s="169"/>
      <c r="CS19" s="170"/>
      <c r="CT19" s="161"/>
      <c r="CU19" s="161"/>
      <c r="CV19" s="161"/>
      <c r="CW19" s="161"/>
      <c r="CX19" s="161"/>
      <c r="CY19" s="162"/>
      <c r="CZ19" s="162"/>
      <c r="DA19" s="163"/>
      <c r="DB19" s="107"/>
    </row>
    <row r="20" spans="1:106" ht="12" customHeight="1" thickBot="1" x14ac:dyDescent="0.25">
      <c r="A20" s="347" t="s">
        <v>398</v>
      </c>
      <c r="B20" s="348"/>
      <c r="C20" s="348"/>
      <c r="D20" s="348"/>
      <c r="E20" s="348"/>
      <c r="F20" s="348"/>
      <c r="G20" s="466"/>
      <c r="H20" s="466"/>
      <c r="I20" s="466"/>
      <c r="J20" s="466"/>
      <c r="K20" s="466"/>
      <c r="L20" s="466"/>
      <c r="M20" s="466"/>
      <c r="N20" s="466"/>
      <c r="O20" s="466"/>
      <c r="P20" s="950"/>
      <c r="Q20" s="42"/>
      <c r="R20" s="42"/>
      <c r="S20" s="42"/>
      <c r="T20" s="42"/>
      <c r="U20" s="42"/>
      <c r="V20" s="42"/>
      <c r="W20" s="42"/>
      <c r="X20" s="42"/>
      <c r="Y20" s="42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107"/>
      <c r="AK20" s="287"/>
      <c r="AL20" s="288"/>
      <c r="AM20" s="296">
        <v>12</v>
      </c>
      <c r="AN20" s="296"/>
      <c r="AO20" s="156" t="s">
        <v>399</v>
      </c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68"/>
      <c r="BM20" s="944" t="s">
        <v>400</v>
      </c>
      <c r="BN20" s="949"/>
      <c r="BO20" s="945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54"/>
      <c r="CS20" s="154"/>
      <c r="CT20" s="165"/>
      <c r="CU20" s="166"/>
      <c r="CV20" s="166"/>
      <c r="CW20" s="166"/>
      <c r="CX20" s="167"/>
      <c r="CY20" s="162"/>
      <c r="CZ20" s="162"/>
      <c r="DA20" s="163"/>
      <c r="DB20" s="107"/>
    </row>
    <row r="21" spans="1:106" ht="12" customHeight="1" thickBo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107"/>
      <c r="AK21" s="287"/>
      <c r="AL21" s="288"/>
      <c r="AM21" s="296">
        <v>13</v>
      </c>
      <c r="AN21" s="296"/>
      <c r="AO21" s="156" t="s">
        <v>401</v>
      </c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68"/>
      <c r="BM21" s="177"/>
      <c r="BN21" s="944" t="s">
        <v>402</v>
      </c>
      <c r="BO21" s="945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51"/>
      <c r="CU21" s="152"/>
      <c r="CV21" s="152"/>
      <c r="CW21" s="152"/>
      <c r="CX21" s="153"/>
      <c r="CY21" s="161"/>
      <c r="CZ21" s="161"/>
      <c r="DA21" s="178"/>
      <c r="DB21" s="107"/>
    </row>
    <row r="22" spans="1:106" ht="12" customHeight="1" x14ac:dyDescent="0.2">
      <c r="A22" s="42"/>
      <c r="B22" s="42"/>
      <c r="C22" s="42"/>
      <c r="D22" s="42"/>
      <c r="E22" s="42"/>
      <c r="F22" s="42"/>
      <c r="G22" s="42"/>
      <c r="H22" s="42"/>
      <c r="I22" s="42"/>
      <c r="J22" s="179"/>
      <c r="K22" s="130"/>
      <c r="L22" s="93"/>
      <c r="M22" s="130"/>
      <c r="N22" s="93"/>
      <c r="O22" s="130"/>
      <c r="P22" s="93"/>
      <c r="Q22" s="130"/>
      <c r="R22" s="93"/>
      <c r="S22" s="130"/>
      <c r="T22" s="93"/>
      <c r="U22" s="130"/>
      <c r="V22" s="93"/>
      <c r="W22" s="130"/>
      <c r="X22" s="180"/>
      <c r="Y22" s="42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107"/>
      <c r="AK22" s="287"/>
      <c r="AL22" s="288"/>
      <c r="AM22" s="296">
        <v>14</v>
      </c>
      <c r="AN22" s="296"/>
      <c r="AO22" s="156" t="s">
        <v>403</v>
      </c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68"/>
      <c r="BM22" s="181"/>
      <c r="BN22" s="944" t="s">
        <v>404</v>
      </c>
      <c r="BO22" s="945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54"/>
      <c r="CU22" s="154"/>
      <c r="CV22" s="154"/>
      <c r="CW22" s="154"/>
      <c r="CX22" s="154"/>
      <c r="CY22" s="165"/>
      <c r="CZ22" s="166"/>
      <c r="DA22" s="182"/>
      <c r="DB22" s="107"/>
    </row>
    <row r="23" spans="1:106" ht="12" customHeight="1" x14ac:dyDescent="0.2">
      <c r="A23" s="42"/>
      <c r="B23" s="42"/>
      <c r="C23" s="42"/>
      <c r="D23" s="42"/>
      <c r="E23" s="42"/>
      <c r="F23" s="42"/>
      <c r="G23" s="42"/>
      <c r="H23" s="42"/>
      <c r="I23" s="42"/>
      <c r="J23" s="67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183"/>
      <c r="Y23" s="42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107"/>
      <c r="AK23" s="287"/>
      <c r="AL23" s="288"/>
      <c r="AM23" s="296">
        <v>15</v>
      </c>
      <c r="AN23" s="296"/>
      <c r="AO23" s="156" t="s">
        <v>405</v>
      </c>
      <c r="AP23" s="157"/>
      <c r="AQ23" s="157"/>
      <c r="AR23" s="157"/>
      <c r="AS23" s="157"/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7"/>
      <c r="BK23" s="157"/>
      <c r="BL23" s="168"/>
      <c r="BM23" s="184"/>
      <c r="BN23" s="944" t="s">
        <v>406</v>
      </c>
      <c r="BO23" s="945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54"/>
      <c r="CZ23" s="154"/>
      <c r="DA23" s="185"/>
      <c r="DB23" s="107"/>
    </row>
    <row r="24" spans="1:106" ht="12" customHeight="1" thickBot="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67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183"/>
      <c r="Y24" s="42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107"/>
      <c r="AK24" s="946"/>
      <c r="AL24" s="635"/>
      <c r="AM24" s="292">
        <v>16</v>
      </c>
      <c r="AN24" s="292"/>
      <c r="AO24" s="186" t="s">
        <v>275</v>
      </c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8"/>
      <c r="BM24" s="114"/>
      <c r="BN24" s="114"/>
      <c r="BO24" s="114"/>
      <c r="BP24" s="189"/>
      <c r="BQ24" s="189"/>
      <c r="BR24" s="189"/>
      <c r="BS24" s="189"/>
      <c r="BT24" s="189"/>
      <c r="BU24" s="189"/>
      <c r="BV24" s="189"/>
      <c r="BW24" s="189"/>
      <c r="BX24" s="189"/>
      <c r="BY24" s="189"/>
      <c r="BZ24" s="189"/>
      <c r="CA24" s="189"/>
      <c r="CB24" s="189"/>
      <c r="CC24" s="189"/>
      <c r="CD24" s="189"/>
      <c r="CE24" s="189"/>
      <c r="CF24" s="189"/>
      <c r="CG24" s="189"/>
      <c r="CH24" s="189"/>
      <c r="CI24" s="189"/>
      <c r="CJ24" s="189"/>
      <c r="CK24" s="189"/>
      <c r="CL24" s="189"/>
      <c r="CM24" s="189"/>
      <c r="CN24" s="189"/>
      <c r="CO24" s="189"/>
      <c r="CP24" s="189"/>
      <c r="CQ24" s="189"/>
      <c r="CR24" s="189"/>
      <c r="CS24" s="189"/>
      <c r="CT24" s="189"/>
      <c r="CU24" s="189"/>
      <c r="CV24" s="189"/>
      <c r="CW24" s="189"/>
      <c r="CX24" s="189"/>
      <c r="CY24" s="189"/>
      <c r="CZ24" s="189"/>
      <c r="DA24" s="115"/>
      <c r="DB24" s="107"/>
    </row>
    <row r="25" spans="1:106" ht="12" customHeight="1" x14ac:dyDescent="0.2">
      <c r="A25" s="42"/>
      <c r="B25" s="42"/>
      <c r="C25" s="42"/>
      <c r="D25" s="42"/>
      <c r="E25" s="42"/>
      <c r="F25" s="42"/>
      <c r="G25" s="42"/>
      <c r="H25" s="42"/>
      <c r="I25" s="42"/>
      <c r="J25" s="67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183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7"/>
      <c r="CV25" s="107"/>
      <c r="CW25" s="107"/>
      <c r="CX25" s="107"/>
      <c r="CY25" s="107"/>
      <c r="CZ25" s="107"/>
      <c r="DA25" s="107"/>
      <c r="DB25" s="107"/>
    </row>
    <row r="26" spans="1:106" ht="12" customHeight="1" x14ac:dyDescent="0.2">
      <c r="A26" s="42"/>
      <c r="B26" s="42"/>
      <c r="C26" s="42"/>
      <c r="D26" s="42"/>
      <c r="E26" s="42"/>
      <c r="F26" s="42"/>
      <c r="G26" s="42"/>
      <c r="H26" s="42"/>
      <c r="I26" s="42"/>
      <c r="J26" s="67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183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7"/>
      <c r="CS26" s="107"/>
      <c r="CT26" s="107"/>
      <c r="CU26" s="107"/>
      <c r="CV26" s="107"/>
      <c r="CW26" s="107"/>
      <c r="CX26" s="107"/>
      <c r="CY26" s="107"/>
      <c r="CZ26" s="107"/>
      <c r="DA26" s="107"/>
      <c r="DB26" s="107"/>
    </row>
    <row r="27" spans="1:106" ht="12" customHeight="1" thickBot="1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67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183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7"/>
      <c r="CS27" s="107"/>
      <c r="CT27" s="107"/>
      <c r="CU27" s="107"/>
      <c r="CV27" s="107"/>
      <c r="CW27" s="107"/>
      <c r="CX27" s="107"/>
      <c r="CY27" s="107"/>
      <c r="CZ27" s="107"/>
      <c r="DA27" s="107"/>
      <c r="DB27" s="107"/>
    </row>
    <row r="28" spans="1:106" ht="12" customHeight="1" thickBot="1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67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183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47" t="s">
        <v>297</v>
      </c>
      <c r="AW28" s="472"/>
      <c r="AX28" s="472"/>
      <c r="AY28" s="472"/>
      <c r="AZ28" s="472"/>
      <c r="BA28" s="472"/>
      <c r="BB28" s="472"/>
      <c r="BC28" s="948"/>
      <c r="BD28" s="191"/>
      <c r="BE28" s="107"/>
      <c r="BF28" s="471" t="s">
        <v>160</v>
      </c>
      <c r="BG28" s="472"/>
      <c r="BH28" s="472"/>
      <c r="BI28" s="472"/>
      <c r="BJ28" s="472"/>
      <c r="BK28" s="472"/>
      <c r="BL28" s="472"/>
      <c r="BM28" s="472"/>
      <c r="BN28" s="472"/>
      <c r="BO28" s="472"/>
      <c r="BP28" s="472"/>
      <c r="BQ28" s="472"/>
      <c r="BR28" s="472"/>
      <c r="BS28" s="472"/>
      <c r="BT28" s="473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</row>
    <row r="29" spans="1:106" ht="12" customHeight="1" thickTop="1" thickBot="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134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9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29" t="s">
        <v>298</v>
      </c>
      <c r="AW29" s="750"/>
      <c r="AX29" s="750"/>
      <c r="AY29" s="750"/>
      <c r="AZ29" s="750"/>
      <c r="BA29" s="751"/>
      <c r="BB29" s="930"/>
      <c r="BC29" s="931"/>
      <c r="BD29" s="193"/>
      <c r="BE29" s="107"/>
      <c r="BF29" s="324"/>
      <c r="BG29" s="547"/>
      <c r="BH29" s="547"/>
      <c r="BI29" s="547"/>
      <c r="BJ29" s="325"/>
      <c r="BK29" s="548"/>
      <c r="BL29" s="547"/>
      <c r="BM29" s="547"/>
      <c r="BN29" s="547"/>
      <c r="BO29" s="325"/>
      <c r="BP29" s="548"/>
      <c r="BQ29" s="547"/>
      <c r="BR29" s="547"/>
      <c r="BS29" s="547"/>
      <c r="BT29" s="549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</row>
    <row r="30" spans="1:106" ht="12" customHeight="1" thickBot="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932" t="s">
        <v>299</v>
      </c>
      <c r="AL30" s="933"/>
      <c r="AM30" s="933"/>
      <c r="AN30" s="933"/>
      <c r="AO30" s="933"/>
      <c r="AP30" s="933"/>
      <c r="AQ30" s="933"/>
      <c r="AR30" s="933"/>
      <c r="AS30" s="934"/>
      <c r="AT30" s="107"/>
      <c r="AU30" s="53"/>
      <c r="AV30" s="941" t="s">
        <v>300</v>
      </c>
      <c r="AW30" s="543"/>
      <c r="AX30" s="543"/>
      <c r="AY30" s="543"/>
      <c r="AZ30" s="543"/>
      <c r="BA30" s="544"/>
      <c r="BB30" s="942"/>
      <c r="BC30" s="943"/>
      <c r="BD30" s="55"/>
      <c r="BE30" s="107"/>
      <c r="BF30" s="521"/>
      <c r="BG30" s="522"/>
      <c r="BH30" s="522"/>
      <c r="BI30" s="522"/>
      <c r="BJ30" s="523"/>
      <c r="BK30" s="524"/>
      <c r="BL30" s="522"/>
      <c r="BM30" s="522"/>
      <c r="BN30" s="522"/>
      <c r="BO30" s="523"/>
      <c r="BP30" s="524"/>
      <c r="BQ30" s="522"/>
      <c r="BR30" s="522"/>
      <c r="BS30" s="522"/>
      <c r="BT30" s="525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</row>
    <row r="31" spans="1:106" ht="12" customHeight="1" thickBot="1" x14ac:dyDescent="0.25">
      <c r="A31" s="649" t="s">
        <v>301</v>
      </c>
      <c r="B31" s="650"/>
      <c r="C31" s="650"/>
      <c r="D31" s="650"/>
      <c r="E31" s="650"/>
      <c r="F31" s="650"/>
      <c r="G31" s="650"/>
      <c r="H31" s="653" t="s">
        <v>437</v>
      </c>
      <c r="I31" s="653"/>
      <c r="J31" s="653"/>
      <c r="K31" s="653"/>
      <c r="L31" s="653"/>
      <c r="M31" s="653"/>
      <c r="N31" s="653"/>
      <c r="O31" s="653"/>
      <c r="P31" s="653"/>
      <c r="Q31" s="650" t="s">
        <v>303</v>
      </c>
      <c r="R31" s="650"/>
      <c r="S31" s="650"/>
      <c r="T31" s="653" t="s">
        <v>304</v>
      </c>
      <c r="U31" s="653"/>
      <c r="V31" s="653"/>
      <c r="W31" s="653"/>
      <c r="X31" s="653"/>
      <c r="Y31" s="653"/>
      <c r="Z31" s="653"/>
      <c r="AA31" s="653"/>
      <c r="AB31" s="653"/>
      <c r="AC31" s="650" t="s">
        <v>305</v>
      </c>
      <c r="AD31" s="650"/>
      <c r="AE31" s="650"/>
      <c r="AF31" s="654" t="s">
        <v>262</v>
      </c>
      <c r="AG31" s="655"/>
      <c r="AH31" s="655"/>
      <c r="AI31" s="656"/>
      <c r="AJ31" s="107"/>
      <c r="AK31" s="935"/>
      <c r="AL31" s="936"/>
      <c r="AM31" s="936"/>
      <c r="AN31" s="936"/>
      <c r="AO31" s="936"/>
      <c r="AP31" s="936"/>
      <c r="AQ31" s="936"/>
      <c r="AR31" s="936"/>
      <c r="AS31" s="937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07"/>
      <c r="BF31" s="521"/>
      <c r="BG31" s="522"/>
      <c r="BH31" s="522"/>
      <c r="BI31" s="522"/>
      <c r="BJ31" s="523"/>
      <c r="BK31" s="524"/>
      <c r="BL31" s="522"/>
      <c r="BM31" s="522"/>
      <c r="BN31" s="522"/>
      <c r="BO31" s="523"/>
      <c r="BP31" s="524"/>
      <c r="BQ31" s="522"/>
      <c r="BR31" s="522"/>
      <c r="BS31" s="522"/>
      <c r="BT31" s="525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</row>
    <row r="32" spans="1:106" ht="12" customHeight="1" thickBot="1" x14ac:dyDescent="0.25">
      <c r="A32" s="651"/>
      <c r="B32" s="652"/>
      <c r="C32" s="652"/>
      <c r="D32" s="652"/>
      <c r="E32" s="652"/>
      <c r="F32" s="652"/>
      <c r="G32" s="652"/>
      <c r="H32" s="392" t="s">
        <v>306</v>
      </c>
      <c r="I32" s="392"/>
      <c r="J32" s="392"/>
      <c r="K32" s="392" t="s">
        <v>174</v>
      </c>
      <c r="L32" s="392"/>
      <c r="M32" s="392"/>
      <c r="N32" s="392" t="s">
        <v>307</v>
      </c>
      <c r="O32" s="392"/>
      <c r="P32" s="392"/>
      <c r="Q32" s="652"/>
      <c r="R32" s="652"/>
      <c r="S32" s="652"/>
      <c r="T32" s="392" t="s">
        <v>308</v>
      </c>
      <c r="U32" s="392"/>
      <c r="V32" s="392"/>
      <c r="W32" s="392" t="s">
        <v>180</v>
      </c>
      <c r="X32" s="392"/>
      <c r="Y32" s="392"/>
      <c r="Z32" s="392" t="s">
        <v>183</v>
      </c>
      <c r="AA32" s="392"/>
      <c r="AB32" s="392"/>
      <c r="AC32" s="652"/>
      <c r="AD32" s="652"/>
      <c r="AE32" s="652"/>
      <c r="AF32" s="657"/>
      <c r="AG32" s="658"/>
      <c r="AH32" s="658"/>
      <c r="AI32" s="659"/>
      <c r="AJ32" s="107"/>
      <c r="AK32" s="938"/>
      <c r="AL32" s="939"/>
      <c r="AM32" s="939"/>
      <c r="AN32" s="939"/>
      <c r="AO32" s="939"/>
      <c r="AP32" s="939"/>
      <c r="AQ32" s="939"/>
      <c r="AR32" s="939"/>
      <c r="AS32" s="940"/>
      <c r="AT32" s="107"/>
      <c r="AU32" s="471" t="s">
        <v>309</v>
      </c>
      <c r="AV32" s="472"/>
      <c r="AW32" s="472"/>
      <c r="AX32" s="472"/>
      <c r="AY32" s="472"/>
      <c r="AZ32" s="472"/>
      <c r="BA32" s="472"/>
      <c r="BB32" s="472"/>
      <c r="BC32" s="472"/>
      <c r="BD32" s="473"/>
      <c r="BE32" s="107"/>
      <c r="BF32" s="521"/>
      <c r="BG32" s="522"/>
      <c r="BH32" s="522"/>
      <c r="BI32" s="522"/>
      <c r="BJ32" s="523"/>
      <c r="BK32" s="524"/>
      <c r="BL32" s="522"/>
      <c r="BM32" s="522"/>
      <c r="BN32" s="522"/>
      <c r="BO32" s="523"/>
      <c r="BP32" s="524"/>
      <c r="BQ32" s="522"/>
      <c r="BR32" s="522"/>
      <c r="BS32" s="522"/>
      <c r="BT32" s="525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</row>
    <row r="33" spans="1:106" ht="15.75" customHeight="1" thickTop="1" x14ac:dyDescent="0.2">
      <c r="A33" s="926"/>
      <c r="B33" s="927"/>
      <c r="C33" s="927"/>
      <c r="D33" s="927"/>
      <c r="E33" s="927"/>
      <c r="F33" s="927"/>
      <c r="G33" s="927"/>
      <c r="H33" s="644"/>
      <c r="I33" s="644"/>
      <c r="J33" s="644"/>
      <c r="K33" s="644"/>
      <c r="L33" s="644"/>
      <c r="M33" s="644"/>
      <c r="N33" s="1041"/>
      <c r="O33" s="644"/>
      <c r="P33" s="644"/>
      <c r="Q33" s="644"/>
      <c r="R33" s="644"/>
      <c r="S33" s="644"/>
      <c r="T33" s="638"/>
      <c r="U33" s="638"/>
      <c r="V33" s="638"/>
      <c r="W33" s="638"/>
      <c r="X33" s="638"/>
      <c r="Y33" s="638"/>
      <c r="Z33" s="638"/>
      <c r="AA33" s="638"/>
      <c r="AB33" s="638"/>
      <c r="AC33" s="638"/>
      <c r="AD33" s="638"/>
      <c r="AE33" s="638"/>
      <c r="AF33" s="644"/>
      <c r="AG33" s="644"/>
      <c r="AH33" s="644"/>
      <c r="AI33" s="928"/>
      <c r="AJ33" s="107"/>
      <c r="AK33" s="620" t="str">
        <f>IFERROR(AN33*(1-$BB$30),"")</f>
        <v/>
      </c>
      <c r="AL33" s="621"/>
      <c r="AM33" s="621"/>
      <c r="AN33" s="621" t="str">
        <f>IFERROR(($AK$53*Q33),"")</f>
        <v/>
      </c>
      <c r="AO33" s="621"/>
      <c r="AP33" s="621"/>
      <c r="AQ33" s="621" t="str">
        <f>IFERROR(AN33*(1+$BB$29),"")</f>
        <v/>
      </c>
      <c r="AR33" s="621"/>
      <c r="AS33" s="622"/>
      <c r="AT33" s="107"/>
      <c r="AU33" s="923" t="str">
        <f t="shared" ref="AU33:AU53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24"/>
      <c r="AW33" s="924"/>
      <c r="AX33" s="924"/>
      <c r="AY33" s="924"/>
      <c r="AZ33" s="924"/>
      <c r="BA33" s="924"/>
      <c r="BB33" s="924"/>
      <c r="BC33" s="924"/>
      <c r="BD33" s="925"/>
      <c r="BE33" s="107"/>
      <c r="BF33" s="521"/>
      <c r="BG33" s="522"/>
      <c r="BH33" s="522"/>
      <c r="BI33" s="522"/>
      <c r="BJ33" s="523"/>
      <c r="BK33" s="524"/>
      <c r="BL33" s="522"/>
      <c r="BM33" s="522"/>
      <c r="BN33" s="522"/>
      <c r="BO33" s="523"/>
      <c r="BP33" s="524"/>
      <c r="BQ33" s="522"/>
      <c r="BR33" s="522"/>
      <c r="BS33" s="522"/>
      <c r="BT33" s="525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</row>
    <row r="34" spans="1:106" ht="12" customHeight="1" thickBot="1" x14ac:dyDescent="0.25">
      <c r="A34" s="926"/>
      <c r="B34" s="927"/>
      <c r="C34" s="927"/>
      <c r="D34" s="927"/>
      <c r="E34" s="927"/>
      <c r="F34" s="927"/>
      <c r="G34" s="927"/>
      <c r="H34" s="453"/>
      <c r="I34" s="453"/>
      <c r="J34" s="453"/>
      <c r="K34" s="453"/>
      <c r="L34" s="453"/>
      <c r="M34" s="453"/>
      <c r="N34" s="1040"/>
      <c r="O34" s="453"/>
      <c r="P34" s="453"/>
      <c r="Q34" s="453"/>
      <c r="R34" s="453"/>
      <c r="S34" s="453"/>
      <c r="T34" s="638"/>
      <c r="U34" s="638"/>
      <c r="V34" s="638"/>
      <c r="W34" s="638"/>
      <c r="X34" s="638"/>
      <c r="Y34" s="638"/>
      <c r="Z34" s="638"/>
      <c r="AA34" s="638"/>
      <c r="AB34" s="638"/>
      <c r="AC34" s="638"/>
      <c r="AD34" s="638"/>
      <c r="AE34" s="638"/>
      <c r="AF34" s="400"/>
      <c r="AG34" s="400"/>
      <c r="AH34" s="400"/>
      <c r="AI34" s="401"/>
      <c r="AJ34" s="107"/>
      <c r="AK34" s="620" t="str">
        <f t="shared" ref="AK34:AK52" si="1">IFERROR(AN34*(1-$BB$30),"")</f>
        <v/>
      </c>
      <c r="AL34" s="621"/>
      <c r="AM34" s="621"/>
      <c r="AN34" s="621" t="str">
        <f t="shared" ref="AN34:AN52" si="2">IFERROR(($AK$53*Q34),"")</f>
        <v/>
      </c>
      <c r="AO34" s="621"/>
      <c r="AP34" s="621"/>
      <c r="AQ34" s="621" t="str">
        <f t="shared" ref="AQ34:AQ52" si="3">IFERROR(AN34*(1+$BB$29),"")</f>
        <v/>
      </c>
      <c r="AR34" s="621"/>
      <c r="AS34" s="622"/>
      <c r="AT34" s="107"/>
      <c r="AU34" s="923" t="str">
        <f t="shared" si="0"/>
        <v/>
      </c>
      <c r="AV34" s="924"/>
      <c r="AW34" s="924"/>
      <c r="AX34" s="924"/>
      <c r="AY34" s="924"/>
      <c r="AZ34" s="924"/>
      <c r="BA34" s="924"/>
      <c r="BB34" s="924"/>
      <c r="BC34" s="924"/>
      <c r="BD34" s="925"/>
      <c r="BE34" s="107"/>
      <c r="BF34" s="528"/>
      <c r="BG34" s="529"/>
      <c r="BH34" s="529"/>
      <c r="BI34" s="529"/>
      <c r="BJ34" s="530"/>
      <c r="BK34" s="531"/>
      <c r="BL34" s="529"/>
      <c r="BM34" s="529"/>
      <c r="BN34" s="529"/>
      <c r="BO34" s="530"/>
      <c r="BP34" s="531"/>
      <c r="BQ34" s="529"/>
      <c r="BR34" s="529"/>
      <c r="BS34" s="529"/>
      <c r="BT34" s="532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</row>
    <row r="35" spans="1:106" ht="12" customHeight="1" x14ac:dyDescent="0.2">
      <c r="A35" s="926"/>
      <c r="B35" s="927"/>
      <c r="C35" s="927"/>
      <c r="D35" s="927"/>
      <c r="E35" s="927"/>
      <c r="F35" s="927"/>
      <c r="G35" s="927"/>
      <c r="H35" s="453"/>
      <c r="I35" s="453"/>
      <c r="J35" s="453"/>
      <c r="K35" s="453"/>
      <c r="L35" s="453"/>
      <c r="M35" s="453"/>
      <c r="N35" s="1040"/>
      <c r="O35" s="453"/>
      <c r="P35" s="453"/>
      <c r="Q35" s="453"/>
      <c r="R35" s="453"/>
      <c r="S35" s="453"/>
      <c r="T35" s="638"/>
      <c r="U35" s="638"/>
      <c r="V35" s="638"/>
      <c r="W35" s="638"/>
      <c r="X35" s="638"/>
      <c r="Y35" s="638"/>
      <c r="Z35" s="638"/>
      <c r="AA35" s="638"/>
      <c r="AB35" s="638"/>
      <c r="AC35" s="638"/>
      <c r="AD35" s="638"/>
      <c r="AE35" s="638"/>
      <c r="AF35" s="400"/>
      <c r="AG35" s="400"/>
      <c r="AH35" s="400"/>
      <c r="AI35" s="401"/>
      <c r="AJ35" s="107"/>
      <c r="AK35" s="620" t="str">
        <f t="shared" si="1"/>
        <v/>
      </c>
      <c r="AL35" s="621"/>
      <c r="AM35" s="621"/>
      <c r="AN35" s="621" t="str">
        <f t="shared" si="2"/>
        <v/>
      </c>
      <c r="AO35" s="621"/>
      <c r="AP35" s="621"/>
      <c r="AQ35" s="621" t="str">
        <f t="shared" si="3"/>
        <v/>
      </c>
      <c r="AR35" s="621"/>
      <c r="AS35" s="622"/>
      <c r="AT35" s="107"/>
      <c r="AU35" s="923" t="str">
        <f t="shared" si="0"/>
        <v/>
      </c>
      <c r="AV35" s="924"/>
      <c r="AW35" s="924"/>
      <c r="AX35" s="924"/>
      <c r="AY35" s="924"/>
      <c r="AZ35" s="924"/>
      <c r="BA35" s="924"/>
      <c r="BB35" s="924"/>
      <c r="BC35" s="924"/>
      <c r="BD35" s="925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</row>
    <row r="36" spans="1:106" ht="12" customHeight="1" x14ac:dyDescent="0.2">
      <c r="A36" s="926"/>
      <c r="B36" s="927"/>
      <c r="C36" s="927"/>
      <c r="D36" s="927"/>
      <c r="E36" s="927"/>
      <c r="F36" s="927"/>
      <c r="G36" s="927"/>
      <c r="H36" s="453"/>
      <c r="I36" s="453"/>
      <c r="J36" s="453"/>
      <c r="K36" s="453"/>
      <c r="L36" s="453"/>
      <c r="M36" s="453"/>
      <c r="N36" s="453"/>
      <c r="O36" s="453"/>
      <c r="P36" s="453"/>
      <c r="Q36" s="453"/>
      <c r="R36" s="453"/>
      <c r="S36" s="453"/>
      <c r="T36" s="638"/>
      <c r="U36" s="638"/>
      <c r="V36" s="638"/>
      <c r="W36" s="638"/>
      <c r="X36" s="638"/>
      <c r="Y36" s="638"/>
      <c r="Z36" s="638"/>
      <c r="AA36" s="638"/>
      <c r="AB36" s="638"/>
      <c r="AC36" s="638"/>
      <c r="AD36" s="638"/>
      <c r="AE36" s="638"/>
      <c r="AF36" s="400"/>
      <c r="AG36" s="400"/>
      <c r="AH36" s="400"/>
      <c r="AI36" s="401"/>
      <c r="AJ36" s="107"/>
      <c r="AK36" s="620" t="str">
        <f t="shared" si="1"/>
        <v/>
      </c>
      <c r="AL36" s="621"/>
      <c r="AM36" s="621"/>
      <c r="AN36" s="621" t="str">
        <f t="shared" si="2"/>
        <v/>
      </c>
      <c r="AO36" s="621"/>
      <c r="AP36" s="621"/>
      <c r="AQ36" s="621" t="str">
        <f t="shared" si="3"/>
        <v/>
      </c>
      <c r="AR36" s="621"/>
      <c r="AS36" s="622"/>
      <c r="AT36" s="107"/>
      <c r="AU36" s="923" t="str">
        <f t="shared" si="0"/>
        <v/>
      </c>
      <c r="AV36" s="924"/>
      <c r="AW36" s="924"/>
      <c r="AX36" s="924"/>
      <c r="AY36" s="924"/>
      <c r="AZ36" s="924"/>
      <c r="BA36" s="924"/>
      <c r="BB36" s="924"/>
      <c r="BC36" s="924"/>
      <c r="BD36" s="925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</row>
    <row r="37" spans="1:106" ht="12" customHeight="1" x14ac:dyDescent="0.2">
      <c r="A37" s="926"/>
      <c r="B37" s="927"/>
      <c r="C37" s="927"/>
      <c r="D37" s="927"/>
      <c r="E37" s="927"/>
      <c r="F37" s="927"/>
      <c r="G37" s="927"/>
      <c r="H37" s="453"/>
      <c r="I37" s="453"/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638"/>
      <c r="U37" s="638"/>
      <c r="V37" s="638"/>
      <c r="W37" s="638"/>
      <c r="X37" s="638"/>
      <c r="Y37" s="638"/>
      <c r="Z37" s="638"/>
      <c r="AA37" s="638"/>
      <c r="AB37" s="638"/>
      <c r="AC37" s="638"/>
      <c r="AD37" s="638"/>
      <c r="AE37" s="638"/>
      <c r="AF37" s="400"/>
      <c r="AG37" s="400"/>
      <c r="AH37" s="400"/>
      <c r="AI37" s="401"/>
      <c r="AJ37" s="107"/>
      <c r="AK37" s="620" t="str">
        <f t="shared" si="1"/>
        <v/>
      </c>
      <c r="AL37" s="621"/>
      <c r="AM37" s="621"/>
      <c r="AN37" s="621" t="str">
        <f t="shared" si="2"/>
        <v/>
      </c>
      <c r="AO37" s="621"/>
      <c r="AP37" s="621"/>
      <c r="AQ37" s="621" t="str">
        <f t="shared" si="3"/>
        <v/>
      </c>
      <c r="AR37" s="621"/>
      <c r="AS37" s="622"/>
      <c r="AT37" s="107"/>
      <c r="AU37" s="923" t="str">
        <f t="shared" si="0"/>
        <v/>
      </c>
      <c r="AV37" s="924"/>
      <c r="AW37" s="924"/>
      <c r="AX37" s="924"/>
      <c r="AY37" s="924"/>
      <c r="AZ37" s="924"/>
      <c r="BA37" s="924"/>
      <c r="BB37" s="924"/>
      <c r="BC37" s="924"/>
      <c r="BD37" s="925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</row>
    <row r="38" spans="1:106" ht="12" customHeight="1" x14ac:dyDescent="0.2">
      <c r="A38" s="926"/>
      <c r="B38" s="927"/>
      <c r="C38" s="927"/>
      <c r="D38" s="927"/>
      <c r="E38" s="927"/>
      <c r="F38" s="927"/>
      <c r="G38" s="927"/>
      <c r="H38" s="453"/>
      <c r="I38" s="453"/>
      <c r="J38" s="453"/>
      <c r="K38" s="453"/>
      <c r="L38" s="453"/>
      <c r="M38" s="453"/>
      <c r="N38" s="453"/>
      <c r="O38" s="453"/>
      <c r="P38" s="453"/>
      <c r="Q38" s="453"/>
      <c r="R38" s="453"/>
      <c r="S38" s="453"/>
      <c r="T38" s="638"/>
      <c r="U38" s="638"/>
      <c r="V38" s="638"/>
      <c r="W38" s="638"/>
      <c r="X38" s="638"/>
      <c r="Y38" s="638"/>
      <c r="Z38" s="638"/>
      <c r="AA38" s="638"/>
      <c r="AB38" s="638"/>
      <c r="AC38" s="638"/>
      <c r="AD38" s="638"/>
      <c r="AE38" s="638"/>
      <c r="AF38" s="400"/>
      <c r="AG38" s="400"/>
      <c r="AH38" s="400"/>
      <c r="AI38" s="401"/>
      <c r="AJ38" s="107"/>
      <c r="AK38" s="620" t="str">
        <f t="shared" si="1"/>
        <v/>
      </c>
      <c r="AL38" s="621"/>
      <c r="AM38" s="621"/>
      <c r="AN38" s="621" t="str">
        <f t="shared" si="2"/>
        <v/>
      </c>
      <c r="AO38" s="621"/>
      <c r="AP38" s="621"/>
      <c r="AQ38" s="621" t="str">
        <f t="shared" si="3"/>
        <v/>
      </c>
      <c r="AR38" s="621"/>
      <c r="AS38" s="622"/>
      <c r="AT38" s="107"/>
      <c r="AU38" s="923" t="str">
        <f t="shared" si="0"/>
        <v/>
      </c>
      <c r="AV38" s="924"/>
      <c r="AW38" s="924"/>
      <c r="AX38" s="924"/>
      <c r="AY38" s="924"/>
      <c r="AZ38" s="924"/>
      <c r="BA38" s="924"/>
      <c r="BB38" s="924"/>
      <c r="BC38" s="924"/>
      <c r="BD38" s="925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</row>
    <row r="39" spans="1:106" ht="12" customHeight="1" x14ac:dyDescent="0.2">
      <c r="A39" s="926"/>
      <c r="B39" s="927"/>
      <c r="C39" s="927"/>
      <c r="D39" s="927"/>
      <c r="E39" s="927"/>
      <c r="F39" s="927"/>
      <c r="G39" s="927"/>
      <c r="H39" s="453"/>
      <c r="I39" s="453"/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638"/>
      <c r="U39" s="638"/>
      <c r="V39" s="638"/>
      <c r="W39" s="638"/>
      <c r="X39" s="638"/>
      <c r="Y39" s="638"/>
      <c r="Z39" s="638"/>
      <c r="AA39" s="638"/>
      <c r="AB39" s="638"/>
      <c r="AC39" s="638"/>
      <c r="AD39" s="638"/>
      <c r="AE39" s="638"/>
      <c r="AF39" s="400"/>
      <c r="AG39" s="400"/>
      <c r="AH39" s="400"/>
      <c r="AI39" s="401"/>
      <c r="AJ39" s="107"/>
      <c r="AK39" s="620" t="str">
        <f t="shared" si="1"/>
        <v/>
      </c>
      <c r="AL39" s="621"/>
      <c r="AM39" s="621"/>
      <c r="AN39" s="621" t="str">
        <f t="shared" si="2"/>
        <v/>
      </c>
      <c r="AO39" s="621"/>
      <c r="AP39" s="621"/>
      <c r="AQ39" s="621" t="str">
        <f t="shared" si="3"/>
        <v/>
      </c>
      <c r="AR39" s="621"/>
      <c r="AS39" s="622"/>
      <c r="AT39" s="107"/>
      <c r="AU39" s="923" t="str">
        <f t="shared" si="0"/>
        <v/>
      </c>
      <c r="AV39" s="924"/>
      <c r="AW39" s="924"/>
      <c r="AX39" s="924"/>
      <c r="AY39" s="924"/>
      <c r="AZ39" s="924"/>
      <c r="BA39" s="924"/>
      <c r="BB39" s="924"/>
      <c r="BC39" s="924"/>
      <c r="BD39" s="925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</row>
    <row r="40" spans="1:106" ht="12" customHeight="1" x14ac:dyDescent="0.2">
      <c r="A40" s="926"/>
      <c r="B40" s="927"/>
      <c r="C40" s="927"/>
      <c r="D40" s="927"/>
      <c r="E40" s="927"/>
      <c r="F40" s="927"/>
      <c r="G40" s="927"/>
      <c r="H40" s="453"/>
      <c r="I40" s="453"/>
      <c r="J40" s="453"/>
      <c r="K40" s="453"/>
      <c r="L40" s="453"/>
      <c r="M40" s="453"/>
      <c r="N40" s="453"/>
      <c r="O40" s="453"/>
      <c r="P40" s="453"/>
      <c r="Q40" s="453"/>
      <c r="R40" s="453"/>
      <c r="S40" s="453"/>
      <c r="T40" s="638"/>
      <c r="U40" s="638"/>
      <c r="V40" s="638"/>
      <c r="W40" s="638"/>
      <c r="X40" s="638"/>
      <c r="Y40" s="638"/>
      <c r="Z40" s="638"/>
      <c r="AA40" s="638"/>
      <c r="AB40" s="638"/>
      <c r="AC40" s="638"/>
      <c r="AD40" s="638"/>
      <c r="AE40" s="638"/>
      <c r="AF40" s="400"/>
      <c r="AG40" s="400"/>
      <c r="AH40" s="400"/>
      <c r="AI40" s="401"/>
      <c r="AJ40" s="107"/>
      <c r="AK40" s="620" t="str">
        <f t="shared" si="1"/>
        <v/>
      </c>
      <c r="AL40" s="621"/>
      <c r="AM40" s="621"/>
      <c r="AN40" s="621" t="str">
        <f t="shared" si="2"/>
        <v/>
      </c>
      <c r="AO40" s="621"/>
      <c r="AP40" s="621"/>
      <c r="AQ40" s="621" t="str">
        <f t="shared" si="3"/>
        <v/>
      </c>
      <c r="AR40" s="621"/>
      <c r="AS40" s="622"/>
      <c r="AT40" s="107"/>
      <c r="AU40" s="923" t="str">
        <f t="shared" si="0"/>
        <v/>
      </c>
      <c r="AV40" s="924"/>
      <c r="AW40" s="924"/>
      <c r="AX40" s="924"/>
      <c r="AY40" s="924"/>
      <c r="AZ40" s="924"/>
      <c r="BA40" s="924"/>
      <c r="BB40" s="924"/>
      <c r="BC40" s="924"/>
      <c r="BD40" s="925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</row>
    <row r="41" spans="1:106" ht="12" customHeight="1" x14ac:dyDescent="0.2">
      <c r="A41" s="926"/>
      <c r="B41" s="927"/>
      <c r="C41" s="927"/>
      <c r="D41" s="927"/>
      <c r="E41" s="927"/>
      <c r="F41" s="927"/>
      <c r="G41" s="927"/>
      <c r="H41" s="453"/>
      <c r="I41" s="453"/>
      <c r="J41" s="453"/>
      <c r="K41" s="453"/>
      <c r="L41" s="453"/>
      <c r="M41" s="453"/>
      <c r="N41" s="453"/>
      <c r="O41" s="453"/>
      <c r="P41" s="453"/>
      <c r="Q41" s="453"/>
      <c r="R41" s="453"/>
      <c r="S41" s="453"/>
      <c r="T41" s="638"/>
      <c r="U41" s="638"/>
      <c r="V41" s="638"/>
      <c r="W41" s="638"/>
      <c r="X41" s="638"/>
      <c r="Y41" s="638"/>
      <c r="Z41" s="638"/>
      <c r="AA41" s="638"/>
      <c r="AB41" s="638"/>
      <c r="AC41" s="638"/>
      <c r="AD41" s="638"/>
      <c r="AE41" s="638"/>
      <c r="AF41" s="400"/>
      <c r="AG41" s="400"/>
      <c r="AH41" s="400"/>
      <c r="AI41" s="401"/>
      <c r="AJ41" s="107"/>
      <c r="AK41" s="620" t="str">
        <f t="shared" si="1"/>
        <v/>
      </c>
      <c r="AL41" s="621"/>
      <c r="AM41" s="621"/>
      <c r="AN41" s="621" t="str">
        <f t="shared" si="2"/>
        <v/>
      </c>
      <c r="AO41" s="621"/>
      <c r="AP41" s="621"/>
      <c r="AQ41" s="621" t="str">
        <f t="shared" si="3"/>
        <v/>
      </c>
      <c r="AR41" s="621"/>
      <c r="AS41" s="622"/>
      <c r="AT41" s="107"/>
      <c r="AU41" s="923" t="str">
        <f t="shared" si="0"/>
        <v/>
      </c>
      <c r="AV41" s="924"/>
      <c r="AW41" s="924"/>
      <c r="AX41" s="924"/>
      <c r="AY41" s="924"/>
      <c r="AZ41" s="924"/>
      <c r="BA41" s="924"/>
      <c r="BB41" s="924"/>
      <c r="BC41" s="924"/>
      <c r="BD41" s="925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</row>
    <row r="42" spans="1:106" ht="12" customHeight="1" x14ac:dyDescent="0.2">
      <c r="A42" s="926"/>
      <c r="B42" s="927"/>
      <c r="C42" s="927"/>
      <c r="D42" s="927"/>
      <c r="E42" s="927"/>
      <c r="F42" s="927"/>
      <c r="G42" s="927"/>
      <c r="H42" s="453"/>
      <c r="I42" s="453"/>
      <c r="J42" s="453"/>
      <c r="K42" s="453"/>
      <c r="L42" s="453"/>
      <c r="M42" s="453"/>
      <c r="N42" s="453"/>
      <c r="O42" s="453"/>
      <c r="P42" s="453"/>
      <c r="Q42" s="453"/>
      <c r="R42" s="453"/>
      <c r="S42" s="453"/>
      <c r="T42" s="638"/>
      <c r="U42" s="638"/>
      <c r="V42" s="638"/>
      <c r="W42" s="638"/>
      <c r="X42" s="638"/>
      <c r="Y42" s="638"/>
      <c r="Z42" s="638"/>
      <c r="AA42" s="638"/>
      <c r="AB42" s="638"/>
      <c r="AC42" s="638"/>
      <c r="AD42" s="638"/>
      <c r="AE42" s="638"/>
      <c r="AF42" s="400"/>
      <c r="AG42" s="400"/>
      <c r="AH42" s="400"/>
      <c r="AI42" s="401"/>
      <c r="AJ42" s="107"/>
      <c r="AK42" s="620" t="str">
        <f t="shared" si="1"/>
        <v/>
      </c>
      <c r="AL42" s="621"/>
      <c r="AM42" s="621"/>
      <c r="AN42" s="621" t="str">
        <f t="shared" si="2"/>
        <v/>
      </c>
      <c r="AO42" s="621"/>
      <c r="AP42" s="621"/>
      <c r="AQ42" s="621" t="str">
        <f t="shared" si="3"/>
        <v/>
      </c>
      <c r="AR42" s="621"/>
      <c r="AS42" s="622"/>
      <c r="AT42" s="107"/>
      <c r="AU42" s="923" t="str">
        <f t="shared" si="0"/>
        <v/>
      </c>
      <c r="AV42" s="924"/>
      <c r="AW42" s="924"/>
      <c r="AX42" s="924"/>
      <c r="AY42" s="924"/>
      <c r="AZ42" s="924"/>
      <c r="BA42" s="924"/>
      <c r="BB42" s="924"/>
      <c r="BC42" s="924"/>
      <c r="BD42" s="925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7"/>
      <c r="CP42" s="107"/>
      <c r="CQ42" s="107"/>
      <c r="CR42" s="107"/>
      <c r="CS42" s="107"/>
      <c r="CT42" s="107"/>
      <c r="CU42" s="107"/>
      <c r="CV42" s="107"/>
      <c r="CW42" s="107"/>
      <c r="CX42" s="107"/>
      <c r="CY42" s="107"/>
      <c r="CZ42" s="107"/>
      <c r="DA42" s="107"/>
      <c r="DB42" s="107"/>
    </row>
    <row r="43" spans="1:106" ht="12" customHeight="1" x14ac:dyDescent="0.2">
      <c r="A43" s="926"/>
      <c r="B43" s="927"/>
      <c r="C43" s="927"/>
      <c r="D43" s="927"/>
      <c r="E43" s="927"/>
      <c r="F43" s="927"/>
      <c r="G43" s="927"/>
      <c r="H43" s="453"/>
      <c r="I43" s="453"/>
      <c r="J43" s="453"/>
      <c r="K43" s="453"/>
      <c r="L43" s="453"/>
      <c r="M43" s="453"/>
      <c r="N43" s="453"/>
      <c r="O43" s="453"/>
      <c r="P43" s="453"/>
      <c r="Q43" s="453"/>
      <c r="R43" s="453"/>
      <c r="S43" s="453"/>
      <c r="T43" s="638"/>
      <c r="U43" s="638"/>
      <c r="V43" s="638"/>
      <c r="W43" s="638"/>
      <c r="X43" s="638"/>
      <c r="Y43" s="638"/>
      <c r="Z43" s="638"/>
      <c r="AA43" s="638"/>
      <c r="AB43" s="638"/>
      <c r="AC43" s="638"/>
      <c r="AD43" s="638"/>
      <c r="AE43" s="638"/>
      <c r="AF43" s="400"/>
      <c r="AG43" s="400"/>
      <c r="AH43" s="400"/>
      <c r="AI43" s="401"/>
      <c r="AJ43" s="107"/>
      <c r="AK43" s="620" t="str">
        <f t="shared" si="1"/>
        <v/>
      </c>
      <c r="AL43" s="621"/>
      <c r="AM43" s="621"/>
      <c r="AN43" s="621" t="str">
        <f t="shared" si="2"/>
        <v/>
      </c>
      <c r="AO43" s="621"/>
      <c r="AP43" s="621"/>
      <c r="AQ43" s="621" t="str">
        <f t="shared" si="3"/>
        <v/>
      </c>
      <c r="AR43" s="621"/>
      <c r="AS43" s="622"/>
      <c r="AT43" s="107"/>
      <c r="AU43" s="923" t="str">
        <f t="shared" si="0"/>
        <v/>
      </c>
      <c r="AV43" s="924"/>
      <c r="AW43" s="924"/>
      <c r="AX43" s="924"/>
      <c r="AY43" s="924"/>
      <c r="AZ43" s="924"/>
      <c r="BA43" s="924"/>
      <c r="BB43" s="924"/>
      <c r="BC43" s="924"/>
      <c r="BD43" s="925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</row>
    <row r="44" spans="1:106" ht="12" customHeight="1" x14ac:dyDescent="0.2">
      <c r="A44" s="926"/>
      <c r="B44" s="927"/>
      <c r="C44" s="927"/>
      <c r="D44" s="927"/>
      <c r="E44" s="927"/>
      <c r="F44" s="927"/>
      <c r="G44" s="927"/>
      <c r="H44" s="453"/>
      <c r="I44" s="453"/>
      <c r="J44" s="453"/>
      <c r="K44" s="453"/>
      <c r="L44" s="453"/>
      <c r="M44" s="453"/>
      <c r="N44" s="453"/>
      <c r="O44" s="453"/>
      <c r="P44" s="453"/>
      <c r="Q44" s="453"/>
      <c r="R44" s="453"/>
      <c r="S44" s="453"/>
      <c r="T44" s="638"/>
      <c r="U44" s="638"/>
      <c r="V44" s="638"/>
      <c r="W44" s="638"/>
      <c r="X44" s="638"/>
      <c r="Y44" s="638"/>
      <c r="Z44" s="638"/>
      <c r="AA44" s="638"/>
      <c r="AB44" s="638"/>
      <c r="AC44" s="638"/>
      <c r="AD44" s="638"/>
      <c r="AE44" s="638"/>
      <c r="AF44" s="400"/>
      <c r="AG44" s="400"/>
      <c r="AH44" s="400"/>
      <c r="AI44" s="401"/>
      <c r="AJ44" s="107"/>
      <c r="AK44" s="620" t="str">
        <f t="shared" si="1"/>
        <v/>
      </c>
      <c r="AL44" s="621"/>
      <c r="AM44" s="621"/>
      <c r="AN44" s="621" t="str">
        <f t="shared" si="2"/>
        <v/>
      </c>
      <c r="AO44" s="621"/>
      <c r="AP44" s="621"/>
      <c r="AQ44" s="621" t="str">
        <f t="shared" si="3"/>
        <v/>
      </c>
      <c r="AR44" s="621"/>
      <c r="AS44" s="622"/>
      <c r="AT44" s="107"/>
      <c r="AU44" s="923" t="str">
        <f t="shared" si="0"/>
        <v/>
      </c>
      <c r="AV44" s="924"/>
      <c r="AW44" s="924"/>
      <c r="AX44" s="924"/>
      <c r="AY44" s="924"/>
      <c r="AZ44" s="924"/>
      <c r="BA44" s="924"/>
      <c r="BB44" s="924"/>
      <c r="BC44" s="924"/>
      <c r="BD44" s="925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</row>
    <row r="45" spans="1:106" ht="12" customHeight="1" x14ac:dyDescent="0.2">
      <c r="A45" s="926"/>
      <c r="B45" s="927"/>
      <c r="C45" s="927"/>
      <c r="D45" s="927"/>
      <c r="E45" s="927"/>
      <c r="F45" s="927"/>
      <c r="G45" s="927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53"/>
      <c r="S45" s="453"/>
      <c r="T45" s="638"/>
      <c r="U45" s="638"/>
      <c r="V45" s="638"/>
      <c r="W45" s="638"/>
      <c r="X45" s="638"/>
      <c r="Y45" s="638"/>
      <c r="Z45" s="638"/>
      <c r="AA45" s="638"/>
      <c r="AB45" s="638"/>
      <c r="AC45" s="638"/>
      <c r="AD45" s="638"/>
      <c r="AE45" s="638"/>
      <c r="AF45" s="400"/>
      <c r="AG45" s="400"/>
      <c r="AH45" s="400"/>
      <c r="AI45" s="401"/>
      <c r="AJ45" s="107"/>
      <c r="AK45" s="620" t="str">
        <f t="shared" si="1"/>
        <v/>
      </c>
      <c r="AL45" s="621"/>
      <c r="AM45" s="621"/>
      <c r="AN45" s="621" t="str">
        <f t="shared" si="2"/>
        <v/>
      </c>
      <c r="AO45" s="621"/>
      <c r="AP45" s="621"/>
      <c r="AQ45" s="621" t="str">
        <f t="shared" si="3"/>
        <v/>
      </c>
      <c r="AR45" s="621"/>
      <c r="AS45" s="622"/>
      <c r="AT45" s="107"/>
      <c r="AU45" s="923" t="str">
        <f t="shared" si="0"/>
        <v/>
      </c>
      <c r="AV45" s="924"/>
      <c r="AW45" s="924"/>
      <c r="AX45" s="924"/>
      <c r="AY45" s="924"/>
      <c r="AZ45" s="924"/>
      <c r="BA45" s="924"/>
      <c r="BB45" s="924"/>
      <c r="BC45" s="924"/>
      <c r="BD45" s="925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</row>
    <row r="46" spans="1:106" ht="12" customHeight="1" x14ac:dyDescent="0.2">
      <c r="A46" s="926"/>
      <c r="B46" s="927"/>
      <c r="C46" s="927"/>
      <c r="D46" s="927"/>
      <c r="E46" s="927"/>
      <c r="F46" s="927"/>
      <c r="G46" s="927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638"/>
      <c r="U46" s="638"/>
      <c r="V46" s="638"/>
      <c r="W46" s="638"/>
      <c r="X46" s="638"/>
      <c r="Y46" s="638"/>
      <c r="Z46" s="638"/>
      <c r="AA46" s="638"/>
      <c r="AB46" s="638"/>
      <c r="AC46" s="638"/>
      <c r="AD46" s="638"/>
      <c r="AE46" s="638"/>
      <c r="AF46" s="400"/>
      <c r="AG46" s="400"/>
      <c r="AH46" s="400"/>
      <c r="AI46" s="401"/>
      <c r="AJ46" s="107"/>
      <c r="AK46" s="620" t="str">
        <f t="shared" si="1"/>
        <v/>
      </c>
      <c r="AL46" s="621"/>
      <c r="AM46" s="621"/>
      <c r="AN46" s="621" t="str">
        <f t="shared" si="2"/>
        <v/>
      </c>
      <c r="AO46" s="621"/>
      <c r="AP46" s="621"/>
      <c r="AQ46" s="621" t="str">
        <f t="shared" si="3"/>
        <v/>
      </c>
      <c r="AR46" s="621"/>
      <c r="AS46" s="622"/>
      <c r="AT46" s="107"/>
      <c r="AU46" s="923" t="str">
        <f t="shared" si="0"/>
        <v/>
      </c>
      <c r="AV46" s="924"/>
      <c r="AW46" s="924"/>
      <c r="AX46" s="924"/>
      <c r="AY46" s="924"/>
      <c r="AZ46" s="924"/>
      <c r="BA46" s="924"/>
      <c r="BB46" s="924"/>
      <c r="BC46" s="924"/>
      <c r="BD46" s="925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  <c r="CI46" s="107"/>
      <c r="CJ46" s="107"/>
      <c r="CK46" s="107"/>
      <c r="CL46" s="107"/>
      <c r="CM46" s="107"/>
      <c r="CN46" s="107"/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B46" s="107"/>
    </row>
    <row r="47" spans="1:106" ht="12" customHeight="1" x14ac:dyDescent="0.2">
      <c r="A47" s="926"/>
      <c r="B47" s="927"/>
      <c r="C47" s="927"/>
      <c r="D47" s="927"/>
      <c r="E47" s="927"/>
      <c r="F47" s="927"/>
      <c r="G47" s="927"/>
      <c r="H47" s="453"/>
      <c r="I47" s="453"/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638"/>
      <c r="U47" s="638"/>
      <c r="V47" s="638"/>
      <c r="W47" s="638"/>
      <c r="X47" s="638"/>
      <c r="Y47" s="638"/>
      <c r="Z47" s="638"/>
      <c r="AA47" s="638"/>
      <c r="AB47" s="638"/>
      <c r="AC47" s="638"/>
      <c r="AD47" s="638"/>
      <c r="AE47" s="638"/>
      <c r="AF47" s="400"/>
      <c r="AG47" s="400"/>
      <c r="AH47" s="400"/>
      <c r="AI47" s="401"/>
      <c r="AJ47" s="107"/>
      <c r="AK47" s="620" t="str">
        <f t="shared" si="1"/>
        <v/>
      </c>
      <c r="AL47" s="621"/>
      <c r="AM47" s="621"/>
      <c r="AN47" s="621" t="str">
        <f t="shared" si="2"/>
        <v/>
      </c>
      <c r="AO47" s="621"/>
      <c r="AP47" s="621"/>
      <c r="AQ47" s="621" t="str">
        <f t="shared" si="3"/>
        <v/>
      </c>
      <c r="AR47" s="621"/>
      <c r="AS47" s="622"/>
      <c r="AT47" s="107"/>
      <c r="AU47" s="923" t="str">
        <f t="shared" si="0"/>
        <v/>
      </c>
      <c r="AV47" s="924"/>
      <c r="AW47" s="924"/>
      <c r="AX47" s="924"/>
      <c r="AY47" s="924"/>
      <c r="AZ47" s="924"/>
      <c r="BA47" s="924"/>
      <c r="BB47" s="924"/>
      <c r="BC47" s="924"/>
      <c r="BD47" s="925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  <c r="BV47" s="107"/>
      <c r="BW47" s="107"/>
      <c r="BX47" s="107"/>
      <c r="BY47" s="107"/>
      <c r="BZ47" s="107"/>
      <c r="CA47" s="107"/>
      <c r="CB47" s="107"/>
      <c r="CC47" s="107"/>
      <c r="CD47" s="107"/>
      <c r="CE47" s="107"/>
      <c r="CF47" s="107"/>
      <c r="CG47" s="107"/>
      <c r="CH47" s="107"/>
      <c r="CI47" s="107"/>
      <c r="CJ47" s="107"/>
      <c r="CK47" s="107"/>
      <c r="CL47" s="107"/>
      <c r="CM47" s="107"/>
      <c r="CN47" s="107"/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B47" s="107"/>
    </row>
    <row r="48" spans="1:106" ht="12" customHeight="1" x14ac:dyDescent="0.2">
      <c r="A48" s="926"/>
      <c r="B48" s="927"/>
      <c r="C48" s="927"/>
      <c r="D48" s="927"/>
      <c r="E48" s="927"/>
      <c r="F48" s="927"/>
      <c r="G48" s="927"/>
      <c r="H48" s="453"/>
      <c r="I48" s="453"/>
      <c r="J48" s="453"/>
      <c r="K48" s="453"/>
      <c r="L48" s="453"/>
      <c r="M48" s="453"/>
      <c r="N48" s="453"/>
      <c r="O48" s="453"/>
      <c r="P48" s="453"/>
      <c r="Q48" s="453"/>
      <c r="R48" s="453"/>
      <c r="S48" s="453"/>
      <c r="T48" s="638"/>
      <c r="U48" s="638"/>
      <c r="V48" s="638"/>
      <c r="W48" s="638"/>
      <c r="X48" s="638"/>
      <c r="Y48" s="638"/>
      <c r="Z48" s="638"/>
      <c r="AA48" s="638"/>
      <c r="AB48" s="638"/>
      <c r="AC48" s="638"/>
      <c r="AD48" s="638"/>
      <c r="AE48" s="638"/>
      <c r="AF48" s="400"/>
      <c r="AG48" s="400"/>
      <c r="AH48" s="400"/>
      <c r="AI48" s="401"/>
      <c r="AJ48" s="107"/>
      <c r="AK48" s="620" t="str">
        <f t="shared" si="1"/>
        <v/>
      </c>
      <c r="AL48" s="621"/>
      <c r="AM48" s="621"/>
      <c r="AN48" s="621" t="str">
        <f t="shared" si="2"/>
        <v/>
      </c>
      <c r="AO48" s="621"/>
      <c r="AP48" s="621"/>
      <c r="AQ48" s="621" t="str">
        <f t="shared" si="3"/>
        <v/>
      </c>
      <c r="AR48" s="621"/>
      <c r="AS48" s="622"/>
      <c r="AT48" s="107"/>
      <c r="AU48" s="923" t="str">
        <f t="shared" si="0"/>
        <v/>
      </c>
      <c r="AV48" s="924"/>
      <c r="AW48" s="924"/>
      <c r="AX48" s="924"/>
      <c r="AY48" s="924"/>
      <c r="AZ48" s="924"/>
      <c r="BA48" s="924"/>
      <c r="BB48" s="924"/>
      <c r="BC48" s="924"/>
      <c r="BD48" s="925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  <c r="CJ48" s="107"/>
      <c r="CK48" s="107"/>
      <c r="CL48" s="107"/>
      <c r="CM48" s="107"/>
      <c r="CN48" s="107"/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B48" s="107"/>
    </row>
    <row r="49" spans="1:106" ht="12" customHeight="1" x14ac:dyDescent="0.2">
      <c r="A49" s="926"/>
      <c r="B49" s="927"/>
      <c r="C49" s="927"/>
      <c r="D49" s="927"/>
      <c r="E49" s="927"/>
      <c r="F49" s="927"/>
      <c r="G49" s="927"/>
      <c r="H49" s="453"/>
      <c r="I49" s="453"/>
      <c r="J49" s="453"/>
      <c r="K49" s="453"/>
      <c r="L49" s="453"/>
      <c r="M49" s="453"/>
      <c r="N49" s="453"/>
      <c r="O49" s="453"/>
      <c r="P49" s="453"/>
      <c r="Q49" s="453"/>
      <c r="R49" s="453"/>
      <c r="S49" s="453"/>
      <c r="T49" s="638"/>
      <c r="U49" s="638"/>
      <c r="V49" s="638"/>
      <c r="W49" s="638"/>
      <c r="X49" s="638"/>
      <c r="Y49" s="638"/>
      <c r="Z49" s="638"/>
      <c r="AA49" s="638"/>
      <c r="AB49" s="638"/>
      <c r="AC49" s="638"/>
      <c r="AD49" s="638"/>
      <c r="AE49" s="638"/>
      <c r="AF49" s="400"/>
      <c r="AG49" s="400"/>
      <c r="AH49" s="400"/>
      <c r="AI49" s="401"/>
      <c r="AJ49" s="107"/>
      <c r="AK49" s="620" t="str">
        <f t="shared" si="1"/>
        <v/>
      </c>
      <c r="AL49" s="621"/>
      <c r="AM49" s="621"/>
      <c r="AN49" s="621" t="str">
        <f t="shared" si="2"/>
        <v/>
      </c>
      <c r="AO49" s="621"/>
      <c r="AP49" s="621"/>
      <c r="AQ49" s="621" t="str">
        <f t="shared" si="3"/>
        <v/>
      </c>
      <c r="AR49" s="621"/>
      <c r="AS49" s="622"/>
      <c r="AT49" s="107"/>
      <c r="AU49" s="923" t="str">
        <f t="shared" si="0"/>
        <v/>
      </c>
      <c r="AV49" s="924"/>
      <c r="AW49" s="924"/>
      <c r="AX49" s="924"/>
      <c r="AY49" s="924"/>
      <c r="AZ49" s="924"/>
      <c r="BA49" s="924"/>
      <c r="BB49" s="924"/>
      <c r="BC49" s="924"/>
      <c r="BD49" s="925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  <c r="BV49" s="107"/>
      <c r="BW49" s="107"/>
      <c r="BX49" s="107"/>
      <c r="BY49" s="107"/>
      <c r="BZ49" s="107"/>
      <c r="CA49" s="107"/>
      <c r="CB49" s="107"/>
      <c r="CC49" s="107"/>
      <c r="CD49" s="107"/>
      <c r="CE49" s="107"/>
      <c r="CF49" s="107"/>
      <c r="CG49" s="107"/>
      <c r="CH49" s="107"/>
      <c r="CI49" s="107"/>
      <c r="CJ49" s="107"/>
      <c r="CK49" s="107"/>
      <c r="CL49" s="107"/>
      <c r="CM49" s="107"/>
      <c r="CN49" s="107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B49" s="107"/>
    </row>
    <row r="50" spans="1:106" ht="12" customHeight="1" x14ac:dyDescent="0.2">
      <c r="A50" s="926"/>
      <c r="B50" s="927"/>
      <c r="C50" s="927"/>
      <c r="D50" s="927"/>
      <c r="E50" s="927"/>
      <c r="F50" s="927"/>
      <c r="G50" s="927"/>
      <c r="H50" s="453"/>
      <c r="I50" s="453"/>
      <c r="J50" s="453"/>
      <c r="K50" s="453"/>
      <c r="L50" s="453"/>
      <c r="M50" s="453"/>
      <c r="N50" s="453"/>
      <c r="O50" s="453"/>
      <c r="P50" s="453"/>
      <c r="Q50" s="453"/>
      <c r="R50" s="453"/>
      <c r="S50" s="453"/>
      <c r="T50" s="638"/>
      <c r="U50" s="638"/>
      <c r="V50" s="638"/>
      <c r="W50" s="638"/>
      <c r="X50" s="638"/>
      <c r="Y50" s="638"/>
      <c r="Z50" s="638"/>
      <c r="AA50" s="638"/>
      <c r="AB50" s="638"/>
      <c r="AC50" s="638"/>
      <c r="AD50" s="638"/>
      <c r="AE50" s="638"/>
      <c r="AF50" s="400"/>
      <c r="AG50" s="400"/>
      <c r="AH50" s="400"/>
      <c r="AI50" s="401"/>
      <c r="AJ50" s="107"/>
      <c r="AK50" s="620" t="str">
        <f t="shared" si="1"/>
        <v/>
      </c>
      <c r="AL50" s="621"/>
      <c r="AM50" s="621"/>
      <c r="AN50" s="621" t="str">
        <f t="shared" si="2"/>
        <v/>
      </c>
      <c r="AO50" s="621"/>
      <c r="AP50" s="621"/>
      <c r="AQ50" s="621" t="str">
        <f t="shared" si="3"/>
        <v/>
      </c>
      <c r="AR50" s="621"/>
      <c r="AS50" s="622"/>
      <c r="AT50" s="107"/>
      <c r="AU50" s="923" t="str">
        <f t="shared" si="0"/>
        <v/>
      </c>
      <c r="AV50" s="924"/>
      <c r="AW50" s="924"/>
      <c r="AX50" s="924"/>
      <c r="AY50" s="924"/>
      <c r="AZ50" s="924"/>
      <c r="BA50" s="924"/>
      <c r="BB50" s="924"/>
      <c r="BC50" s="924"/>
      <c r="BD50" s="925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107"/>
      <c r="CH50" s="107"/>
      <c r="CI50" s="107"/>
      <c r="CJ50" s="107"/>
      <c r="CK50" s="107"/>
      <c r="CL50" s="107"/>
      <c r="CM50" s="107"/>
      <c r="CN50" s="107"/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B50" s="107"/>
    </row>
    <row r="51" spans="1:106" ht="12" customHeight="1" x14ac:dyDescent="0.2">
      <c r="A51" s="926"/>
      <c r="B51" s="927"/>
      <c r="C51" s="927"/>
      <c r="D51" s="927"/>
      <c r="E51" s="927"/>
      <c r="F51" s="927"/>
      <c r="G51" s="927"/>
      <c r="H51" s="453"/>
      <c r="I51" s="453"/>
      <c r="J51" s="453"/>
      <c r="K51" s="453"/>
      <c r="L51" s="453"/>
      <c r="M51" s="453"/>
      <c r="N51" s="453"/>
      <c r="O51" s="453"/>
      <c r="P51" s="453"/>
      <c r="Q51" s="453"/>
      <c r="R51" s="453"/>
      <c r="S51" s="453"/>
      <c r="T51" s="638"/>
      <c r="U51" s="638"/>
      <c r="V51" s="638"/>
      <c r="W51" s="638"/>
      <c r="X51" s="638"/>
      <c r="Y51" s="638"/>
      <c r="Z51" s="638"/>
      <c r="AA51" s="638"/>
      <c r="AB51" s="638"/>
      <c r="AC51" s="638"/>
      <c r="AD51" s="638"/>
      <c r="AE51" s="638"/>
      <c r="AF51" s="400"/>
      <c r="AG51" s="400"/>
      <c r="AH51" s="400"/>
      <c r="AI51" s="401"/>
      <c r="AJ51" s="107"/>
      <c r="AK51" s="620" t="str">
        <f t="shared" si="1"/>
        <v/>
      </c>
      <c r="AL51" s="621"/>
      <c r="AM51" s="621"/>
      <c r="AN51" s="621" t="str">
        <f t="shared" si="2"/>
        <v/>
      </c>
      <c r="AO51" s="621"/>
      <c r="AP51" s="621"/>
      <c r="AQ51" s="621" t="str">
        <f t="shared" si="3"/>
        <v/>
      </c>
      <c r="AR51" s="621"/>
      <c r="AS51" s="622"/>
      <c r="AT51" s="107"/>
      <c r="AU51" s="923" t="str">
        <f t="shared" si="0"/>
        <v/>
      </c>
      <c r="AV51" s="924"/>
      <c r="AW51" s="924"/>
      <c r="AX51" s="924"/>
      <c r="AY51" s="924"/>
      <c r="AZ51" s="924"/>
      <c r="BA51" s="924"/>
      <c r="BB51" s="924"/>
      <c r="BC51" s="924"/>
      <c r="BD51" s="925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</row>
    <row r="52" spans="1:106" ht="12" customHeight="1" x14ac:dyDescent="0.2">
      <c r="A52" s="926"/>
      <c r="B52" s="927"/>
      <c r="C52" s="927"/>
      <c r="D52" s="927"/>
      <c r="E52" s="927"/>
      <c r="F52" s="927"/>
      <c r="G52" s="927"/>
      <c r="H52" s="453"/>
      <c r="I52" s="453"/>
      <c r="J52" s="453"/>
      <c r="K52" s="453"/>
      <c r="L52" s="453"/>
      <c r="M52" s="453"/>
      <c r="N52" s="453"/>
      <c r="O52" s="453"/>
      <c r="P52" s="453"/>
      <c r="Q52" s="453"/>
      <c r="R52" s="453"/>
      <c r="S52" s="453"/>
      <c r="T52" s="638"/>
      <c r="U52" s="638"/>
      <c r="V52" s="638"/>
      <c r="W52" s="638"/>
      <c r="X52" s="638"/>
      <c r="Y52" s="638"/>
      <c r="Z52" s="638"/>
      <c r="AA52" s="638"/>
      <c r="AB52" s="638"/>
      <c r="AC52" s="638"/>
      <c r="AD52" s="638"/>
      <c r="AE52" s="638"/>
      <c r="AF52" s="400"/>
      <c r="AG52" s="400"/>
      <c r="AH52" s="400"/>
      <c r="AI52" s="401"/>
      <c r="AJ52" s="107"/>
      <c r="AK52" s="620" t="str">
        <f t="shared" si="1"/>
        <v/>
      </c>
      <c r="AL52" s="621"/>
      <c r="AM52" s="621"/>
      <c r="AN52" s="621" t="str">
        <f t="shared" si="2"/>
        <v/>
      </c>
      <c r="AO52" s="621"/>
      <c r="AP52" s="621"/>
      <c r="AQ52" s="621" t="str">
        <f t="shared" si="3"/>
        <v/>
      </c>
      <c r="AR52" s="621"/>
      <c r="AS52" s="622"/>
      <c r="AT52" s="107"/>
      <c r="AU52" s="923" t="str">
        <f t="shared" si="0"/>
        <v/>
      </c>
      <c r="AV52" s="924"/>
      <c r="AW52" s="924"/>
      <c r="AX52" s="924"/>
      <c r="AY52" s="924"/>
      <c r="AZ52" s="924"/>
      <c r="BA52" s="924"/>
      <c r="BB52" s="924"/>
      <c r="BC52" s="924"/>
      <c r="BD52" s="925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B52" s="107"/>
    </row>
    <row r="53" spans="1:106" ht="12" customHeight="1" thickBot="1" x14ac:dyDescent="0.25">
      <c r="A53" s="618" t="s">
        <v>379</v>
      </c>
      <c r="B53" s="619"/>
      <c r="C53" s="619"/>
      <c r="D53" s="619"/>
      <c r="E53" s="619"/>
      <c r="F53" s="619"/>
      <c r="G53" s="619"/>
      <c r="H53" s="619"/>
      <c r="I53" s="619"/>
      <c r="J53" s="619"/>
      <c r="K53" s="619"/>
      <c r="L53" s="619"/>
      <c r="M53" s="619"/>
      <c r="N53" s="619"/>
      <c r="O53" s="619"/>
      <c r="P53" s="619"/>
      <c r="Q53" s="350" t="str">
        <f>IF(SUM(Q33:S52)&lt;&gt;0,SUM(Q33:S52),"")</f>
        <v/>
      </c>
      <c r="R53" s="350"/>
      <c r="S53" s="350"/>
      <c r="T53" s="350" t="str">
        <f>IF(SUM(T33:V52)&lt;&gt;0,SUM(T33:V52),"")</f>
        <v/>
      </c>
      <c r="U53" s="350"/>
      <c r="V53" s="350"/>
      <c r="W53" s="350" t="str">
        <f>IF(SUM(W33:Y52)&lt;&gt;0,SUM(W33:Y52),"")</f>
        <v/>
      </c>
      <c r="X53" s="350"/>
      <c r="Y53" s="350"/>
      <c r="Z53" s="350" t="str">
        <f>IF(SUM(Z33:AB52)&lt;&gt;0,SUM(Z33:AB52),"")</f>
        <v/>
      </c>
      <c r="AA53" s="350"/>
      <c r="AB53" s="350"/>
      <c r="AC53" s="350" t="str">
        <f>IF(SUM(AC33:AE52)&lt;&gt;0,SUM(AC33:AE52),"")</f>
        <v/>
      </c>
      <c r="AD53" s="350"/>
      <c r="AE53" s="350"/>
      <c r="AF53" s="616"/>
      <c r="AG53" s="616"/>
      <c r="AH53" s="616"/>
      <c r="AI53" s="617"/>
      <c r="AJ53" s="107"/>
      <c r="AK53" s="1026" t="str">
        <f>IFERROR((T53/Q53),"")</f>
        <v/>
      </c>
      <c r="AL53" s="1027"/>
      <c r="AM53" s="1028"/>
      <c r="AN53" s="624"/>
      <c r="AO53" s="624"/>
      <c r="AP53" s="624"/>
      <c r="AQ53" s="624"/>
      <c r="AR53" s="624"/>
      <c r="AS53" s="625"/>
      <c r="AT53" s="107"/>
      <c r="AU53" s="917" t="str">
        <f t="shared" si="0"/>
        <v/>
      </c>
      <c r="AV53" s="918"/>
      <c r="AW53" s="918"/>
      <c r="AX53" s="918"/>
      <c r="AY53" s="918"/>
      <c r="AZ53" s="918"/>
      <c r="BA53" s="918"/>
      <c r="BB53" s="918"/>
      <c r="BC53" s="918"/>
      <c r="BD53" s="919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7"/>
      <c r="BX53" s="107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7"/>
      <c r="CJ53" s="107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B53" s="107"/>
    </row>
    <row r="54" spans="1:106" ht="12" customHeight="1" x14ac:dyDescent="0.2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  <c r="BV54" s="107"/>
      <c r="BW54" s="107"/>
      <c r="BX54" s="107"/>
      <c r="BY54" s="107"/>
      <c r="BZ54" s="107"/>
      <c r="CA54" s="107"/>
      <c r="CB54" s="107"/>
      <c r="CC54" s="107"/>
      <c r="CD54" s="107"/>
      <c r="CE54" s="107"/>
      <c r="CF54" s="107"/>
      <c r="CG54" s="107"/>
      <c r="CH54" s="107"/>
      <c r="CI54" s="107"/>
      <c r="CJ54" s="107"/>
      <c r="CK54" s="107"/>
      <c r="CL54" s="107"/>
      <c r="CM54" s="107"/>
      <c r="CN54" s="107"/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B54" s="107"/>
    </row>
    <row r="55" spans="1:106" ht="12" customHeight="1" x14ac:dyDescent="0.2">
      <c r="A55" s="42" t="s">
        <v>262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7"/>
      <c r="BX55" s="107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7"/>
      <c r="CJ55" s="107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B55" s="107"/>
    </row>
    <row r="56" spans="1:106" ht="12" customHeight="1" x14ac:dyDescent="0.2">
      <c r="A56" s="84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  <c r="BV56" s="107"/>
      <c r="BW56" s="107"/>
      <c r="BX56" s="107"/>
      <c r="BY56" s="107"/>
      <c r="BZ56" s="107"/>
      <c r="CA56" s="107"/>
      <c r="CB56" s="107"/>
      <c r="CC56" s="107"/>
      <c r="CD56" s="107"/>
      <c r="CE56" s="107"/>
      <c r="CF56" s="107"/>
      <c r="CG56" s="107"/>
      <c r="CH56" s="107"/>
      <c r="CI56" s="107"/>
      <c r="CJ56" s="107"/>
      <c r="CK56" s="107"/>
      <c r="CL56" s="107"/>
      <c r="CM56" s="107"/>
      <c r="CN56" s="107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B56" s="107"/>
    </row>
    <row r="57" spans="1:106" ht="12" customHeight="1" x14ac:dyDescent="0.2">
      <c r="A57" s="84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107"/>
      <c r="CA57" s="107"/>
      <c r="CB57" s="107"/>
      <c r="CC57" s="107"/>
      <c r="CD57" s="107"/>
      <c r="CE57" s="107"/>
      <c r="CF57" s="107"/>
      <c r="CG57" s="107"/>
      <c r="CH57" s="107"/>
      <c r="CI57" s="107"/>
      <c r="CJ57" s="107"/>
      <c r="CK57" s="107"/>
      <c r="CL57" s="107"/>
      <c r="CM57" s="107"/>
      <c r="CN57" s="107"/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B57" s="107"/>
    </row>
    <row r="58" spans="1:106" ht="12" customHeight="1" x14ac:dyDescent="0.2">
      <c r="A58" s="84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  <c r="CG58" s="107"/>
      <c r="CH58" s="107"/>
      <c r="CI58" s="107"/>
      <c r="CJ58" s="107"/>
      <c r="CK58" s="107"/>
      <c r="CL58" s="107"/>
      <c r="CM58" s="107"/>
      <c r="CN58" s="107"/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B58" s="107"/>
    </row>
    <row r="59" spans="1:106" ht="12" customHeight="1" x14ac:dyDescent="0.2">
      <c r="A59" s="84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  <c r="BV59" s="107"/>
      <c r="BW59" s="107"/>
      <c r="BX59" s="107"/>
      <c r="BY59" s="107"/>
      <c r="BZ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B59" s="107"/>
    </row>
    <row r="60" spans="1:106" ht="12" customHeight="1" x14ac:dyDescent="0.2">
      <c r="A60" s="84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B60" s="107"/>
    </row>
    <row r="61" spans="1:106" ht="12" customHeight="1" x14ac:dyDescent="0.2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B61" s="107"/>
    </row>
    <row r="62" spans="1:106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B62" s="107"/>
    </row>
  </sheetData>
  <mergeCells count="414">
    <mergeCell ref="AJ1:DB1"/>
    <mergeCell ref="M5:AI5"/>
    <mergeCell ref="A7:E7"/>
    <mergeCell ref="F7:P7"/>
    <mergeCell ref="T7:X7"/>
    <mergeCell ref="Y7:AI7"/>
    <mergeCell ref="AK7:BK8"/>
    <mergeCell ref="BL7:DA7"/>
    <mergeCell ref="AK10:AL10"/>
    <mergeCell ref="AM10:AN10"/>
    <mergeCell ref="A11:P11"/>
    <mergeCell ref="T11:AI11"/>
    <mergeCell ref="AK11:AL11"/>
    <mergeCell ref="AM11:AN11"/>
    <mergeCell ref="A9:E9"/>
    <mergeCell ref="F9:P9"/>
    <mergeCell ref="T9:X9"/>
    <mergeCell ref="Y9:AI9"/>
    <mergeCell ref="AK9:AL9"/>
    <mergeCell ref="AM9:AN9"/>
    <mergeCell ref="AM12:AN12"/>
    <mergeCell ref="A13:F13"/>
    <mergeCell ref="G13:K13"/>
    <mergeCell ref="M13:P13"/>
    <mergeCell ref="T13:Y13"/>
    <mergeCell ref="Z13:AD13"/>
    <mergeCell ref="AE13:AI13"/>
    <mergeCell ref="AK13:AL13"/>
    <mergeCell ref="AM13:AN13"/>
    <mergeCell ref="A12:F12"/>
    <mergeCell ref="G12:P12"/>
    <mergeCell ref="T12:Y12"/>
    <mergeCell ref="Z12:AD12"/>
    <mergeCell ref="AE12:AI12"/>
    <mergeCell ref="AK12:AL12"/>
    <mergeCell ref="AM14:AN14"/>
    <mergeCell ref="A15:F15"/>
    <mergeCell ref="G15:P15"/>
    <mergeCell ref="AK15:AL15"/>
    <mergeCell ref="AM15:AN15"/>
    <mergeCell ref="A16:F16"/>
    <mergeCell ref="G16:P16"/>
    <mergeCell ref="AK16:AL16"/>
    <mergeCell ref="AM16:AN16"/>
    <mergeCell ref="A14:F14"/>
    <mergeCell ref="G14:P14"/>
    <mergeCell ref="T14:Y14"/>
    <mergeCell ref="Z14:AD14"/>
    <mergeCell ref="AE14:AI14"/>
    <mergeCell ref="AK14:AL14"/>
    <mergeCell ref="A19:F19"/>
    <mergeCell ref="G19:P19"/>
    <mergeCell ref="AK19:AL19"/>
    <mergeCell ref="AM19:AN19"/>
    <mergeCell ref="A20:F20"/>
    <mergeCell ref="G20:P20"/>
    <mergeCell ref="AK20:AL20"/>
    <mergeCell ref="AM20:AN20"/>
    <mergeCell ref="A17:F17"/>
    <mergeCell ref="G17:P17"/>
    <mergeCell ref="AK17:AL17"/>
    <mergeCell ref="AM17:AN17"/>
    <mergeCell ref="A18:F18"/>
    <mergeCell ref="G18:P18"/>
    <mergeCell ref="AK18:AL18"/>
    <mergeCell ref="AM18:AN18"/>
    <mergeCell ref="AK23:AL23"/>
    <mergeCell ref="AM23:AN23"/>
    <mergeCell ref="BN23:BO23"/>
    <mergeCell ref="AK24:AL24"/>
    <mergeCell ref="AM24:AN24"/>
    <mergeCell ref="AV28:BC28"/>
    <mergeCell ref="BF28:BT28"/>
    <mergeCell ref="BM20:BO20"/>
    <mergeCell ref="AK21:AL21"/>
    <mergeCell ref="AM21:AN21"/>
    <mergeCell ref="BN21:BO21"/>
    <mergeCell ref="AK22:AL22"/>
    <mergeCell ref="AM22:AN22"/>
    <mergeCell ref="BN22:BO22"/>
    <mergeCell ref="AV29:BA29"/>
    <mergeCell ref="BB29:BC29"/>
    <mergeCell ref="BF29:BJ29"/>
    <mergeCell ref="BK29:BO29"/>
    <mergeCell ref="BP29:BT29"/>
    <mergeCell ref="AK30:AS32"/>
    <mergeCell ref="AV30:BA30"/>
    <mergeCell ref="BB30:BC30"/>
    <mergeCell ref="BF30:BJ30"/>
    <mergeCell ref="BK30:BO30"/>
    <mergeCell ref="BP30:BT30"/>
    <mergeCell ref="AF31:AI32"/>
    <mergeCell ref="BF31:BJ31"/>
    <mergeCell ref="BK31:BO31"/>
    <mergeCell ref="BP31:BT31"/>
    <mergeCell ref="AU32:BD32"/>
    <mergeCell ref="BF32:BJ32"/>
    <mergeCell ref="BK32:BO32"/>
    <mergeCell ref="BP32:BT32"/>
    <mergeCell ref="W32:Y32"/>
    <mergeCell ref="Z32:AB32"/>
    <mergeCell ref="H32:J32"/>
    <mergeCell ref="K32:M32"/>
    <mergeCell ref="N32:P32"/>
    <mergeCell ref="T32:V32"/>
    <mergeCell ref="A31:G32"/>
    <mergeCell ref="H31:P31"/>
    <mergeCell ref="Q31:S32"/>
    <mergeCell ref="T31:AB31"/>
    <mergeCell ref="AC31:AE32"/>
    <mergeCell ref="A34:G34"/>
    <mergeCell ref="H34:J34"/>
    <mergeCell ref="K34:M34"/>
    <mergeCell ref="N34:P34"/>
    <mergeCell ref="Q34:S34"/>
    <mergeCell ref="W33:Y33"/>
    <mergeCell ref="Z33:AB33"/>
    <mergeCell ref="AC33:AE33"/>
    <mergeCell ref="AF33:AI33"/>
    <mergeCell ref="A33:G33"/>
    <mergeCell ref="H33:J33"/>
    <mergeCell ref="K33:M33"/>
    <mergeCell ref="N33:P33"/>
    <mergeCell ref="Q33:S33"/>
    <mergeCell ref="T33:V33"/>
    <mergeCell ref="BP34:BT34"/>
    <mergeCell ref="T34:V34"/>
    <mergeCell ref="W34:Y34"/>
    <mergeCell ref="Z34:AB34"/>
    <mergeCell ref="AC34:AE34"/>
    <mergeCell ref="AF34:AI34"/>
    <mergeCell ref="AK34:AM34"/>
    <mergeCell ref="AQ33:AS33"/>
    <mergeCell ref="AU33:BD33"/>
    <mergeCell ref="BF33:BJ33"/>
    <mergeCell ref="BK33:BO33"/>
    <mergeCell ref="BP33:BT33"/>
    <mergeCell ref="AK33:AM33"/>
    <mergeCell ref="AN33:AP33"/>
    <mergeCell ref="K35:M35"/>
    <mergeCell ref="N35:P35"/>
    <mergeCell ref="Q35:S35"/>
    <mergeCell ref="T35:V35"/>
    <mergeCell ref="AN34:AP34"/>
    <mergeCell ref="AQ34:AS34"/>
    <mergeCell ref="AU34:BD34"/>
    <mergeCell ref="BF34:BJ34"/>
    <mergeCell ref="BK34:BO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C35:AE35"/>
    <mergeCell ref="AF35:AI35"/>
    <mergeCell ref="AK35:AM35"/>
    <mergeCell ref="AN35:AP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V62:AI62 E62:K62 Z13:Z14 AE14 G18:P20 G14:P16 G13:K13 G12:P12 Y9:AI9 Y7:AI7 F9:P9 F7:P7">
    <cfRule type="containsBlanks" dxfId="111" priority="11">
      <formula>LEN(TRIM(E7))=0</formula>
    </cfRule>
  </conditionalFormatting>
  <conditionalFormatting sqref="Q53:AE53">
    <cfRule type="containsText" dxfId="110" priority="10" operator="containsText" text="CALC.">
      <formula>NOT(ISERROR(SEARCH("CALC.",Q53)))</formula>
    </cfRule>
  </conditionalFormatting>
  <conditionalFormatting sqref="A33:S52">
    <cfRule type="notContainsBlanks" dxfId="109" priority="8">
      <formula>LEN(TRIM(A33))&gt;0</formula>
    </cfRule>
    <cfRule type="expression" dxfId="108" priority="9">
      <formula>NOT(ISBLANK($H33))</formula>
    </cfRule>
  </conditionalFormatting>
  <conditionalFormatting sqref="AK9:BK24">
    <cfRule type="expression" dxfId="107" priority="7">
      <formula>NOT(ISBLANK($AK9))</formula>
    </cfRule>
  </conditionalFormatting>
  <conditionalFormatting sqref="T33:AC52">
    <cfRule type="notContainsBlanks" dxfId="106" priority="5">
      <formula>LEN(TRIM(T33))&gt;0</formula>
    </cfRule>
    <cfRule type="expression" dxfId="105" priority="6">
      <formula>NOT(ISBLANK($H33))</formula>
    </cfRule>
  </conditionalFormatting>
  <conditionalFormatting sqref="T33:AB52">
    <cfRule type="expression" dxfId="104" priority="4">
      <formula>$AC33&lt;&gt;""</formula>
    </cfRule>
  </conditionalFormatting>
  <conditionalFormatting sqref="AU33:BD53">
    <cfRule type="notContainsBlanks" dxfId="103" priority="3">
      <formula>LEN(TRIM(AU33))&gt;0</formula>
    </cfRule>
  </conditionalFormatting>
  <conditionalFormatting sqref="BB29:BC30">
    <cfRule type="containsBlanks" dxfId="102" priority="2">
      <formula>LEN(TRIM(BB29))=0</formula>
    </cfRule>
  </conditionalFormatting>
  <conditionalFormatting sqref="M13:P13">
    <cfRule type="containsBlanks" dxfId="101" priority="1">
      <formula>LEN(TRIM(M13))=0</formula>
    </cfRule>
  </conditionalFormatting>
  <dataValidations count="4">
    <dataValidation type="list" allowBlank="1" showInputMessage="1" sqref="M13:P13" xr:uid="{3D716FD9-A35D-47B9-B4A0-65243C790183}">
      <formula1>"Rectangular,Round, Oval"</formula1>
    </dataValidation>
    <dataValidation type="whole" allowBlank="1" showInputMessage="1" showErrorMessage="1" error="This Remarks section is limited to 5." sqref="A56:A60" xr:uid="{7DE48E11-E071-4E3D-86E3-E2868C82955D}">
      <formula1>1</formula1>
      <formula2>5</formula2>
    </dataValidation>
    <dataValidation type="list" allowBlank="1" showInputMessage="1" sqref="G13:K13" xr:uid="{DD5DE045-EA6F-4C6B-84DF-0561C8E56AA8}">
      <formula1>"4,5,6,7,8,9,10,11,12,13,14,15,16,17,18,19,20"</formula1>
    </dataValidation>
    <dataValidation type="list" allowBlank="1" showInputMessage="1" sqref="G15:P15" xr:uid="{1BA044CD-E0D7-4743-940B-6BFF41C1EB2F}">
      <formula1>"HDT,HBT,VBT,VDT"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436F5-B57B-4D93-A214-5B934BA64138}">
  <sheetPr codeName="Sheet36">
    <pageSetUpPr fitToPage="1"/>
  </sheetPr>
  <dimension ref="A1:DB62"/>
  <sheetViews>
    <sheetView zoomScaleNormal="100" zoomScalePageLayoutView="172" workbookViewId="0">
      <selection activeCell="AD24" sqref="AD24"/>
    </sheetView>
  </sheetViews>
  <sheetFormatPr defaultColWidth="0" defaultRowHeight="0" customHeight="1" zeroHeight="1" x14ac:dyDescent="0.2"/>
  <cols>
    <col min="1" max="106" width="2.7109375" style="12" customWidth="1"/>
    <col min="107" max="16384" width="9.140625" style="12" hidden="1"/>
  </cols>
  <sheetData>
    <row r="1" spans="1:106" ht="12" customHeight="1" x14ac:dyDescent="0.2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957" t="s">
        <v>159</v>
      </c>
      <c r="AK1" s="957"/>
      <c r="AL1" s="957"/>
      <c r="AM1" s="957"/>
      <c r="AN1" s="957"/>
      <c r="AO1" s="957"/>
      <c r="AP1" s="957"/>
      <c r="AQ1" s="957"/>
      <c r="AR1" s="957"/>
      <c r="AS1" s="957"/>
      <c r="AT1" s="957"/>
      <c r="AU1" s="957"/>
      <c r="AV1" s="957"/>
      <c r="AW1" s="957"/>
      <c r="AX1" s="957"/>
      <c r="AY1" s="957"/>
      <c r="AZ1" s="957"/>
      <c r="BA1" s="957"/>
      <c r="BB1" s="957"/>
      <c r="BC1" s="957"/>
      <c r="BD1" s="957"/>
      <c r="BE1" s="957"/>
      <c r="BF1" s="957"/>
      <c r="BG1" s="957"/>
      <c r="BH1" s="957"/>
      <c r="BI1" s="957"/>
      <c r="BJ1" s="957"/>
      <c r="BK1" s="957"/>
      <c r="BL1" s="957"/>
      <c r="BM1" s="957"/>
      <c r="BN1" s="957"/>
      <c r="BO1" s="957"/>
      <c r="BP1" s="957"/>
      <c r="BQ1" s="957"/>
      <c r="BR1" s="957"/>
      <c r="BS1" s="957"/>
      <c r="BT1" s="957"/>
      <c r="BU1" s="957"/>
      <c r="BV1" s="957"/>
      <c r="BW1" s="957"/>
      <c r="BX1" s="957"/>
      <c r="BY1" s="957"/>
      <c r="BZ1" s="957"/>
      <c r="CA1" s="957"/>
      <c r="CB1" s="957"/>
      <c r="CC1" s="957"/>
      <c r="CD1" s="957"/>
      <c r="CE1" s="957"/>
      <c r="CF1" s="957"/>
      <c r="CG1" s="957"/>
      <c r="CH1" s="957"/>
      <c r="CI1" s="957"/>
      <c r="CJ1" s="957"/>
      <c r="CK1" s="957"/>
      <c r="CL1" s="957"/>
      <c r="CM1" s="957"/>
      <c r="CN1" s="957"/>
      <c r="CO1" s="957"/>
      <c r="CP1" s="957"/>
      <c r="CQ1" s="957"/>
      <c r="CR1" s="957"/>
      <c r="CS1" s="957"/>
      <c r="CT1" s="957"/>
      <c r="CU1" s="957"/>
      <c r="CV1" s="957"/>
      <c r="CW1" s="957"/>
      <c r="CX1" s="957"/>
      <c r="CY1" s="957"/>
      <c r="CZ1" s="957"/>
      <c r="DA1" s="957"/>
      <c r="DB1" s="957"/>
    </row>
    <row r="2" spans="1:106" ht="12" customHeight="1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3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</row>
    <row r="3" spans="1:106" ht="12" customHeigh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</row>
    <row r="4" spans="1:106" ht="12" customHeight="1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</row>
    <row r="5" spans="1:106" ht="12.75" customHeight="1" x14ac:dyDescent="0.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550" t="s">
        <v>438</v>
      </c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</row>
    <row r="6" spans="1:106" ht="12" customHeight="1" thickBo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</row>
    <row r="7" spans="1:106" ht="12" customHeight="1" x14ac:dyDescent="0.2">
      <c r="A7" s="526" t="s">
        <v>161</v>
      </c>
      <c r="B7" s="526"/>
      <c r="C7" s="526"/>
      <c r="D7" s="526"/>
      <c r="E7" s="526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42"/>
      <c r="R7" s="42"/>
      <c r="S7" s="42"/>
      <c r="T7" s="526" t="s">
        <v>162</v>
      </c>
      <c r="U7" s="526"/>
      <c r="V7" s="526"/>
      <c r="W7" s="526"/>
      <c r="X7" s="526"/>
      <c r="Y7" s="527"/>
      <c r="Z7" s="527"/>
      <c r="AA7" s="527"/>
      <c r="AB7" s="527"/>
      <c r="AC7" s="527"/>
      <c r="AD7" s="527"/>
      <c r="AE7" s="527"/>
      <c r="AF7" s="527"/>
      <c r="AG7" s="527"/>
      <c r="AH7" s="527"/>
      <c r="AI7" s="527"/>
      <c r="AJ7" s="107"/>
      <c r="AK7" s="958" t="s">
        <v>240</v>
      </c>
      <c r="AL7" s="959"/>
      <c r="AM7" s="959"/>
      <c r="AN7" s="959"/>
      <c r="AO7" s="959"/>
      <c r="AP7" s="959"/>
      <c r="AQ7" s="959"/>
      <c r="AR7" s="959"/>
      <c r="AS7" s="959"/>
      <c r="AT7" s="959"/>
      <c r="AU7" s="959"/>
      <c r="AV7" s="959"/>
      <c r="AW7" s="959"/>
      <c r="AX7" s="959"/>
      <c r="AY7" s="959"/>
      <c r="AZ7" s="959"/>
      <c r="BA7" s="959"/>
      <c r="BB7" s="959"/>
      <c r="BC7" s="959"/>
      <c r="BD7" s="959"/>
      <c r="BE7" s="959"/>
      <c r="BF7" s="959"/>
      <c r="BG7" s="959"/>
      <c r="BH7" s="959"/>
      <c r="BI7" s="959"/>
      <c r="BJ7" s="959"/>
      <c r="BK7" s="960"/>
      <c r="BL7" s="964" t="s">
        <v>381</v>
      </c>
      <c r="BM7" s="965"/>
      <c r="BN7" s="965"/>
      <c r="BO7" s="965"/>
      <c r="BP7" s="965"/>
      <c r="BQ7" s="965"/>
      <c r="BR7" s="965"/>
      <c r="BS7" s="965"/>
      <c r="BT7" s="965"/>
      <c r="BU7" s="965"/>
      <c r="BV7" s="965"/>
      <c r="BW7" s="965"/>
      <c r="BX7" s="965"/>
      <c r="BY7" s="965"/>
      <c r="BZ7" s="965"/>
      <c r="CA7" s="965"/>
      <c r="CB7" s="965"/>
      <c r="CC7" s="965"/>
      <c r="CD7" s="965"/>
      <c r="CE7" s="965"/>
      <c r="CF7" s="965"/>
      <c r="CG7" s="965"/>
      <c r="CH7" s="965"/>
      <c r="CI7" s="965"/>
      <c r="CJ7" s="965"/>
      <c r="CK7" s="965"/>
      <c r="CL7" s="965"/>
      <c r="CM7" s="965"/>
      <c r="CN7" s="965"/>
      <c r="CO7" s="965"/>
      <c r="CP7" s="965"/>
      <c r="CQ7" s="965"/>
      <c r="CR7" s="965"/>
      <c r="CS7" s="965"/>
      <c r="CT7" s="965"/>
      <c r="CU7" s="965"/>
      <c r="CV7" s="965"/>
      <c r="CW7" s="965"/>
      <c r="CX7" s="965"/>
      <c r="CY7" s="965"/>
      <c r="CZ7" s="965"/>
      <c r="DA7" s="966"/>
      <c r="DB7" s="107"/>
    </row>
    <row r="8" spans="1:106" ht="12" customHeight="1" thickBo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107"/>
      <c r="AK8" s="961"/>
      <c r="AL8" s="962"/>
      <c r="AM8" s="962"/>
      <c r="AN8" s="962"/>
      <c r="AO8" s="962"/>
      <c r="AP8" s="962"/>
      <c r="AQ8" s="962"/>
      <c r="AR8" s="962"/>
      <c r="AS8" s="962"/>
      <c r="AT8" s="962"/>
      <c r="AU8" s="962"/>
      <c r="AV8" s="962"/>
      <c r="AW8" s="962"/>
      <c r="AX8" s="962"/>
      <c r="AY8" s="962"/>
      <c r="AZ8" s="962"/>
      <c r="BA8" s="962"/>
      <c r="BB8" s="962"/>
      <c r="BC8" s="962"/>
      <c r="BD8" s="962"/>
      <c r="BE8" s="962"/>
      <c r="BF8" s="962"/>
      <c r="BG8" s="962"/>
      <c r="BH8" s="962"/>
      <c r="BI8" s="962"/>
      <c r="BJ8" s="962"/>
      <c r="BK8" s="963"/>
      <c r="BL8" s="147">
        <v>1</v>
      </c>
      <c r="BM8" s="147">
        <v>2</v>
      </c>
      <c r="BN8" s="147">
        <v>3</v>
      </c>
      <c r="BO8" s="147">
        <v>4</v>
      </c>
      <c r="BP8" s="147">
        <v>5</v>
      </c>
      <c r="BQ8" s="147">
        <v>6</v>
      </c>
      <c r="BR8" s="147">
        <v>7</v>
      </c>
      <c r="BS8" s="147">
        <v>8</v>
      </c>
      <c r="BT8" s="147">
        <v>9</v>
      </c>
      <c r="BU8" s="147">
        <v>10</v>
      </c>
      <c r="BV8" s="147">
        <v>11</v>
      </c>
      <c r="BW8" s="147">
        <v>12</v>
      </c>
      <c r="BX8" s="147">
        <v>13</v>
      </c>
      <c r="BY8" s="147">
        <v>14</v>
      </c>
      <c r="BZ8" s="147">
        <v>15</v>
      </c>
      <c r="CA8" s="147">
        <v>16</v>
      </c>
      <c r="CB8" s="147">
        <v>17</v>
      </c>
      <c r="CC8" s="147">
        <v>18</v>
      </c>
      <c r="CD8" s="147">
        <v>19</v>
      </c>
      <c r="CE8" s="147">
        <v>20</v>
      </c>
      <c r="CF8" s="147">
        <v>21</v>
      </c>
      <c r="CG8" s="147">
        <v>22</v>
      </c>
      <c r="CH8" s="147">
        <v>23</v>
      </c>
      <c r="CI8" s="147">
        <v>24</v>
      </c>
      <c r="CJ8" s="147">
        <v>25</v>
      </c>
      <c r="CK8" s="147">
        <v>26</v>
      </c>
      <c r="CL8" s="147">
        <v>27</v>
      </c>
      <c r="CM8" s="147">
        <v>28</v>
      </c>
      <c r="CN8" s="147">
        <v>29</v>
      </c>
      <c r="CO8" s="147">
        <v>30</v>
      </c>
      <c r="CP8" s="147">
        <v>31</v>
      </c>
      <c r="CQ8" s="147">
        <v>32</v>
      </c>
      <c r="CR8" s="147">
        <v>33</v>
      </c>
      <c r="CS8" s="147">
        <v>34</v>
      </c>
      <c r="CT8" s="147">
        <v>35</v>
      </c>
      <c r="CU8" s="147">
        <v>36</v>
      </c>
      <c r="CV8" s="147">
        <v>37</v>
      </c>
      <c r="CW8" s="147">
        <v>38</v>
      </c>
      <c r="CX8" s="147">
        <v>39</v>
      </c>
      <c r="CY8" s="147">
        <v>40</v>
      </c>
      <c r="CZ8" s="147">
        <v>41</v>
      </c>
      <c r="DA8" s="148">
        <v>42</v>
      </c>
      <c r="DB8" s="107"/>
    </row>
    <row r="9" spans="1:106" ht="12" customHeight="1" thickTop="1" x14ac:dyDescent="0.2">
      <c r="A9" s="526" t="s">
        <v>163</v>
      </c>
      <c r="B9" s="526"/>
      <c r="C9" s="526"/>
      <c r="D9" s="526"/>
      <c r="E9" s="526"/>
      <c r="F9" s="527"/>
      <c r="G9" s="527"/>
      <c r="H9" s="527"/>
      <c r="I9" s="527"/>
      <c r="J9" s="527"/>
      <c r="K9" s="527"/>
      <c r="L9" s="527"/>
      <c r="M9" s="527"/>
      <c r="N9" s="527"/>
      <c r="O9" s="527"/>
      <c r="P9" s="527"/>
      <c r="Q9" s="42"/>
      <c r="R9" s="42"/>
      <c r="S9" s="42"/>
      <c r="T9" s="526" t="s">
        <v>164</v>
      </c>
      <c r="U9" s="526"/>
      <c r="V9" s="526"/>
      <c r="W9" s="526"/>
      <c r="X9" s="526"/>
      <c r="Y9" s="527"/>
      <c r="Z9" s="527"/>
      <c r="AA9" s="527"/>
      <c r="AB9" s="527"/>
      <c r="AC9" s="527"/>
      <c r="AD9" s="527"/>
      <c r="AE9" s="527"/>
      <c r="AF9" s="527"/>
      <c r="AG9" s="527"/>
      <c r="AH9" s="527"/>
      <c r="AI9" s="527"/>
      <c r="AJ9" s="107"/>
      <c r="AK9" s="672"/>
      <c r="AL9" s="674"/>
      <c r="AM9" s="327">
        <v>1</v>
      </c>
      <c r="AN9" s="327"/>
      <c r="AO9" s="149" t="s">
        <v>382</v>
      </c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1"/>
      <c r="BM9" s="152"/>
      <c r="BN9" s="152"/>
      <c r="BO9" s="152"/>
      <c r="BP9" s="153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5"/>
      <c r="DB9" s="107"/>
    </row>
    <row r="10" spans="1:106" ht="12" customHeight="1" thickBot="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107"/>
      <c r="AK10" s="287"/>
      <c r="AL10" s="288"/>
      <c r="AM10" s="296">
        <v>2</v>
      </c>
      <c r="AN10" s="296"/>
      <c r="AO10" s="156" t="s">
        <v>383</v>
      </c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8"/>
      <c r="BM10" s="159"/>
      <c r="BN10" s="159"/>
      <c r="BO10" s="159"/>
      <c r="BP10" s="160"/>
      <c r="BQ10" s="161"/>
      <c r="BR10" s="161"/>
      <c r="BS10" s="161"/>
      <c r="BT10" s="161"/>
      <c r="BU10" s="161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162"/>
      <c r="CH10" s="162"/>
      <c r="CI10" s="162"/>
      <c r="CJ10" s="162"/>
      <c r="CK10" s="162"/>
      <c r="CL10" s="162"/>
      <c r="CM10" s="162"/>
      <c r="CN10" s="162"/>
      <c r="CO10" s="162"/>
      <c r="CP10" s="162"/>
      <c r="CQ10" s="162"/>
      <c r="CR10" s="162"/>
      <c r="CS10" s="162"/>
      <c r="CT10" s="162"/>
      <c r="CU10" s="162"/>
      <c r="CV10" s="162"/>
      <c r="CW10" s="162"/>
      <c r="CX10" s="162"/>
      <c r="CY10" s="162"/>
      <c r="CZ10" s="162"/>
      <c r="DA10" s="163"/>
      <c r="DB10" s="107"/>
    </row>
    <row r="11" spans="1:106" ht="12" customHeight="1" thickBot="1" x14ac:dyDescent="0.25">
      <c r="A11" s="314" t="s">
        <v>431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6"/>
      <c r="Q11" s="42"/>
      <c r="R11" s="42"/>
      <c r="S11" s="94"/>
      <c r="T11" s="338" t="s">
        <v>432</v>
      </c>
      <c r="U11" s="339"/>
      <c r="V11" s="339"/>
      <c r="W11" s="339"/>
      <c r="X11" s="339"/>
      <c r="Y11" s="339"/>
      <c r="Z11" s="339"/>
      <c r="AA11" s="339"/>
      <c r="AB11" s="339"/>
      <c r="AC11" s="339"/>
      <c r="AD11" s="339"/>
      <c r="AE11" s="339"/>
      <c r="AF11" s="339"/>
      <c r="AG11" s="339"/>
      <c r="AH11" s="339"/>
      <c r="AI11" s="340"/>
      <c r="AJ11" s="107"/>
      <c r="AK11" s="287"/>
      <c r="AL11" s="288"/>
      <c r="AM11" s="296">
        <v>3</v>
      </c>
      <c r="AN11" s="296"/>
      <c r="AO11" s="156" t="s">
        <v>386</v>
      </c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64"/>
      <c r="BM11" s="154"/>
      <c r="BN11" s="154"/>
      <c r="BO11" s="154"/>
      <c r="BP11" s="154"/>
      <c r="BQ11" s="165"/>
      <c r="BR11" s="166"/>
      <c r="BS11" s="166"/>
      <c r="BT11" s="166"/>
      <c r="BU11" s="167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3"/>
      <c r="DB11" s="107"/>
    </row>
    <row r="12" spans="1:106" ht="12.75" thickTop="1" x14ac:dyDescent="0.2">
      <c r="A12" s="455" t="s">
        <v>433</v>
      </c>
      <c r="B12" s="456"/>
      <c r="C12" s="456"/>
      <c r="D12" s="456"/>
      <c r="E12" s="456"/>
      <c r="F12" s="456"/>
      <c r="G12" s="453"/>
      <c r="H12" s="453"/>
      <c r="I12" s="453"/>
      <c r="J12" s="453"/>
      <c r="K12" s="453"/>
      <c r="L12" s="453"/>
      <c r="M12" s="453"/>
      <c r="N12" s="453"/>
      <c r="O12" s="453"/>
      <c r="P12" s="454"/>
      <c r="Q12" s="42"/>
      <c r="R12" s="42"/>
      <c r="S12" s="94"/>
      <c r="T12" s="752"/>
      <c r="U12" s="753"/>
      <c r="V12" s="753"/>
      <c r="W12" s="753"/>
      <c r="X12" s="753"/>
      <c r="Y12" s="753"/>
      <c r="Z12" s="753" t="s">
        <v>197</v>
      </c>
      <c r="AA12" s="753"/>
      <c r="AB12" s="753"/>
      <c r="AC12" s="753"/>
      <c r="AD12" s="753"/>
      <c r="AE12" s="753" t="s">
        <v>199</v>
      </c>
      <c r="AF12" s="753"/>
      <c r="AG12" s="753"/>
      <c r="AH12" s="753"/>
      <c r="AI12" s="779"/>
      <c r="AJ12" s="107"/>
      <c r="AK12" s="287"/>
      <c r="AL12" s="288"/>
      <c r="AM12" s="296">
        <v>4</v>
      </c>
      <c r="AN12" s="296"/>
      <c r="AO12" s="156" t="s">
        <v>388</v>
      </c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68"/>
      <c r="BM12" s="162"/>
      <c r="BN12" s="162"/>
      <c r="BO12" s="162"/>
      <c r="BP12" s="162"/>
      <c r="BQ12" s="169"/>
      <c r="BR12" s="170"/>
      <c r="BS12" s="171"/>
      <c r="BT12" s="171"/>
      <c r="BU12" s="171"/>
      <c r="BV12" s="162"/>
      <c r="BW12" s="162"/>
      <c r="BX12" s="162"/>
      <c r="BY12" s="162"/>
      <c r="BZ12" s="162"/>
      <c r="CA12" s="162"/>
      <c r="CB12" s="162"/>
      <c r="CC12" s="162"/>
      <c r="CD12" s="162"/>
      <c r="CE12" s="162"/>
      <c r="CF12" s="162"/>
      <c r="CG12" s="162"/>
      <c r="CH12" s="162"/>
      <c r="CI12" s="162"/>
      <c r="CJ12" s="162"/>
      <c r="CK12" s="162"/>
      <c r="CL12" s="162"/>
      <c r="CM12" s="162"/>
      <c r="CN12" s="162"/>
      <c r="CO12" s="162"/>
      <c r="CP12" s="162"/>
      <c r="CQ12" s="162"/>
      <c r="CR12" s="162"/>
      <c r="CS12" s="162"/>
      <c r="CT12" s="162"/>
      <c r="CU12" s="162"/>
      <c r="CV12" s="162"/>
      <c r="CW12" s="162"/>
      <c r="CX12" s="162"/>
      <c r="CY12" s="162"/>
      <c r="CZ12" s="162"/>
      <c r="DA12" s="163"/>
      <c r="DB12" s="107"/>
    </row>
    <row r="13" spans="1:106" ht="12" customHeight="1" x14ac:dyDescent="0.2">
      <c r="A13" s="333" t="s">
        <v>389</v>
      </c>
      <c r="B13" s="334"/>
      <c r="C13" s="334"/>
      <c r="D13" s="334"/>
      <c r="E13" s="334"/>
      <c r="F13" s="334"/>
      <c r="G13" s="952"/>
      <c r="H13" s="953"/>
      <c r="I13" s="953"/>
      <c r="J13" s="953"/>
      <c r="K13" s="953"/>
      <c r="L13" s="172" t="s">
        <v>201</v>
      </c>
      <c r="M13" s="419"/>
      <c r="N13" s="419"/>
      <c r="O13" s="419"/>
      <c r="P13" s="420"/>
      <c r="Q13" s="42"/>
      <c r="R13" s="42"/>
      <c r="S13" s="42"/>
      <c r="T13" s="333" t="s">
        <v>435</v>
      </c>
      <c r="U13" s="334"/>
      <c r="V13" s="334"/>
      <c r="W13" s="334"/>
      <c r="X13" s="334"/>
      <c r="Y13" s="334"/>
      <c r="Z13" s="577"/>
      <c r="AA13" s="577"/>
      <c r="AB13" s="577"/>
      <c r="AC13" s="577"/>
      <c r="AD13" s="577"/>
      <c r="AE13" s="899" t="str">
        <f>AC53</f>
        <v/>
      </c>
      <c r="AF13" s="899"/>
      <c r="AG13" s="899"/>
      <c r="AH13" s="899"/>
      <c r="AI13" s="954"/>
      <c r="AJ13" s="107"/>
      <c r="AK13" s="287"/>
      <c r="AL13" s="288"/>
      <c r="AM13" s="296">
        <v>5</v>
      </c>
      <c r="AN13" s="296"/>
      <c r="AO13" s="156" t="s">
        <v>390</v>
      </c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68"/>
      <c r="BM13" s="162"/>
      <c r="BN13" s="162"/>
      <c r="BO13" s="162"/>
      <c r="BP13" s="162"/>
      <c r="BQ13" s="154"/>
      <c r="BR13" s="154"/>
      <c r="BS13" s="169"/>
      <c r="BT13" s="173"/>
      <c r="BU13" s="170"/>
      <c r="BV13" s="161"/>
      <c r="BW13" s="161"/>
      <c r="BX13" s="161"/>
      <c r="BY13" s="161"/>
      <c r="BZ13" s="161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3"/>
      <c r="DB13" s="107"/>
    </row>
    <row r="14" spans="1:106" ht="12" customHeight="1" thickBot="1" x14ac:dyDescent="0.25">
      <c r="A14" s="333" t="s">
        <v>168</v>
      </c>
      <c r="B14" s="334"/>
      <c r="C14" s="334"/>
      <c r="D14" s="334"/>
      <c r="E14" s="334"/>
      <c r="F14" s="334"/>
      <c r="G14" s="400"/>
      <c r="H14" s="400"/>
      <c r="I14" s="400"/>
      <c r="J14" s="400"/>
      <c r="K14" s="400"/>
      <c r="L14" s="400"/>
      <c r="M14" s="400"/>
      <c r="N14" s="400"/>
      <c r="O14" s="400"/>
      <c r="P14" s="401"/>
      <c r="Q14" s="42"/>
      <c r="R14" s="42"/>
      <c r="S14" s="42"/>
      <c r="T14" s="347" t="s">
        <v>436</v>
      </c>
      <c r="U14" s="348"/>
      <c r="V14" s="348"/>
      <c r="W14" s="348"/>
      <c r="X14" s="348"/>
      <c r="Y14" s="348"/>
      <c r="Z14" s="555"/>
      <c r="AA14" s="555"/>
      <c r="AB14" s="555"/>
      <c r="AC14" s="555"/>
      <c r="AD14" s="555"/>
      <c r="AE14" s="555"/>
      <c r="AF14" s="555"/>
      <c r="AG14" s="555"/>
      <c r="AH14" s="555"/>
      <c r="AI14" s="951"/>
      <c r="AJ14" s="107"/>
      <c r="AK14" s="287"/>
      <c r="AL14" s="288"/>
      <c r="AM14" s="296">
        <v>6</v>
      </c>
      <c r="AN14" s="296"/>
      <c r="AO14" s="156" t="s">
        <v>391</v>
      </c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68"/>
      <c r="BM14" s="162"/>
      <c r="BN14" s="162"/>
      <c r="BO14" s="162"/>
      <c r="BP14" s="162"/>
      <c r="BQ14" s="162"/>
      <c r="BR14" s="162"/>
      <c r="BS14" s="154"/>
      <c r="BT14" s="154"/>
      <c r="BU14" s="154"/>
      <c r="BV14" s="165"/>
      <c r="BW14" s="166"/>
      <c r="BX14" s="166"/>
      <c r="BY14" s="166"/>
      <c r="BZ14" s="167"/>
      <c r="CA14" s="161"/>
      <c r="CB14" s="161"/>
      <c r="CC14" s="162"/>
      <c r="CD14" s="162"/>
      <c r="CE14" s="162"/>
      <c r="CF14" s="162"/>
      <c r="CG14" s="162"/>
      <c r="CH14" s="162"/>
      <c r="CI14" s="162"/>
      <c r="CJ14" s="162"/>
      <c r="CK14" s="162"/>
      <c r="CL14" s="162"/>
      <c r="CM14" s="162"/>
      <c r="CN14" s="162"/>
      <c r="CO14" s="162"/>
      <c r="CP14" s="162"/>
      <c r="CQ14" s="162"/>
      <c r="CR14" s="162"/>
      <c r="CS14" s="162"/>
      <c r="CT14" s="162"/>
      <c r="CU14" s="162"/>
      <c r="CV14" s="162"/>
      <c r="CW14" s="162"/>
      <c r="CX14" s="162"/>
      <c r="CY14" s="162"/>
      <c r="CZ14" s="162"/>
      <c r="DA14" s="163"/>
      <c r="DB14" s="107"/>
    </row>
    <row r="15" spans="1:106" ht="12" customHeight="1" x14ac:dyDescent="0.2">
      <c r="A15" s="406" t="s">
        <v>174</v>
      </c>
      <c r="B15" s="407"/>
      <c r="C15" s="407"/>
      <c r="D15" s="407"/>
      <c r="E15" s="407"/>
      <c r="F15" s="408"/>
      <c r="G15" s="400"/>
      <c r="H15" s="400"/>
      <c r="I15" s="400"/>
      <c r="J15" s="400"/>
      <c r="K15" s="400"/>
      <c r="L15" s="400"/>
      <c r="M15" s="400"/>
      <c r="N15" s="400"/>
      <c r="O15" s="400"/>
      <c r="P15" s="401"/>
      <c r="Q15" s="42"/>
      <c r="R15" s="42"/>
      <c r="S15" s="42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107"/>
      <c r="AK15" s="287"/>
      <c r="AL15" s="288"/>
      <c r="AM15" s="296">
        <v>7</v>
      </c>
      <c r="AN15" s="296"/>
      <c r="AO15" s="156" t="s">
        <v>392</v>
      </c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68"/>
      <c r="BM15" s="162"/>
      <c r="BN15" s="162"/>
      <c r="BO15" s="162"/>
      <c r="BP15" s="162"/>
      <c r="BQ15" s="162"/>
      <c r="BR15" s="162"/>
      <c r="BS15" s="162"/>
      <c r="BT15" s="162"/>
      <c r="BU15" s="162"/>
      <c r="BV15" s="154"/>
      <c r="BW15" s="154"/>
      <c r="BX15" s="154"/>
      <c r="BY15" s="154"/>
      <c r="BZ15" s="154"/>
      <c r="CA15" s="169"/>
      <c r="CB15" s="170"/>
      <c r="CC15" s="161"/>
      <c r="CD15" s="161"/>
      <c r="CE15" s="161"/>
      <c r="CF15" s="161"/>
      <c r="CG15" s="161"/>
      <c r="CH15" s="161"/>
      <c r="CI15" s="161"/>
      <c r="CJ15" s="161"/>
      <c r="CK15" s="161"/>
      <c r="CL15" s="161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3"/>
      <c r="DB15" s="107"/>
    </row>
    <row r="16" spans="1:106" ht="12" customHeight="1" x14ac:dyDescent="0.2">
      <c r="A16" s="406" t="s">
        <v>178</v>
      </c>
      <c r="B16" s="407"/>
      <c r="C16" s="407"/>
      <c r="D16" s="407"/>
      <c r="E16" s="407"/>
      <c r="F16" s="408"/>
      <c r="G16" s="400"/>
      <c r="H16" s="400"/>
      <c r="I16" s="400"/>
      <c r="J16" s="400"/>
      <c r="K16" s="400"/>
      <c r="L16" s="400"/>
      <c r="M16" s="400"/>
      <c r="N16" s="400"/>
      <c r="O16" s="400"/>
      <c r="P16" s="401"/>
      <c r="Q16" s="42"/>
      <c r="R16" s="42"/>
      <c r="S16" s="42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107"/>
      <c r="AK16" s="287"/>
      <c r="AL16" s="288"/>
      <c r="AM16" s="296">
        <v>8</v>
      </c>
      <c r="AN16" s="296"/>
      <c r="AO16" s="156" t="s">
        <v>393</v>
      </c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68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54"/>
      <c r="CB16" s="154"/>
      <c r="CC16" s="174"/>
      <c r="CD16" s="175"/>
      <c r="CE16" s="175"/>
      <c r="CF16" s="175"/>
      <c r="CG16" s="175"/>
      <c r="CH16" s="175"/>
      <c r="CI16" s="175"/>
      <c r="CJ16" s="175"/>
      <c r="CK16" s="175"/>
      <c r="CL16" s="176"/>
      <c r="CM16" s="161"/>
      <c r="CN16" s="161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3"/>
      <c r="DB16" s="107"/>
    </row>
    <row r="17" spans="1:106" ht="12" customHeight="1" x14ac:dyDescent="0.2">
      <c r="A17" s="406" t="s">
        <v>181</v>
      </c>
      <c r="B17" s="407"/>
      <c r="C17" s="407"/>
      <c r="D17" s="407"/>
      <c r="E17" s="407"/>
      <c r="F17" s="408"/>
      <c r="G17" s="513" t="s">
        <v>439</v>
      </c>
      <c r="H17" s="513"/>
      <c r="I17" s="513"/>
      <c r="J17" s="513"/>
      <c r="K17" s="513"/>
      <c r="L17" s="513"/>
      <c r="M17" s="513"/>
      <c r="N17" s="513"/>
      <c r="O17" s="513"/>
      <c r="P17" s="514"/>
      <c r="Q17" s="42"/>
      <c r="R17" s="42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107"/>
      <c r="AK17" s="287"/>
      <c r="AL17" s="288"/>
      <c r="AM17" s="296">
        <v>9</v>
      </c>
      <c r="AN17" s="296"/>
      <c r="AO17" s="156" t="s">
        <v>394</v>
      </c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68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54"/>
      <c r="CD17" s="154"/>
      <c r="CE17" s="154"/>
      <c r="CF17" s="154"/>
      <c r="CG17" s="154"/>
      <c r="CH17" s="154"/>
      <c r="CI17" s="154"/>
      <c r="CJ17" s="154"/>
      <c r="CK17" s="154"/>
      <c r="CL17" s="154"/>
      <c r="CM17" s="169"/>
      <c r="CN17" s="170"/>
      <c r="CO17" s="161"/>
      <c r="CP17" s="161"/>
      <c r="CQ17" s="161"/>
      <c r="CR17" s="162"/>
      <c r="CS17" s="162"/>
      <c r="CT17" s="162"/>
      <c r="CU17" s="162"/>
      <c r="CV17" s="162"/>
      <c r="CW17" s="162"/>
      <c r="CX17" s="162"/>
      <c r="CY17" s="162"/>
      <c r="CZ17" s="162"/>
      <c r="DA17" s="163"/>
      <c r="DB17" s="107"/>
    </row>
    <row r="18" spans="1:106" ht="12" customHeight="1" x14ac:dyDescent="0.2">
      <c r="A18" s="333" t="s">
        <v>185</v>
      </c>
      <c r="B18" s="334"/>
      <c r="C18" s="334"/>
      <c r="D18" s="334"/>
      <c r="E18" s="334"/>
      <c r="F18" s="334"/>
      <c r="G18" s="400"/>
      <c r="H18" s="400"/>
      <c r="I18" s="400"/>
      <c r="J18" s="400"/>
      <c r="K18" s="400"/>
      <c r="L18" s="400"/>
      <c r="M18" s="400"/>
      <c r="N18" s="400"/>
      <c r="O18" s="400"/>
      <c r="P18" s="401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212"/>
      <c r="AF18" s="212"/>
      <c r="AG18" s="71"/>
      <c r="AH18" s="71"/>
      <c r="AI18" s="71"/>
      <c r="AJ18" s="107"/>
      <c r="AK18" s="287"/>
      <c r="AL18" s="288"/>
      <c r="AM18" s="296">
        <v>10</v>
      </c>
      <c r="AN18" s="296"/>
      <c r="AO18" s="156" t="s">
        <v>395</v>
      </c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68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54"/>
      <c r="CN18" s="154"/>
      <c r="CO18" s="165"/>
      <c r="CP18" s="166"/>
      <c r="CQ18" s="167"/>
      <c r="CR18" s="161"/>
      <c r="CS18" s="161"/>
      <c r="CT18" s="162"/>
      <c r="CU18" s="162"/>
      <c r="CV18" s="162"/>
      <c r="CW18" s="162"/>
      <c r="CX18" s="162"/>
      <c r="CY18" s="162"/>
      <c r="CZ18" s="162"/>
      <c r="DA18" s="163"/>
      <c r="DB18" s="107"/>
    </row>
    <row r="19" spans="1:106" ht="12" x14ac:dyDescent="0.2">
      <c r="A19" s="333" t="s">
        <v>396</v>
      </c>
      <c r="B19" s="334"/>
      <c r="C19" s="334"/>
      <c r="D19" s="334"/>
      <c r="E19" s="334"/>
      <c r="F19" s="334"/>
      <c r="G19" s="475"/>
      <c r="H19" s="400"/>
      <c r="I19" s="400"/>
      <c r="J19" s="400"/>
      <c r="K19" s="400"/>
      <c r="L19" s="400"/>
      <c r="M19" s="400"/>
      <c r="N19" s="400"/>
      <c r="O19" s="400"/>
      <c r="P19" s="401"/>
      <c r="Q19" s="42"/>
      <c r="R19" s="42"/>
      <c r="S19" s="42"/>
      <c r="T19" s="42"/>
      <c r="U19" s="42"/>
      <c r="V19" s="42"/>
      <c r="W19" s="42"/>
      <c r="X19" s="42"/>
      <c r="Y19" s="42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107"/>
      <c r="AK19" s="287"/>
      <c r="AL19" s="288"/>
      <c r="AM19" s="296">
        <v>11</v>
      </c>
      <c r="AN19" s="296"/>
      <c r="AO19" s="156" t="s">
        <v>397</v>
      </c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68"/>
      <c r="BM19" s="161"/>
      <c r="BN19" s="161"/>
      <c r="BO19" s="161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54"/>
      <c r="CP19" s="154"/>
      <c r="CQ19" s="154"/>
      <c r="CR19" s="169"/>
      <c r="CS19" s="170"/>
      <c r="CT19" s="161"/>
      <c r="CU19" s="161"/>
      <c r="CV19" s="161"/>
      <c r="CW19" s="161"/>
      <c r="CX19" s="161"/>
      <c r="CY19" s="162"/>
      <c r="CZ19" s="162"/>
      <c r="DA19" s="163"/>
      <c r="DB19" s="107"/>
    </row>
    <row r="20" spans="1:106" ht="12" customHeight="1" thickBot="1" x14ac:dyDescent="0.25">
      <c r="A20" s="347" t="s">
        <v>398</v>
      </c>
      <c r="B20" s="348"/>
      <c r="C20" s="348"/>
      <c r="D20" s="348"/>
      <c r="E20" s="348"/>
      <c r="F20" s="348"/>
      <c r="G20" s="466"/>
      <c r="H20" s="466"/>
      <c r="I20" s="466"/>
      <c r="J20" s="466"/>
      <c r="K20" s="466"/>
      <c r="L20" s="466"/>
      <c r="M20" s="466"/>
      <c r="N20" s="466"/>
      <c r="O20" s="466"/>
      <c r="P20" s="950"/>
      <c r="Q20" s="42"/>
      <c r="R20" s="42"/>
      <c r="S20" s="42"/>
      <c r="T20" s="42"/>
      <c r="U20" s="42"/>
      <c r="V20" s="42"/>
      <c r="W20" s="42"/>
      <c r="X20" s="42"/>
      <c r="Y20" s="42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107"/>
      <c r="AK20" s="287"/>
      <c r="AL20" s="288"/>
      <c r="AM20" s="296">
        <v>12</v>
      </c>
      <c r="AN20" s="296"/>
      <c r="AO20" s="156" t="s">
        <v>399</v>
      </c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68"/>
      <c r="BM20" s="944" t="s">
        <v>400</v>
      </c>
      <c r="BN20" s="949"/>
      <c r="BO20" s="945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54"/>
      <c r="CS20" s="154"/>
      <c r="CT20" s="165"/>
      <c r="CU20" s="166"/>
      <c r="CV20" s="166"/>
      <c r="CW20" s="166"/>
      <c r="CX20" s="167"/>
      <c r="CY20" s="162"/>
      <c r="CZ20" s="162"/>
      <c r="DA20" s="163"/>
      <c r="DB20" s="107"/>
    </row>
    <row r="21" spans="1:106" ht="12" customHeight="1" thickBo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107"/>
      <c r="AK21" s="287"/>
      <c r="AL21" s="288"/>
      <c r="AM21" s="296">
        <v>13</v>
      </c>
      <c r="AN21" s="296"/>
      <c r="AO21" s="156" t="s">
        <v>401</v>
      </c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68"/>
      <c r="BM21" s="177"/>
      <c r="BN21" s="944" t="s">
        <v>402</v>
      </c>
      <c r="BO21" s="945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51"/>
      <c r="CU21" s="152"/>
      <c r="CV21" s="152"/>
      <c r="CW21" s="152"/>
      <c r="CX21" s="153"/>
      <c r="CY21" s="161"/>
      <c r="CZ21" s="161"/>
      <c r="DA21" s="178"/>
      <c r="DB21" s="107"/>
    </row>
    <row r="22" spans="1:106" ht="12" customHeight="1" x14ac:dyDescent="0.2">
      <c r="A22" s="42"/>
      <c r="B22" s="42"/>
      <c r="C22" s="42"/>
      <c r="D22" s="42"/>
      <c r="E22" s="42"/>
      <c r="F22" s="42"/>
      <c r="G22" s="42"/>
      <c r="H22" s="42"/>
      <c r="I22" s="42"/>
      <c r="J22" s="179"/>
      <c r="K22" s="130"/>
      <c r="L22" s="93"/>
      <c r="M22" s="130"/>
      <c r="N22" s="93"/>
      <c r="O22" s="130"/>
      <c r="P22" s="93"/>
      <c r="Q22" s="130"/>
      <c r="R22" s="93"/>
      <c r="S22" s="130"/>
      <c r="T22" s="93"/>
      <c r="U22" s="130"/>
      <c r="V22" s="93"/>
      <c r="W22" s="130"/>
      <c r="X22" s="180"/>
      <c r="Y22" s="42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107"/>
      <c r="AK22" s="287"/>
      <c r="AL22" s="288"/>
      <c r="AM22" s="296">
        <v>14</v>
      </c>
      <c r="AN22" s="296"/>
      <c r="AO22" s="156" t="s">
        <v>403</v>
      </c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68"/>
      <c r="BM22" s="181"/>
      <c r="BN22" s="944" t="s">
        <v>404</v>
      </c>
      <c r="BO22" s="945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54"/>
      <c r="CU22" s="154"/>
      <c r="CV22" s="154"/>
      <c r="CW22" s="154"/>
      <c r="CX22" s="154"/>
      <c r="CY22" s="165"/>
      <c r="CZ22" s="166"/>
      <c r="DA22" s="182"/>
      <c r="DB22" s="107"/>
    </row>
    <row r="23" spans="1:106" ht="12" customHeight="1" x14ac:dyDescent="0.2">
      <c r="A23" s="42"/>
      <c r="B23" s="42"/>
      <c r="C23" s="42"/>
      <c r="D23" s="42"/>
      <c r="E23" s="42"/>
      <c r="F23" s="42"/>
      <c r="G23" s="42"/>
      <c r="H23" s="42"/>
      <c r="I23" s="42"/>
      <c r="J23" s="67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183"/>
      <c r="Y23" s="42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107"/>
      <c r="AK23" s="287"/>
      <c r="AL23" s="288"/>
      <c r="AM23" s="296">
        <v>15</v>
      </c>
      <c r="AN23" s="296"/>
      <c r="AO23" s="156" t="s">
        <v>405</v>
      </c>
      <c r="AP23" s="157"/>
      <c r="AQ23" s="157"/>
      <c r="AR23" s="157"/>
      <c r="AS23" s="157"/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7"/>
      <c r="BK23" s="157"/>
      <c r="BL23" s="168"/>
      <c r="BM23" s="184"/>
      <c r="BN23" s="944" t="s">
        <v>406</v>
      </c>
      <c r="BO23" s="945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54"/>
      <c r="CZ23" s="154"/>
      <c r="DA23" s="185"/>
      <c r="DB23" s="107"/>
    </row>
    <row r="24" spans="1:106" ht="12" customHeight="1" thickBot="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67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183"/>
      <c r="Y24" s="42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107"/>
      <c r="AK24" s="946"/>
      <c r="AL24" s="635"/>
      <c r="AM24" s="292">
        <v>16</v>
      </c>
      <c r="AN24" s="292"/>
      <c r="AO24" s="186" t="s">
        <v>275</v>
      </c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8"/>
      <c r="BM24" s="114"/>
      <c r="BN24" s="114"/>
      <c r="BO24" s="114"/>
      <c r="BP24" s="189"/>
      <c r="BQ24" s="189"/>
      <c r="BR24" s="189"/>
      <c r="BS24" s="189"/>
      <c r="BT24" s="189"/>
      <c r="BU24" s="189"/>
      <c r="BV24" s="189"/>
      <c r="BW24" s="189"/>
      <c r="BX24" s="189"/>
      <c r="BY24" s="189"/>
      <c r="BZ24" s="189"/>
      <c r="CA24" s="189"/>
      <c r="CB24" s="189"/>
      <c r="CC24" s="189"/>
      <c r="CD24" s="189"/>
      <c r="CE24" s="189"/>
      <c r="CF24" s="189"/>
      <c r="CG24" s="189"/>
      <c r="CH24" s="189"/>
      <c r="CI24" s="189"/>
      <c r="CJ24" s="189"/>
      <c r="CK24" s="189"/>
      <c r="CL24" s="189"/>
      <c r="CM24" s="189"/>
      <c r="CN24" s="189"/>
      <c r="CO24" s="189"/>
      <c r="CP24" s="189"/>
      <c r="CQ24" s="189"/>
      <c r="CR24" s="189"/>
      <c r="CS24" s="189"/>
      <c r="CT24" s="189"/>
      <c r="CU24" s="189"/>
      <c r="CV24" s="189"/>
      <c r="CW24" s="189"/>
      <c r="CX24" s="189"/>
      <c r="CY24" s="189"/>
      <c r="CZ24" s="189"/>
      <c r="DA24" s="115"/>
      <c r="DB24" s="107"/>
    </row>
    <row r="25" spans="1:106" ht="12" customHeight="1" x14ac:dyDescent="0.2">
      <c r="A25" s="42"/>
      <c r="B25" s="42"/>
      <c r="C25" s="42"/>
      <c r="D25" s="42"/>
      <c r="E25" s="42"/>
      <c r="F25" s="42"/>
      <c r="G25" s="42"/>
      <c r="H25" s="42"/>
      <c r="I25" s="42"/>
      <c r="J25" s="67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183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7"/>
      <c r="CV25" s="107"/>
      <c r="CW25" s="107"/>
      <c r="CX25" s="107"/>
      <c r="CY25" s="107"/>
      <c r="CZ25" s="107"/>
      <c r="DA25" s="107"/>
      <c r="DB25" s="107"/>
    </row>
    <row r="26" spans="1:106" ht="12" customHeight="1" x14ac:dyDescent="0.2">
      <c r="A26" s="42"/>
      <c r="B26" s="42"/>
      <c r="C26" s="42"/>
      <c r="D26" s="42"/>
      <c r="E26" s="42"/>
      <c r="F26" s="42"/>
      <c r="G26" s="42"/>
      <c r="H26" s="42"/>
      <c r="I26" s="42"/>
      <c r="J26" s="67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183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7"/>
      <c r="CS26" s="107"/>
      <c r="CT26" s="107"/>
      <c r="CU26" s="107"/>
      <c r="CV26" s="107"/>
      <c r="CW26" s="107"/>
      <c r="CX26" s="107"/>
      <c r="CY26" s="107"/>
      <c r="CZ26" s="107"/>
      <c r="DA26" s="107"/>
      <c r="DB26" s="107"/>
    </row>
    <row r="27" spans="1:106" ht="12" customHeight="1" thickBot="1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67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183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7"/>
      <c r="CS27" s="107"/>
      <c r="CT27" s="107"/>
      <c r="CU27" s="107"/>
      <c r="CV27" s="107"/>
      <c r="CW27" s="107"/>
      <c r="CX27" s="107"/>
      <c r="CY27" s="107"/>
      <c r="CZ27" s="107"/>
      <c r="DA27" s="107"/>
      <c r="DB27" s="107"/>
    </row>
    <row r="28" spans="1:106" ht="12" customHeight="1" thickBot="1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67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183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90"/>
      <c r="AV28" s="947" t="s">
        <v>297</v>
      </c>
      <c r="AW28" s="472"/>
      <c r="AX28" s="472"/>
      <c r="AY28" s="472"/>
      <c r="AZ28" s="472"/>
      <c r="BA28" s="472"/>
      <c r="BB28" s="472"/>
      <c r="BC28" s="948"/>
      <c r="BD28" s="191"/>
      <c r="BE28" s="107"/>
      <c r="BF28" s="471" t="s">
        <v>160</v>
      </c>
      <c r="BG28" s="472"/>
      <c r="BH28" s="472"/>
      <c r="BI28" s="472"/>
      <c r="BJ28" s="472"/>
      <c r="BK28" s="472"/>
      <c r="BL28" s="472"/>
      <c r="BM28" s="472"/>
      <c r="BN28" s="472"/>
      <c r="BO28" s="472"/>
      <c r="BP28" s="472"/>
      <c r="BQ28" s="472"/>
      <c r="BR28" s="472"/>
      <c r="BS28" s="472"/>
      <c r="BT28" s="473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</row>
    <row r="29" spans="1:106" ht="12" customHeight="1" thickTop="1" thickBot="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134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9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53"/>
      <c r="AV29" s="929" t="s">
        <v>298</v>
      </c>
      <c r="AW29" s="750"/>
      <c r="AX29" s="750"/>
      <c r="AY29" s="750"/>
      <c r="AZ29" s="750"/>
      <c r="BA29" s="751"/>
      <c r="BB29" s="930"/>
      <c r="BC29" s="931"/>
      <c r="BD29" s="193"/>
      <c r="BE29" s="107"/>
      <c r="BF29" s="324"/>
      <c r="BG29" s="547"/>
      <c r="BH29" s="547"/>
      <c r="BI29" s="547"/>
      <c r="BJ29" s="325"/>
      <c r="BK29" s="548"/>
      <c r="BL29" s="547"/>
      <c r="BM29" s="547"/>
      <c r="BN29" s="547"/>
      <c r="BO29" s="325"/>
      <c r="BP29" s="548"/>
      <c r="BQ29" s="547"/>
      <c r="BR29" s="547"/>
      <c r="BS29" s="547"/>
      <c r="BT29" s="549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</row>
    <row r="30" spans="1:106" ht="12" customHeight="1" thickBot="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107"/>
      <c r="AK30" s="932" t="s">
        <v>299</v>
      </c>
      <c r="AL30" s="933"/>
      <c r="AM30" s="933"/>
      <c r="AN30" s="933"/>
      <c r="AO30" s="933"/>
      <c r="AP30" s="933"/>
      <c r="AQ30" s="933"/>
      <c r="AR30" s="933"/>
      <c r="AS30" s="934"/>
      <c r="AT30" s="107"/>
      <c r="AU30" s="53"/>
      <c r="AV30" s="941" t="s">
        <v>300</v>
      </c>
      <c r="AW30" s="543"/>
      <c r="AX30" s="543"/>
      <c r="AY30" s="543"/>
      <c r="AZ30" s="543"/>
      <c r="BA30" s="544"/>
      <c r="BB30" s="942"/>
      <c r="BC30" s="943"/>
      <c r="BD30" s="55"/>
      <c r="BE30" s="107"/>
      <c r="BF30" s="521"/>
      <c r="BG30" s="522"/>
      <c r="BH30" s="522"/>
      <c r="BI30" s="522"/>
      <c r="BJ30" s="523"/>
      <c r="BK30" s="524"/>
      <c r="BL30" s="522"/>
      <c r="BM30" s="522"/>
      <c r="BN30" s="522"/>
      <c r="BO30" s="523"/>
      <c r="BP30" s="524"/>
      <c r="BQ30" s="522"/>
      <c r="BR30" s="522"/>
      <c r="BS30" s="522"/>
      <c r="BT30" s="525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</row>
    <row r="31" spans="1:106" ht="12" customHeight="1" thickBot="1" x14ac:dyDescent="0.25">
      <c r="A31" s="649" t="s">
        <v>301</v>
      </c>
      <c r="B31" s="650"/>
      <c r="C31" s="650"/>
      <c r="D31" s="650"/>
      <c r="E31" s="650"/>
      <c r="F31" s="650"/>
      <c r="G31" s="650"/>
      <c r="H31" s="653" t="s">
        <v>437</v>
      </c>
      <c r="I31" s="653"/>
      <c r="J31" s="653"/>
      <c r="K31" s="653"/>
      <c r="L31" s="653"/>
      <c r="M31" s="653"/>
      <c r="N31" s="653"/>
      <c r="O31" s="653"/>
      <c r="P31" s="653"/>
      <c r="Q31" s="650" t="s">
        <v>303</v>
      </c>
      <c r="R31" s="650"/>
      <c r="S31" s="650"/>
      <c r="T31" s="653" t="s">
        <v>304</v>
      </c>
      <c r="U31" s="653"/>
      <c r="V31" s="653"/>
      <c r="W31" s="653"/>
      <c r="X31" s="653"/>
      <c r="Y31" s="653"/>
      <c r="Z31" s="653"/>
      <c r="AA31" s="653"/>
      <c r="AB31" s="653"/>
      <c r="AC31" s="650" t="s">
        <v>305</v>
      </c>
      <c r="AD31" s="650"/>
      <c r="AE31" s="650"/>
      <c r="AF31" s="654" t="s">
        <v>262</v>
      </c>
      <c r="AG31" s="655"/>
      <c r="AH31" s="655"/>
      <c r="AI31" s="656"/>
      <c r="AJ31" s="107"/>
      <c r="AK31" s="935"/>
      <c r="AL31" s="936"/>
      <c r="AM31" s="936"/>
      <c r="AN31" s="936"/>
      <c r="AO31" s="936"/>
      <c r="AP31" s="936"/>
      <c r="AQ31" s="936"/>
      <c r="AR31" s="936"/>
      <c r="AS31" s="937"/>
      <c r="AT31" s="107"/>
      <c r="AU31" s="58"/>
      <c r="AV31" s="59"/>
      <c r="AW31" s="59"/>
      <c r="AX31" s="59"/>
      <c r="AY31" s="59"/>
      <c r="AZ31" s="59"/>
      <c r="BA31" s="59"/>
      <c r="BB31" s="59"/>
      <c r="BC31" s="59"/>
      <c r="BD31" s="60"/>
      <c r="BE31" s="107"/>
      <c r="BF31" s="521"/>
      <c r="BG31" s="522"/>
      <c r="BH31" s="522"/>
      <c r="BI31" s="522"/>
      <c r="BJ31" s="523"/>
      <c r="BK31" s="524"/>
      <c r="BL31" s="522"/>
      <c r="BM31" s="522"/>
      <c r="BN31" s="522"/>
      <c r="BO31" s="523"/>
      <c r="BP31" s="524"/>
      <c r="BQ31" s="522"/>
      <c r="BR31" s="522"/>
      <c r="BS31" s="522"/>
      <c r="BT31" s="525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</row>
    <row r="32" spans="1:106" ht="12" customHeight="1" thickBot="1" x14ac:dyDescent="0.25">
      <c r="A32" s="651"/>
      <c r="B32" s="652"/>
      <c r="C32" s="652"/>
      <c r="D32" s="652"/>
      <c r="E32" s="652"/>
      <c r="F32" s="652"/>
      <c r="G32" s="652"/>
      <c r="H32" s="392" t="s">
        <v>306</v>
      </c>
      <c r="I32" s="392"/>
      <c r="J32" s="392"/>
      <c r="K32" s="392" t="s">
        <v>174</v>
      </c>
      <c r="L32" s="392"/>
      <c r="M32" s="392"/>
      <c r="N32" s="392" t="s">
        <v>307</v>
      </c>
      <c r="O32" s="392"/>
      <c r="P32" s="392"/>
      <c r="Q32" s="652"/>
      <c r="R32" s="652"/>
      <c r="S32" s="652"/>
      <c r="T32" s="392" t="s">
        <v>308</v>
      </c>
      <c r="U32" s="392"/>
      <c r="V32" s="392"/>
      <c r="W32" s="392" t="s">
        <v>180</v>
      </c>
      <c r="X32" s="392"/>
      <c r="Y32" s="392"/>
      <c r="Z32" s="392" t="s">
        <v>183</v>
      </c>
      <c r="AA32" s="392"/>
      <c r="AB32" s="392"/>
      <c r="AC32" s="652"/>
      <c r="AD32" s="652"/>
      <c r="AE32" s="652"/>
      <c r="AF32" s="657"/>
      <c r="AG32" s="658"/>
      <c r="AH32" s="658"/>
      <c r="AI32" s="659"/>
      <c r="AJ32" s="107"/>
      <c r="AK32" s="938"/>
      <c r="AL32" s="939"/>
      <c r="AM32" s="939"/>
      <c r="AN32" s="939"/>
      <c r="AO32" s="939"/>
      <c r="AP32" s="939"/>
      <c r="AQ32" s="939"/>
      <c r="AR32" s="939"/>
      <c r="AS32" s="940"/>
      <c r="AT32" s="107"/>
      <c r="AU32" s="471" t="s">
        <v>309</v>
      </c>
      <c r="AV32" s="472"/>
      <c r="AW32" s="472"/>
      <c r="AX32" s="472"/>
      <c r="AY32" s="472"/>
      <c r="AZ32" s="472"/>
      <c r="BA32" s="472"/>
      <c r="BB32" s="472"/>
      <c r="BC32" s="472"/>
      <c r="BD32" s="473"/>
      <c r="BE32" s="107"/>
      <c r="BF32" s="521"/>
      <c r="BG32" s="522"/>
      <c r="BH32" s="522"/>
      <c r="BI32" s="522"/>
      <c r="BJ32" s="523"/>
      <c r="BK32" s="524"/>
      <c r="BL32" s="522"/>
      <c r="BM32" s="522"/>
      <c r="BN32" s="522"/>
      <c r="BO32" s="523"/>
      <c r="BP32" s="524"/>
      <c r="BQ32" s="522"/>
      <c r="BR32" s="522"/>
      <c r="BS32" s="522"/>
      <c r="BT32" s="525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</row>
    <row r="33" spans="1:106" ht="15.75" customHeight="1" thickTop="1" x14ac:dyDescent="0.2">
      <c r="A33" s="926"/>
      <c r="B33" s="927"/>
      <c r="C33" s="927"/>
      <c r="D33" s="927"/>
      <c r="E33" s="927"/>
      <c r="F33" s="927"/>
      <c r="G33" s="927"/>
      <c r="H33" s="644"/>
      <c r="I33" s="644"/>
      <c r="J33" s="644"/>
      <c r="K33" s="644"/>
      <c r="L33" s="644"/>
      <c r="M33" s="644"/>
      <c r="N33" s="1041"/>
      <c r="O33" s="644"/>
      <c r="P33" s="644"/>
      <c r="Q33" s="644"/>
      <c r="R33" s="644"/>
      <c r="S33" s="644"/>
      <c r="T33" s="638"/>
      <c r="U33" s="638"/>
      <c r="V33" s="638"/>
      <c r="W33" s="638"/>
      <c r="X33" s="638"/>
      <c r="Y33" s="638"/>
      <c r="Z33" s="638"/>
      <c r="AA33" s="638"/>
      <c r="AB33" s="638"/>
      <c r="AC33" s="638"/>
      <c r="AD33" s="638"/>
      <c r="AE33" s="638"/>
      <c r="AF33" s="644"/>
      <c r="AG33" s="644"/>
      <c r="AH33" s="644"/>
      <c r="AI33" s="928"/>
      <c r="AJ33" s="107"/>
      <c r="AK33" s="620" t="str">
        <f>IFERROR(AN33*(1-$BB$30),"")</f>
        <v/>
      </c>
      <c r="AL33" s="621"/>
      <c r="AM33" s="621"/>
      <c r="AN33" s="621" t="str">
        <f>IFERROR(($AK$53*Q33),"")</f>
        <v/>
      </c>
      <c r="AO33" s="621"/>
      <c r="AP33" s="621"/>
      <c r="AQ33" s="621" t="str">
        <f>IFERROR(AN33*(1+$BB$29),"")</f>
        <v/>
      </c>
      <c r="AR33" s="621"/>
      <c r="AS33" s="622"/>
      <c r="AT33" s="107"/>
      <c r="AU33" s="923" t="str">
        <f t="shared" ref="AU33:AU53" si="0">IF(AC33="","",IF(AC33&lt;Q33-(Q33*$BB$30),"Below "&amp;$BB$30*100&amp;"% by "&amp;Q33-(Q33*$BB$30)-AC33&amp;" CFM",IF(AC33&gt;Q33+(Q33*$BB$29),"Above "&amp;$BB$29*100&amp;"% by "&amp;AC33-Q33-(Q33*$BB$29)&amp;" CFM","")))</f>
        <v/>
      </c>
      <c r="AV33" s="924"/>
      <c r="AW33" s="924"/>
      <c r="AX33" s="924"/>
      <c r="AY33" s="924"/>
      <c r="AZ33" s="924"/>
      <c r="BA33" s="924"/>
      <c r="BB33" s="924"/>
      <c r="BC33" s="924"/>
      <c r="BD33" s="925"/>
      <c r="BE33" s="107"/>
      <c r="BF33" s="521"/>
      <c r="BG33" s="522"/>
      <c r="BH33" s="522"/>
      <c r="BI33" s="522"/>
      <c r="BJ33" s="523"/>
      <c r="BK33" s="524"/>
      <c r="BL33" s="522"/>
      <c r="BM33" s="522"/>
      <c r="BN33" s="522"/>
      <c r="BO33" s="523"/>
      <c r="BP33" s="524"/>
      <c r="BQ33" s="522"/>
      <c r="BR33" s="522"/>
      <c r="BS33" s="522"/>
      <c r="BT33" s="525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</row>
    <row r="34" spans="1:106" ht="12" customHeight="1" thickBot="1" x14ac:dyDescent="0.25">
      <c r="A34" s="926"/>
      <c r="B34" s="927"/>
      <c r="C34" s="927"/>
      <c r="D34" s="927"/>
      <c r="E34" s="927"/>
      <c r="F34" s="927"/>
      <c r="G34" s="927"/>
      <c r="H34" s="453"/>
      <c r="I34" s="453"/>
      <c r="J34" s="453"/>
      <c r="K34" s="453"/>
      <c r="L34" s="453"/>
      <c r="M34" s="453"/>
      <c r="N34" s="1040"/>
      <c r="O34" s="453"/>
      <c r="P34" s="453"/>
      <c r="Q34" s="453"/>
      <c r="R34" s="453"/>
      <c r="S34" s="453"/>
      <c r="T34" s="638"/>
      <c r="U34" s="638"/>
      <c r="V34" s="638"/>
      <c r="W34" s="638"/>
      <c r="X34" s="638"/>
      <c r="Y34" s="638"/>
      <c r="Z34" s="638"/>
      <c r="AA34" s="638"/>
      <c r="AB34" s="638"/>
      <c r="AC34" s="638"/>
      <c r="AD34" s="638"/>
      <c r="AE34" s="638"/>
      <c r="AF34" s="400"/>
      <c r="AG34" s="400"/>
      <c r="AH34" s="400"/>
      <c r="AI34" s="401"/>
      <c r="AJ34" s="107"/>
      <c r="AK34" s="620" t="str">
        <f t="shared" ref="AK34:AK52" si="1">IFERROR(AN34*(1-$BB$30),"")</f>
        <v/>
      </c>
      <c r="AL34" s="621"/>
      <c r="AM34" s="621"/>
      <c r="AN34" s="621" t="str">
        <f t="shared" ref="AN34:AN52" si="2">IFERROR(($AK$53*Q34),"")</f>
        <v/>
      </c>
      <c r="AO34" s="621"/>
      <c r="AP34" s="621"/>
      <c r="AQ34" s="621" t="str">
        <f t="shared" ref="AQ34:AQ52" si="3">IFERROR(AN34*(1+$BB$29),"")</f>
        <v/>
      </c>
      <c r="AR34" s="621"/>
      <c r="AS34" s="622"/>
      <c r="AT34" s="107"/>
      <c r="AU34" s="923" t="str">
        <f t="shared" si="0"/>
        <v/>
      </c>
      <c r="AV34" s="924"/>
      <c r="AW34" s="924"/>
      <c r="AX34" s="924"/>
      <c r="AY34" s="924"/>
      <c r="AZ34" s="924"/>
      <c r="BA34" s="924"/>
      <c r="BB34" s="924"/>
      <c r="BC34" s="924"/>
      <c r="BD34" s="925"/>
      <c r="BE34" s="107"/>
      <c r="BF34" s="528"/>
      <c r="BG34" s="529"/>
      <c r="BH34" s="529"/>
      <c r="BI34" s="529"/>
      <c r="BJ34" s="530"/>
      <c r="BK34" s="531"/>
      <c r="BL34" s="529"/>
      <c r="BM34" s="529"/>
      <c r="BN34" s="529"/>
      <c r="BO34" s="530"/>
      <c r="BP34" s="531"/>
      <c r="BQ34" s="529"/>
      <c r="BR34" s="529"/>
      <c r="BS34" s="529"/>
      <c r="BT34" s="532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</row>
    <row r="35" spans="1:106" ht="12" customHeight="1" x14ac:dyDescent="0.2">
      <c r="A35" s="926"/>
      <c r="B35" s="927"/>
      <c r="C35" s="927"/>
      <c r="D35" s="927"/>
      <c r="E35" s="927"/>
      <c r="F35" s="927"/>
      <c r="G35" s="927"/>
      <c r="H35" s="453"/>
      <c r="I35" s="453"/>
      <c r="J35" s="453"/>
      <c r="K35" s="453"/>
      <c r="L35" s="453"/>
      <c r="M35" s="453"/>
      <c r="N35" s="1040"/>
      <c r="O35" s="453"/>
      <c r="P35" s="453"/>
      <c r="Q35" s="453"/>
      <c r="R35" s="453"/>
      <c r="S35" s="453"/>
      <c r="T35" s="638"/>
      <c r="U35" s="638"/>
      <c r="V35" s="638"/>
      <c r="W35" s="638"/>
      <c r="X35" s="638"/>
      <c r="Y35" s="638"/>
      <c r="Z35" s="638"/>
      <c r="AA35" s="638"/>
      <c r="AB35" s="638"/>
      <c r="AC35" s="638"/>
      <c r="AD35" s="638"/>
      <c r="AE35" s="638"/>
      <c r="AF35" s="400"/>
      <c r="AG35" s="400"/>
      <c r="AH35" s="400"/>
      <c r="AI35" s="401"/>
      <c r="AJ35" s="107"/>
      <c r="AK35" s="620" t="str">
        <f t="shared" si="1"/>
        <v/>
      </c>
      <c r="AL35" s="621"/>
      <c r="AM35" s="621"/>
      <c r="AN35" s="621" t="str">
        <f t="shared" si="2"/>
        <v/>
      </c>
      <c r="AO35" s="621"/>
      <c r="AP35" s="621"/>
      <c r="AQ35" s="621" t="str">
        <f t="shared" si="3"/>
        <v/>
      </c>
      <c r="AR35" s="621"/>
      <c r="AS35" s="622"/>
      <c r="AT35" s="107"/>
      <c r="AU35" s="923" t="str">
        <f t="shared" si="0"/>
        <v/>
      </c>
      <c r="AV35" s="924"/>
      <c r="AW35" s="924"/>
      <c r="AX35" s="924"/>
      <c r="AY35" s="924"/>
      <c r="AZ35" s="924"/>
      <c r="BA35" s="924"/>
      <c r="BB35" s="924"/>
      <c r="BC35" s="924"/>
      <c r="BD35" s="925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</row>
    <row r="36" spans="1:106" ht="12" customHeight="1" x14ac:dyDescent="0.2">
      <c r="A36" s="926"/>
      <c r="B36" s="927"/>
      <c r="C36" s="927"/>
      <c r="D36" s="927"/>
      <c r="E36" s="927"/>
      <c r="F36" s="927"/>
      <c r="G36" s="927"/>
      <c r="H36" s="453"/>
      <c r="I36" s="453"/>
      <c r="J36" s="453"/>
      <c r="K36" s="453"/>
      <c r="L36" s="453"/>
      <c r="M36" s="453"/>
      <c r="N36" s="453"/>
      <c r="O36" s="453"/>
      <c r="P36" s="453"/>
      <c r="Q36" s="453"/>
      <c r="R36" s="453"/>
      <c r="S36" s="453"/>
      <c r="T36" s="638"/>
      <c r="U36" s="638"/>
      <c r="V36" s="638"/>
      <c r="W36" s="638"/>
      <c r="X36" s="638"/>
      <c r="Y36" s="638"/>
      <c r="Z36" s="638"/>
      <c r="AA36" s="638"/>
      <c r="AB36" s="638"/>
      <c r="AC36" s="638"/>
      <c r="AD36" s="638"/>
      <c r="AE36" s="638"/>
      <c r="AF36" s="400"/>
      <c r="AG36" s="400"/>
      <c r="AH36" s="400"/>
      <c r="AI36" s="401"/>
      <c r="AJ36" s="107"/>
      <c r="AK36" s="620" t="str">
        <f t="shared" si="1"/>
        <v/>
      </c>
      <c r="AL36" s="621"/>
      <c r="AM36" s="621"/>
      <c r="AN36" s="621" t="str">
        <f t="shared" si="2"/>
        <v/>
      </c>
      <c r="AO36" s="621"/>
      <c r="AP36" s="621"/>
      <c r="AQ36" s="621" t="str">
        <f t="shared" si="3"/>
        <v/>
      </c>
      <c r="AR36" s="621"/>
      <c r="AS36" s="622"/>
      <c r="AT36" s="107"/>
      <c r="AU36" s="923" t="str">
        <f t="shared" si="0"/>
        <v/>
      </c>
      <c r="AV36" s="924"/>
      <c r="AW36" s="924"/>
      <c r="AX36" s="924"/>
      <c r="AY36" s="924"/>
      <c r="AZ36" s="924"/>
      <c r="BA36" s="924"/>
      <c r="BB36" s="924"/>
      <c r="BC36" s="924"/>
      <c r="BD36" s="925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</row>
    <row r="37" spans="1:106" ht="12" customHeight="1" x14ac:dyDescent="0.2">
      <c r="A37" s="926"/>
      <c r="B37" s="927"/>
      <c r="C37" s="927"/>
      <c r="D37" s="927"/>
      <c r="E37" s="927"/>
      <c r="F37" s="927"/>
      <c r="G37" s="927"/>
      <c r="H37" s="453"/>
      <c r="I37" s="453"/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638"/>
      <c r="U37" s="638"/>
      <c r="V37" s="638"/>
      <c r="W37" s="638"/>
      <c r="X37" s="638"/>
      <c r="Y37" s="638"/>
      <c r="Z37" s="638"/>
      <c r="AA37" s="638"/>
      <c r="AB37" s="638"/>
      <c r="AC37" s="638"/>
      <c r="AD37" s="638"/>
      <c r="AE37" s="638"/>
      <c r="AF37" s="400"/>
      <c r="AG37" s="400"/>
      <c r="AH37" s="400"/>
      <c r="AI37" s="401"/>
      <c r="AJ37" s="107"/>
      <c r="AK37" s="620" t="str">
        <f t="shared" si="1"/>
        <v/>
      </c>
      <c r="AL37" s="621"/>
      <c r="AM37" s="621"/>
      <c r="AN37" s="621" t="str">
        <f t="shared" si="2"/>
        <v/>
      </c>
      <c r="AO37" s="621"/>
      <c r="AP37" s="621"/>
      <c r="AQ37" s="621" t="str">
        <f t="shared" si="3"/>
        <v/>
      </c>
      <c r="AR37" s="621"/>
      <c r="AS37" s="622"/>
      <c r="AT37" s="107"/>
      <c r="AU37" s="923" t="str">
        <f t="shared" si="0"/>
        <v/>
      </c>
      <c r="AV37" s="924"/>
      <c r="AW37" s="924"/>
      <c r="AX37" s="924"/>
      <c r="AY37" s="924"/>
      <c r="AZ37" s="924"/>
      <c r="BA37" s="924"/>
      <c r="BB37" s="924"/>
      <c r="BC37" s="924"/>
      <c r="BD37" s="925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</row>
    <row r="38" spans="1:106" ht="12" customHeight="1" x14ac:dyDescent="0.2">
      <c r="A38" s="926"/>
      <c r="B38" s="927"/>
      <c r="C38" s="927"/>
      <c r="D38" s="927"/>
      <c r="E38" s="927"/>
      <c r="F38" s="927"/>
      <c r="G38" s="927"/>
      <c r="H38" s="453"/>
      <c r="I38" s="453"/>
      <c r="J38" s="453"/>
      <c r="K38" s="453"/>
      <c r="L38" s="453"/>
      <c r="M38" s="453"/>
      <c r="N38" s="453"/>
      <c r="O38" s="453"/>
      <c r="P38" s="453"/>
      <c r="Q38" s="453"/>
      <c r="R38" s="453"/>
      <c r="S38" s="453"/>
      <c r="T38" s="638"/>
      <c r="U38" s="638"/>
      <c r="V38" s="638"/>
      <c r="W38" s="638"/>
      <c r="X38" s="638"/>
      <c r="Y38" s="638"/>
      <c r="Z38" s="638"/>
      <c r="AA38" s="638"/>
      <c r="AB38" s="638"/>
      <c r="AC38" s="638"/>
      <c r="AD38" s="638"/>
      <c r="AE38" s="638"/>
      <c r="AF38" s="400"/>
      <c r="AG38" s="400"/>
      <c r="AH38" s="400"/>
      <c r="AI38" s="401"/>
      <c r="AJ38" s="107"/>
      <c r="AK38" s="620" t="str">
        <f t="shared" si="1"/>
        <v/>
      </c>
      <c r="AL38" s="621"/>
      <c r="AM38" s="621"/>
      <c r="AN38" s="621" t="str">
        <f t="shared" si="2"/>
        <v/>
      </c>
      <c r="AO38" s="621"/>
      <c r="AP38" s="621"/>
      <c r="AQ38" s="621" t="str">
        <f t="shared" si="3"/>
        <v/>
      </c>
      <c r="AR38" s="621"/>
      <c r="AS38" s="622"/>
      <c r="AT38" s="107"/>
      <c r="AU38" s="923" t="str">
        <f t="shared" si="0"/>
        <v/>
      </c>
      <c r="AV38" s="924"/>
      <c r="AW38" s="924"/>
      <c r="AX38" s="924"/>
      <c r="AY38" s="924"/>
      <c r="AZ38" s="924"/>
      <c r="BA38" s="924"/>
      <c r="BB38" s="924"/>
      <c r="BC38" s="924"/>
      <c r="BD38" s="925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</row>
    <row r="39" spans="1:106" ht="12" customHeight="1" x14ac:dyDescent="0.2">
      <c r="A39" s="926"/>
      <c r="B39" s="927"/>
      <c r="C39" s="927"/>
      <c r="D39" s="927"/>
      <c r="E39" s="927"/>
      <c r="F39" s="927"/>
      <c r="G39" s="927"/>
      <c r="H39" s="453"/>
      <c r="I39" s="453"/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638"/>
      <c r="U39" s="638"/>
      <c r="V39" s="638"/>
      <c r="W39" s="638"/>
      <c r="X39" s="638"/>
      <c r="Y39" s="638"/>
      <c r="Z39" s="638"/>
      <c r="AA39" s="638"/>
      <c r="AB39" s="638"/>
      <c r="AC39" s="638"/>
      <c r="AD39" s="638"/>
      <c r="AE39" s="638"/>
      <c r="AF39" s="400"/>
      <c r="AG39" s="400"/>
      <c r="AH39" s="400"/>
      <c r="AI39" s="401"/>
      <c r="AJ39" s="107"/>
      <c r="AK39" s="620" t="str">
        <f t="shared" si="1"/>
        <v/>
      </c>
      <c r="AL39" s="621"/>
      <c r="AM39" s="621"/>
      <c r="AN39" s="621" t="str">
        <f t="shared" si="2"/>
        <v/>
      </c>
      <c r="AO39" s="621"/>
      <c r="AP39" s="621"/>
      <c r="AQ39" s="621" t="str">
        <f t="shared" si="3"/>
        <v/>
      </c>
      <c r="AR39" s="621"/>
      <c r="AS39" s="622"/>
      <c r="AT39" s="107"/>
      <c r="AU39" s="923" t="str">
        <f t="shared" si="0"/>
        <v/>
      </c>
      <c r="AV39" s="924"/>
      <c r="AW39" s="924"/>
      <c r="AX39" s="924"/>
      <c r="AY39" s="924"/>
      <c r="AZ39" s="924"/>
      <c r="BA39" s="924"/>
      <c r="BB39" s="924"/>
      <c r="BC39" s="924"/>
      <c r="BD39" s="925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</row>
    <row r="40" spans="1:106" ht="12" customHeight="1" x14ac:dyDescent="0.2">
      <c r="A40" s="926"/>
      <c r="B40" s="927"/>
      <c r="C40" s="927"/>
      <c r="D40" s="927"/>
      <c r="E40" s="927"/>
      <c r="F40" s="927"/>
      <c r="G40" s="927"/>
      <c r="H40" s="453"/>
      <c r="I40" s="453"/>
      <c r="J40" s="453"/>
      <c r="K40" s="453"/>
      <c r="L40" s="453"/>
      <c r="M40" s="453"/>
      <c r="N40" s="453"/>
      <c r="O40" s="453"/>
      <c r="P40" s="453"/>
      <c r="Q40" s="453"/>
      <c r="R40" s="453"/>
      <c r="S40" s="453"/>
      <c r="T40" s="638"/>
      <c r="U40" s="638"/>
      <c r="V40" s="638"/>
      <c r="W40" s="638"/>
      <c r="X40" s="638"/>
      <c r="Y40" s="638"/>
      <c r="Z40" s="638"/>
      <c r="AA40" s="638"/>
      <c r="AB40" s="638"/>
      <c r="AC40" s="638"/>
      <c r="AD40" s="638"/>
      <c r="AE40" s="638"/>
      <c r="AF40" s="400"/>
      <c r="AG40" s="400"/>
      <c r="AH40" s="400"/>
      <c r="AI40" s="401"/>
      <c r="AJ40" s="107"/>
      <c r="AK40" s="620" t="str">
        <f t="shared" si="1"/>
        <v/>
      </c>
      <c r="AL40" s="621"/>
      <c r="AM40" s="621"/>
      <c r="AN40" s="621" t="str">
        <f t="shared" si="2"/>
        <v/>
      </c>
      <c r="AO40" s="621"/>
      <c r="AP40" s="621"/>
      <c r="AQ40" s="621" t="str">
        <f t="shared" si="3"/>
        <v/>
      </c>
      <c r="AR40" s="621"/>
      <c r="AS40" s="622"/>
      <c r="AT40" s="107"/>
      <c r="AU40" s="923" t="str">
        <f t="shared" si="0"/>
        <v/>
      </c>
      <c r="AV40" s="924"/>
      <c r="AW40" s="924"/>
      <c r="AX40" s="924"/>
      <c r="AY40" s="924"/>
      <c r="AZ40" s="924"/>
      <c r="BA40" s="924"/>
      <c r="BB40" s="924"/>
      <c r="BC40" s="924"/>
      <c r="BD40" s="925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</row>
    <row r="41" spans="1:106" ht="12" customHeight="1" x14ac:dyDescent="0.2">
      <c r="A41" s="926"/>
      <c r="B41" s="927"/>
      <c r="C41" s="927"/>
      <c r="D41" s="927"/>
      <c r="E41" s="927"/>
      <c r="F41" s="927"/>
      <c r="G41" s="927"/>
      <c r="H41" s="453"/>
      <c r="I41" s="453"/>
      <c r="J41" s="453"/>
      <c r="K41" s="453"/>
      <c r="L41" s="453"/>
      <c r="M41" s="453"/>
      <c r="N41" s="453"/>
      <c r="O41" s="453"/>
      <c r="P41" s="453"/>
      <c r="Q41" s="453"/>
      <c r="R41" s="453"/>
      <c r="S41" s="453"/>
      <c r="T41" s="638"/>
      <c r="U41" s="638"/>
      <c r="V41" s="638"/>
      <c r="W41" s="638"/>
      <c r="X41" s="638"/>
      <c r="Y41" s="638"/>
      <c r="Z41" s="638"/>
      <c r="AA41" s="638"/>
      <c r="AB41" s="638"/>
      <c r="AC41" s="638"/>
      <c r="AD41" s="638"/>
      <c r="AE41" s="638"/>
      <c r="AF41" s="400"/>
      <c r="AG41" s="400"/>
      <c r="AH41" s="400"/>
      <c r="AI41" s="401"/>
      <c r="AJ41" s="107"/>
      <c r="AK41" s="620" t="str">
        <f t="shared" si="1"/>
        <v/>
      </c>
      <c r="AL41" s="621"/>
      <c r="AM41" s="621"/>
      <c r="AN41" s="621" t="str">
        <f t="shared" si="2"/>
        <v/>
      </c>
      <c r="AO41" s="621"/>
      <c r="AP41" s="621"/>
      <c r="AQ41" s="621" t="str">
        <f t="shared" si="3"/>
        <v/>
      </c>
      <c r="AR41" s="621"/>
      <c r="AS41" s="622"/>
      <c r="AT41" s="107"/>
      <c r="AU41" s="923" t="str">
        <f t="shared" si="0"/>
        <v/>
      </c>
      <c r="AV41" s="924"/>
      <c r="AW41" s="924"/>
      <c r="AX41" s="924"/>
      <c r="AY41" s="924"/>
      <c r="AZ41" s="924"/>
      <c r="BA41" s="924"/>
      <c r="BB41" s="924"/>
      <c r="BC41" s="924"/>
      <c r="BD41" s="925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</row>
    <row r="42" spans="1:106" ht="12" customHeight="1" x14ac:dyDescent="0.2">
      <c r="A42" s="926"/>
      <c r="B42" s="927"/>
      <c r="C42" s="927"/>
      <c r="D42" s="927"/>
      <c r="E42" s="927"/>
      <c r="F42" s="927"/>
      <c r="G42" s="927"/>
      <c r="H42" s="453"/>
      <c r="I42" s="453"/>
      <c r="J42" s="453"/>
      <c r="K42" s="453"/>
      <c r="L42" s="453"/>
      <c r="M42" s="453"/>
      <c r="N42" s="453"/>
      <c r="O42" s="453"/>
      <c r="P42" s="453"/>
      <c r="Q42" s="453"/>
      <c r="R42" s="453"/>
      <c r="S42" s="453"/>
      <c r="T42" s="638"/>
      <c r="U42" s="638"/>
      <c r="V42" s="638"/>
      <c r="W42" s="638"/>
      <c r="X42" s="638"/>
      <c r="Y42" s="638"/>
      <c r="Z42" s="638"/>
      <c r="AA42" s="638"/>
      <c r="AB42" s="638"/>
      <c r="AC42" s="638"/>
      <c r="AD42" s="638"/>
      <c r="AE42" s="638"/>
      <c r="AF42" s="400"/>
      <c r="AG42" s="400"/>
      <c r="AH42" s="400"/>
      <c r="AI42" s="401"/>
      <c r="AJ42" s="107"/>
      <c r="AK42" s="620" t="str">
        <f t="shared" si="1"/>
        <v/>
      </c>
      <c r="AL42" s="621"/>
      <c r="AM42" s="621"/>
      <c r="AN42" s="621" t="str">
        <f t="shared" si="2"/>
        <v/>
      </c>
      <c r="AO42" s="621"/>
      <c r="AP42" s="621"/>
      <c r="AQ42" s="621" t="str">
        <f t="shared" si="3"/>
        <v/>
      </c>
      <c r="AR42" s="621"/>
      <c r="AS42" s="622"/>
      <c r="AT42" s="107"/>
      <c r="AU42" s="923" t="str">
        <f t="shared" si="0"/>
        <v/>
      </c>
      <c r="AV42" s="924"/>
      <c r="AW42" s="924"/>
      <c r="AX42" s="924"/>
      <c r="AY42" s="924"/>
      <c r="AZ42" s="924"/>
      <c r="BA42" s="924"/>
      <c r="BB42" s="924"/>
      <c r="BC42" s="924"/>
      <c r="BD42" s="925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7"/>
      <c r="CP42" s="107"/>
      <c r="CQ42" s="107"/>
      <c r="CR42" s="107"/>
      <c r="CS42" s="107"/>
      <c r="CT42" s="107"/>
      <c r="CU42" s="107"/>
      <c r="CV42" s="107"/>
      <c r="CW42" s="107"/>
      <c r="CX42" s="107"/>
      <c r="CY42" s="107"/>
      <c r="CZ42" s="107"/>
      <c r="DA42" s="107"/>
      <c r="DB42" s="107"/>
    </row>
    <row r="43" spans="1:106" ht="12" customHeight="1" x14ac:dyDescent="0.2">
      <c r="A43" s="926"/>
      <c r="B43" s="927"/>
      <c r="C43" s="927"/>
      <c r="D43" s="927"/>
      <c r="E43" s="927"/>
      <c r="F43" s="927"/>
      <c r="G43" s="927"/>
      <c r="H43" s="453"/>
      <c r="I43" s="453"/>
      <c r="J43" s="453"/>
      <c r="K43" s="453"/>
      <c r="L43" s="453"/>
      <c r="M43" s="453"/>
      <c r="N43" s="453"/>
      <c r="O43" s="453"/>
      <c r="P43" s="453"/>
      <c r="Q43" s="453"/>
      <c r="R43" s="453"/>
      <c r="S43" s="453"/>
      <c r="T43" s="638"/>
      <c r="U43" s="638"/>
      <c r="V43" s="638"/>
      <c r="W43" s="638"/>
      <c r="X43" s="638"/>
      <c r="Y43" s="638"/>
      <c r="Z43" s="638"/>
      <c r="AA43" s="638"/>
      <c r="AB43" s="638"/>
      <c r="AC43" s="638"/>
      <c r="AD43" s="638"/>
      <c r="AE43" s="638"/>
      <c r="AF43" s="400"/>
      <c r="AG43" s="400"/>
      <c r="AH43" s="400"/>
      <c r="AI43" s="401"/>
      <c r="AJ43" s="107"/>
      <c r="AK43" s="620" t="str">
        <f t="shared" si="1"/>
        <v/>
      </c>
      <c r="AL43" s="621"/>
      <c r="AM43" s="621"/>
      <c r="AN43" s="621" t="str">
        <f t="shared" si="2"/>
        <v/>
      </c>
      <c r="AO43" s="621"/>
      <c r="AP43" s="621"/>
      <c r="AQ43" s="621" t="str">
        <f t="shared" si="3"/>
        <v/>
      </c>
      <c r="AR43" s="621"/>
      <c r="AS43" s="622"/>
      <c r="AT43" s="107"/>
      <c r="AU43" s="923" t="str">
        <f t="shared" si="0"/>
        <v/>
      </c>
      <c r="AV43" s="924"/>
      <c r="AW43" s="924"/>
      <c r="AX43" s="924"/>
      <c r="AY43" s="924"/>
      <c r="AZ43" s="924"/>
      <c r="BA43" s="924"/>
      <c r="BB43" s="924"/>
      <c r="BC43" s="924"/>
      <c r="BD43" s="925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</row>
    <row r="44" spans="1:106" ht="12" customHeight="1" x14ac:dyDescent="0.2">
      <c r="A44" s="926"/>
      <c r="B44" s="927"/>
      <c r="C44" s="927"/>
      <c r="D44" s="927"/>
      <c r="E44" s="927"/>
      <c r="F44" s="927"/>
      <c r="G44" s="927"/>
      <c r="H44" s="453"/>
      <c r="I44" s="453"/>
      <c r="J44" s="453"/>
      <c r="K44" s="453"/>
      <c r="L44" s="453"/>
      <c r="M44" s="453"/>
      <c r="N44" s="453"/>
      <c r="O44" s="453"/>
      <c r="P44" s="453"/>
      <c r="Q44" s="453"/>
      <c r="R44" s="453"/>
      <c r="S44" s="453"/>
      <c r="T44" s="638"/>
      <c r="U44" s="638"/>
      <c r="V44" s="638"/>
      <c r="W44" s="638"/>
      <c r="X44" s="638"/>
      <c r="Y44" s="638"/>
      <c r="Z44" s="638"/>
      <c r="AA44" s="638"/>
      <c r="AB44" s="638"/>
      <c r="AC44" s="638"/>
      <c r="AD44" s="638"/>
      <c r="AE44" s="638"/>
      <c r="AF44" s="400"/>
      <c r="AG44" s="400"/>
      <c r="AH44" s="400"/>
      <c r="AI44" s="401"/>
      <c r="AJ44" s="107"/>
      <c r="AK44" s="620" t="str">
        <f t="shared" si="1"/>
        <v/>
      </c>
      <c r="AL44" s="621"/>
      <c r="AM44" s="621"/>
      <c r="AN44" s="621" t="str">
        <f t="shared" si="2"/>
        <v/>
      </c>
      <c r="AO44" s="621"/>
      <c r="AP44" s="621"/>
      <c r="AQ44" s="621" t="str">
        <f t="shared" si="3"/>
        <v/>
      </c>
      <c r="AR44" s="621"/>
      <c r="AS44" s="622"/>
      <c r="AT44" s="107"/>
      <c r="AU44" s="923" t="str">
        <f t="shared" si="0"/>
        <v/>
      </c>
      <c r="AV44" s="924"/>
      <c r="AW44" s="924"/>
      <c r="AX44" s="924"/>
      <c r="AY44" s="924"/>
      <c r="AZ44" s="924"/>
      <c r="BA44" s="924"/>
      <c r="BB44" s="924"/>
      <c r="BC44" s="924"/>
      <c r="BD44" s="925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</row>
    <row r="45" spans="1:106" ht="12" customHeight="1" x14ac:dyDescent="0.2">
      <c r="A45" s="926"/>
      <c r="B45" s="927"/>
      <c r="C45" s="927"/>
      <c r="D45" s="927"/>
      <c r="E45" s="927"/>
      <c r="F45" s="927"/>
      <c r="G45" s="927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53"/>
      <c r="S45" s="453"/>
      <c r="T45" s="638"/>
      <c r="U45" s="638"/>
      <c r="V45" s="638"/>
      <c r="W45" s="638"/>
      <c r="X45" s="638"/>
      <c r="Y45" s="638"/>
      <c r="Z45" s="638"/>
      <c r="AA45" s="638"/>
      <c r="AB45" s="638"/>
      <c r="AC45" s="638"/>
      <c r="AD45" s="638"/>
      <c r="AE45" s="638"/>
      <c r="AF45" s="400"/>
      <c r="AG45" s="400"/>
      <c r="AH45" s="400"/>
      <c r="AI45" s="401"/>
      <c r="AJ45" s="107"/>
      <c r="AK45" s="620" t="str">
        <f t="shared" si="1"/>
        <v/>
      </c>
      <c r="AL45" s="621"/>
      <c r="AM45" s="621"/>
      <c r="AN45" s="621" t="str">
        <f t="shared" si="2"/>
        <v/>
      </c>
      <c r="AO45" s="621"/>
      <c r="AP45" s="621"/>
      <c r="AQ45" s="621" t="str">
        <f t="shared" si="3"/>
        <v/>
      </c>
      <c r="AR45" s="621"/>
      <c r="AS45" s="622"/>
      <c r="AT45" s="107"/>
      <c r="AU45" s="923" t="str">
        <f t="shared" si="0"/>
        <v/>
      </c>
      <c r="AV45" s="924"/>
      <c r="AW45" s="924"/>
      <c r="AX45" s="924"/>
      <c r="AY45" s="924"/>
      <c r="AZ45" s="924"/>
      <c r="BA45" s="924"/>
      <c r="BB45" s="924"/>
      <c r="BC45" s="924"/>
      <c r="BD45" s="925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</row>
    <row r="46" spans="1:106" ht="12" customHeight="1" x14ac:dyDescent="0.2">
      <c r="A46" s="926"/>
      <c r="B46" s="927"/>
      <c r="C46" s="927"/>
      <c r="D46" s="927"/>
      <c r="E46" s="927"/>
      <c r="F46" s="927"/>
      <c r="G46" s="927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638"/>
      <c r="U46" s="638"/>
      <c r="V46" s="638"/>
      <c r="W46" s="638"/>
      <c r="X46" s="638"/>
      <c r="Y46" s="638"/>
      <c r="Z46" s="638"/>
      <c r="AA46" s="638"/>
      <c r="AB46" s="638"/>
      <c r="AC46" s="638"/>
      <c r="AD46" s="638"/>
      <c r="AE46" s="638"/>
      <c r="AF46" s="400"/>
      <c r="AG46" s="400"/>
      <c r="AH46" s="400"/>
      <c r="AI46" s="401"/>
      <c r="AJ46" s="107"/>
      <c r="AK46" s="620" t="str">
        <f t="shared" si="1"/>
        <v/>
      </c>
      <c r="AL46" s="621"/>
      <c r="AM46" s="621"/>
      <c r="AN46" s="621" t="str">
        <f t="shared" si="2"/>
        <v/>
      </c>
      <c r="AO46" s="621"/>
      <c r="AP46" s="621"/>
      <c r="AQ46" s="621" t="str">
        <f t="shared" si="3"/>
        <v/>
      </c>
      <c r="AR46" s="621"/>
      <c r="AS46" s="622"/>
      <c r="AT46" s="107"/>
      <c r="AU46" s="923" t="str">
        <f t="shared" si="0"/>
        <v/>
      </c>
      <c r="AV46" s="924"/>
      <c r="AW46" s="924"/>
      <c r="AX46" s="924"/>
      <c r="AY46" s="924"/>
      <c r="AZ46" s="924"/>
      <c r="BA46" s="924"/>
      <c r="BB46" s="924"/>
      <c r="BC46" s="924"/>
      <c r="BD46" s="925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  <c r="CI46" s="107"/>
      <c r="CJ46" s="107"/>
      <c r="CK46" s="107"/>
      <c r="CL46" s="107"/>
      <c r="CM46" s="107"/>
      <c r="CN46" s="107"/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B46" s="107"/>
    </row>
    <row r="47" spans="1:106" ht="12" customHeight="1" x14ac:dyDescent="0.2">
      <c r="A47" s="926"/>
      <c r="B47" s="927"/>
      <c r="C47" s="927"/>
      <c r="D47" s="927"/>
      <c r="E47" s="927"/>
      <c r="F47" s="927"/>
      <c r="G47" s="927"/>
      <c r="H47" s="453"/>
      <c r="I47" s="453"/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638"/>
      <c r="U47" s="638"/>
      <c r="V47" s="638"/>
      <c r="W47" s="638"/>
      <c r="X47" s="638"/>
      <c r="Y47" s="638"/>
      <c r="Z47" s="638"/>
      <c r="AA47" s="638"/>
      <c r="AB47" s="638"/>
      <c r="AC47" s="638"/>
      <c r="AD47" s="638"/>
      <c r="AE47" s="638"/>
      <c r="AF47" s="400"/>
      <c r="AG47" s="400"/>
      <c r="AH47" s="400"/>
      <c r="AI47" s="401"/>
      <c r="AJ47" s="107"/>
      <c r="AK47" s="620" t="str">
        <f t="shared" si="1"/>
        <v/>
      </c>
      <c r="AL47" s="621"/>
      <c r="AM47" s="621"/>
      <c r="AN47" s="621" t="str">
        <f t="shared" si="2"/>
        <v/>
      </c>
      <c r="AO47" s="621"/>
      <c r="AP47" s="621"/>
      <c r="AQ47" s="621" t="str">
        <f t="shared" si="3"/>
        <v/>
      </c>
      <c r="AR47" s="621"/>
      <c r="AS47" s="622"/>
      <c r="AT47" s="107"/>
      <c r="AU47" s="923" t="str">
        <f t="shared" si="0"/>
        <v/>
      </c>
      <c r="AV47" s="924"/>
      <c r="AW47" s="924"/>
      <c r="AX47" s="924"/>
      <c r="AY47" s="924"/>
      <c r="AZ47" s="924"/>
      <c r="BA47" s="924"/>
      <c r="BB47" s="924"/>
      <c r="BC47" s="924"/>
      <c r="BD47" s="925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  <c r="BV47" s="107"/>
      <c r="BW47" s="107"/>
      <c r="BX47" s="107"/>
      <c r="BY47" s="107"/>
      <c r="BZ47" s="107"/>
      <c r="CA47" s="107"/>
      <c r="CB47" s="107"/>
      <c r="CC47" s="107"/>
      <c r="CD47" s="107"/>
      <c r="CE47" s="107"/>
      <c r="CF47" s="107"/>
      <c r="CG47" s="107"/>
      <c r="CH47" s="107"/>
      <c r="CI47" s="107"/>
      <c r="CJ47" s="107"/>
      <c r="CK47" s="107"/>
      <c r="CL47" s="107"/>
      <c r="CM47" s="107"/>
      <c r="CN47" s="107"/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B47" s="107"/>
    </row>
    <row r="48" spans="1:106" ht="12" customHeight="1" x14ac:dyDescent="0.2">
      <c r="A48" s="926"/>
      <c r="B48" s="927"/>
      <c r="C48" s="927"/>
      <c r="D48" s="927"/>
      <c r="E48" s="927"/>
      <c r="F48" s="927"/>
      <c r="G48" s="927"/>
      <c r="H48" s="453"/>
      <c r="I48" s="453"/>
      <c r="J48" s="453"/>
      <c r="K48" s="453"/>
      <c r="L48" s="453"/>
      <c r="M48" s="453"/>
      <c r="N48" s="453"/>
      <c r="O48" s="453"/>
      <c r="P48" s="453"/>
      <c r="Q48" s="453"/>
      <c r="R48" s="453"/>
      <c r="S48" s="453"/>
      <c r="T48" s="638"/>
      <c r="U48" s="638"/>
      <c r="V48" s="638"/>
      <c r="W48" s="638"/>
      <c r="X48" s="638"/>
      <c r="Y48" s="638"/>
      <c r="Z48" s="638"/>
      <c r="AA48" s="638"/>
      <c r="AB48" s="638"/>
      <c r="AC48" s="638"/>
      <c r="AD48" s="638"/>
      <c r="AE48" s="638"/>
      <c r="AF48" s="400"/>
      <c r="AG48" s="400"/>
      <c r="AH48" s="400"/>
      <c r="AI48" s="401"/>
      <c r="AJ48" s="107"/>
      <c r="AK48" s="620" t="str">
        <f t="shared" si="1"/>
        <v/>
      </c>
      <c r="AL48" s="621"/>
      <c r="AM48" s="621"/>
      <c r="AN48" s="621" t="str">
        <f t="shared" si="2"/>
        <v/>
      </c>
      <c r="AO48" s="621"/>
      <c r="AP48" s="621"/>
      <c r="AQ48" s="621" t="str">
        <f t="shared" si="3"/>
        <v/>
      </c>
      <c r="AR48" s="621"/>
      <c r="AS48" s="622"/>
      <c r="AT48" s="107"/>
      <c r="AU48" s="923" t="str">
        <f t="shared" si="0"/>
        <v/>
      </c>
      <c r="AV48" s="924"/>
      <c r="AW48" s="924"/>
      <c r="AX48" s="924"/>
      <c r="AY48" s="924"/>
      <c r="AZ48" s="924"/>
      <c r="BA48" s="924"/>
      <c r="BB48" s="924"/>
      <c r="BC48" s="924"/>
      <c r="BD48" s="925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  <c r="CJ48" s="107"/>
      <c r="CK48" s="107"/>
      <c r="CL48" s="107"/>
      <c r="CM48" s="107"/>
      <c r="CN48" s="107"/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B48" s="107"/>
    </row>
    <row r="49" spans="1:106" ht="12" customHeight="1" x14ac:dyDescent="0.2">
      <c r="A49" s="926"/>
      <c r="B49" s="927"/>
      <c r="C49" s="927"/>
      <c r="D49" s="927"/>
      <c r="E49" s="927"/>
      <c r="F49" s="927"/>
      <c r="G49" s="927"/>
      <c r="H49" s="453"/>
      <c r="I49" s="453"/>
      <c r="J49" s="453"/>
      <c r="K49" s="453"/>
      <c r="L49" s="453"/>
      <c r="M49" s="453"/>
      <c r="N49" s="453"/>
      <c r="O49" s="453"/>
      <c r="P49" s="453"/>
      <c r="Q49" s="453"/>
      <c r="R49" s="453"/>
      <c r="S49" s="453"/>
      <c r="T49" s="638"/>
      <c r="U49" s="638"/>
      <c r="V49" s="638"/>
      <c r="W49" s="638"/>
      <c r="X49" s="638"/>
      <c r="Y49" s="638"/>
      <c r="Z49" s="638"/>
      <c r="AA49" s="638"/>
      <c r="AB49" s="638"/>
      <c r="AC49" s="638"/>
      <c r="AD49" s="638"/>
      <c r="AE49" s="638"/>
      <c r="AF49" s="400"/>
      <c r="AG49" s="400"/>
      <c r="AH49" s="400"/>
      <c r="AI49" s="401"/>
      <c r="AJ49" s="107"/>
      <c r="AK49" s="620" t="str">
        <f t="shared" si="1"/>
        <v/>
      </c>
      <c r="AL49" s="621"/>
      <c r="AM49" s="621"/>
      <c r="AN49" s="621" t="str">
        <f t="shared" si="2"/>
        <v/>
      </c>
      <c r="AO49" s="621"/>
      <c r="AP49" s="621"/>
      <c r="AQ49" s="621" t="str">
        <f t="shared" si="3"/>
        <v/>
      </c>
      <c r="AR49" s="621"/>
      <c r="AS49" s="622"/>
      <c r="AT49" s="107"/>
      <c r="AU49" s="923" t="str">
        <f t="shared" si="0"/>
        <v/>
      </c>
      <c r="AV49" s="924"/>
      <c r="AW49" s="924"/>
      <c r="AX49" s="924"/>
      <c r="AY49" s="924"/>
      <c r="AZ49" s="924"/>
      <c r="BA49" s="924"/>
      <c r="BB49" s="924"/>
      <c r="BC49" s="924"/>
      <c r="BD49" s="925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  <c r="BV49" s="107"/>
      <c r="BW49" s="107"/>
      <c r="BX49" s="107"/>
      <c r="BY49" s="107"/>
      <c r="BZ49" s="107"/>
      <c r="CA49" s="107"/>
      <c r="CB49" s="107"/>
      <c r="CC49" s="107"/>
      <c r="CD49" s="107"/>
      <c r="CE49" s="107"/>
      <c r="CF49" s="107"/>
      <c r="CG49" s="107"/>
      <c r="CH49" s="107"/>
      <c r="CI49" s="107"/>
      <c r="CJ49" s="107"/>
      <c r="CK49" s="107"/>
      <c r="CL49" s="107"/>
      <c r="CM49" s="107"/>
      <c r="CN49" s="107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B49" s="107"/>
    </row>
    <row r="50" spans="1:106" ht="12" customHeight="1" x14ac:dyDescent="0.2">
      <c r="A50" s="926"/>
      <c r="B50" s="927"/>
      <c r="C50" s="927"/>
      <c r="D50" s="927"/>
      <c r="E50" s="927"/>
      <c r="F50" s="927"/>
      <c r="G50" s="927"/>
      <c r="H50" s="453"/>
      <c r="I50" s="453"/>
      <c r="J50" s="453"/>
      <c r="K50" s="453"/>
      <c r="L50" s="453"/>
      <c r="M50" s="453"/>
      <c r="N50" s="453"/>
      <c r="O50" s="453"/>
      <c r="P50" s="453"/>
      <c r="Q50" s="453"/>
      <c r="R50" s="453"/>
      <c r="S50" s="453"/>
      <c r="T50" s="638"/>
      <c r="U50" s="638"/>
      <c r="V50" s="638"/>
      <c r="W50" s="638"/>
      <c r="X50" s="638"/>
      <c r="Y50" s="638"/>
      <c r="Z50" s="638"/>
      <c r="AA50" s="638"/>
      <c r="AB50" s="638"/>
      <c r="AC50" s="638"/>
      <c r="AD50" s="638"/>
      <c r="AE50" s="638"/>
      <c r="AF50" s="400"/>
      <c r="AG50" s="400"/>
      <c r="AH50" s="400"/>
      <c r="AI50" s="401"/>
      <c r="AJ50" s="107"/>
      <c r="AK50" s="620" t="str">
        <f t="shared" si="1"/>
        <v/>
      </c>
      <c r="AL50" s="621"/>
      <c r="AM50" s="621"/>
      <c r="AN50" s="621" t="str">
        <f t="shared" si="2"/>
        <v/>
      </c>
      <c r="AO50" s="621"/>
      <c r="AP50" s="621"/>
      <c r="AQ50" s="621" t="str">
        <f t="shared" si="3"/>
        <v/>
      </c>
      <c r="AR50" s="621"/>
      <c r="AS50" s="622"/>
      <c r="AT50" s="107"/>
      <c r="AU50" s="923" t="str">
        <f t="shared" si="0"/>
        <v/>
      </c>
      <c r="AV50" s="924"/>
      <c r="AW50" s="924"/>
      <c r="AX50" s="924"/>
      <c r="AY50" s="924"/>
      <c r="AZ50" s="924"/>
      <c r="BA50" s="924"/>
      <c r="BB50" s="924"/>
      <c r="BC50" s="924"/>
      <c r="BD50" s="925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107"/>
      <c r="CH50" s="107"/>
      <c r="CI50" s="107"/>
      <c r="CJ50" s="107"/>
      <c r="CK50" s="107"/>
      <c r="CL50" s="107"/>
      <c r="CM50" s="107"/>
      <c r="CN50" s="107"/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B50" s="107"/>
    </row>
    <row r="51" spans="1:106" ht="12" customHeight="1" x14ac:dyDescent="0.2">
      <c r="A51" s="926"/>
      <c r="B51" s="927"/>
      <c r="C51" s="927"/>
      <c r="D51" s="927"/>
      <c r="E51" s="927"/>
      <c r="F51" s="927"/>
      <c r="G51" s="927"/>
      <c r="H51" s="453"/>
      <c r="I51" s="453"/>
      <c r="J51" s="453"/>
      <c r="K51" s="453"/>
      <c r="L51" s="453"/>
      <c r="M51" s="453"/>
      <c r="N51" s="453"/>
      <c r="O51" s="453"/>
      <c r="P51" s="453"/>
      <c r="Q51" s="453"/>
      <c r="R51" s="453"/>
      <c r="S51" s="453"/>
      <c r="T51" s="638"/>
      <c r="U51" s="638"/>
      <c r="V51" s="638"/>
      <c r="W51" s="638"/>
      <c r="X51" s="638"/>
      <c r="Y51" s="638"/>
      <c r="Z51" s="638"/>
      <c r="AA51" s="638"/>
      <c r="AB51" s="638"/>
      <c r="AC51" s="638"/>
      <c r="AD51" s="638"/>
      <c r="AE51" s="638"/>
      <c r="AF51" s="400"/>
      <c r="AG51" s="400"/>
      <c r="AH51" s="400"/>
      <c r="AI51" s="401"/>
      <c r="AJ51" s="107"/>
      <c r="AK51" s="620" t="str">
        <f t="shared" si="1"/>
        <v/>
      </c>
      <c r="AL51" s="621"/>
      <c r="AM51" s="621"/>
      <c r="AN51" s="621" t="str">
        <f t="shared" si="2"/>
        <v/>
      </c>
      <c r="AO51" s="621"/>
      <c r="AP51" s="621"/>
      <c r="AQ51" s="621" t="str">
        <f t="shared" si="3"/>
        <v/>
      </c>
      <c r="AR51" s="621"/>
      <c r="AS51" s="622"/>
      <c r="AT51" s="107"/>
      <c r="AU51" s="923" t="str">
        <f t="shared" si="0"/>
        <v/>
      </c>
      <c r="AV51" s="924"/>
      <c r="AW51" s="924"/>
      <c r="AX51" s="924"/>
      <c r="AY51" s="924"/>
      <c r="AZ51" s="924"/>
      <c r="BA51" s="924"/>
      <c r="BB51" s="924"/>
      <c r="BC51" s="924"/>
      <c r="BD51" s="925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</row>
    <row r="52" spans="1:106" ht="12" customHeight="1" x14ac:dyDescent="0.2">
      <c r="A52" s="926"/>
      <c r="B52" s="927"/>
      <c r="C52" s="927"/>
      <c r="D52" s="927"/>
      <c r="E52" s="927"/>
      <c r="F52" s="927"/>
      <c r="G52" s="927"/>
      <c r="H52" s="453"/>
      <c r="I52" s="453"/>
      <c r="J52" s="453"/>
      <c r="K52" s="453"/>
      <c r="L52" s="453"/>
      <c r="M52" s="453"/>
      <c r="N52" s="453"/>
      <c r="O52" s="453"/>
      <c r="P52" s="453"/>
      <c r="Q52" s="453"/>
      <c r="R52" s="453"/>
      <c r="S52" s="453"/>
      <c r="T52" s="638"/>
      <c r="U52" s="638"/>
      <c r="V52" s="638"/>
      <c r="W52" s="638"/>
      <c r="X52" s="638"/>
      <c r="Y52" s="638"/>
      <c r="Z52" s="638"/>
      <c r="AA52" s="638"/>
      <c r="AB52" s="638"/>
      <c r="AC52" s="638"/>
      <c r="AD52" s="638"/>
      <c r="AE52" s="638"/>
      <c r="AF52" s="400"/>
      <c r="AG52" s="400"/>
      <c r="AH52" s="400"/>
      <c r="AI52" s="401"/>
      <c r="AJ52" s="107"/>
      <c r="AK52" s="620" t="str">
        <f t="shared" si="1"/>
        <v/>
      </c>
      <c r="AL52" s="621"/>
      <c r="AM52" s="621"/>
      <c r="AN52" s="621" t="str">
        <f t="shared" si="2"/>
        <v/>
      </c>
      <c r="AO52" s="621"/>
      <c r="AP52" s="621"/>
      <c r="AQ52" s="621" t="str">
        <f t="shared" si="3"/>
        <v/>
      </c>
      <c r="AR52" s="621"/>
      <c r="AS52" s="622"/>
      <c r="AT52" s="107"/>
      <c r="AU52" s="923" t="str">
        <f t="shared" si="0"/>
        <v/>
      </c>
      <c r="AV52" s="924"/>
      <c r="AW52" s="924"/>
      <c r="AX52" s="924"/>
      <c r="AY52" s="924"/>
      <c r="AZ52" s="924"/>
      <c r="BA52" s="924"/>
      <c r="BB52" s="924"/>
      <c r="BC52" s="924"/>
      <c r="BD52" s="925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B52" s="107"/>
    </row>
    <row r="53" spans="1:106" ht="12" customHeight="1" thickBot="1" x14ac:dyDescent="0.25">
      <c r="A53" s="618" t="s">
        <v>379</v>
      </c>
      <c r="B53" s="619"/>
      <c r="C53" s="619"/>
      <c r="D53" s="619"/>
      <c r="E53" s="619"/>
      <c r="F53" s="619"/>
      <c r="G53" s="619"/>
      <c r="H53" s="619"/>
      <c r="I53" s="619"/>
      <c r="J53" s="619"/>
      <c r="K53" s="619"/>
      <c r="L53" s="619"/>
      <c r="M53" s="619"/>
      <c r="N53" s="619"/>
      <c r="O53" s="619"/>
      <c r="P53" s="619"/>
      <c r="Q53" s="350" t="str">
        <f>IF(SUM(Q33:S52)&lt;&gt;0,SUM(Q33:S52),"")</f>
        <v/>
      </c>
      <c r="R53" s="350"/>
      <c r="S53" s="350"/>
      <c r="T53" s="350" t="str">
        <f>IF(SUM(T33:V52)&lt;&gt;0,SUM(T33:V52),"")</f>
        <v/>
      </c>
      <c r="U53" s="350"/>
      <c r="V53" s="350"/>
      <c r="W53" s="350" t="str">
        <f>IF(SUM(W33:Y52)&lt;&gt;0,SUM(W33:Y52),"")</f>
        <v/>
      </c>
      <c r="X53" s="350"/>
      <c r="Y53" s="350"/>
      <c r="Z53" s="350" t="str">
        <f>IF(SUM(Z33:AB52)&lt;&gt;0,SUM(Z33:AB52),"")</f>
        <v/>
      </c>
      <c r="AA53" s="350"/>
      <c r="AB53" s="350"/>
      <c r="AC53" s="350" t="str">
        <f>IF(SUM(AC33:AE52)&lt;&gt;0,SUM(AC33:AE52),"")</f>
        <v/>
      </c>
      <c r="AD53" s="350"/>
      <c r="AE53" s="350"/>
      <c r="AF53" s="616"/>
      <c r="AG53" s="616"/>
      <c r="AH53" s="616"/>
      <c r="AI53" s="617"/>
      <c r="AJ53" s="107"/>
      <c r="AK53" s="1026" t="str">
        <f>IFERROR((T53/Q53),"")</f>
        <v/>
      </c>
      <c r="AL53" s="1027"/>
      <c r="AM53" s="1028"/>
      <c r="AN53" s="624"/>
      <c r="AO53" s="624"/>
      <c r="AP53" s="624"/>
      <c r="AQ53" s="624"/>
      <c r="AR53" s="624"/>
      <c r="AS53" s="625"/>
      <c r="AT53" s="107"/>
      <c r="AU53" s="917" t="str">
        <f t="shared" si="0"/>
        <v/>
      </c>
      <c r="AV53" s="918"/>
      <c r="AW53" s="918"/>
      <c r="AX53" s="918"/>
      <c r="AY53" s="918"/>
      <c r="AZ53" s="918"/>
      <c r="BA53" s="918"/>
      <c r="BB53" s="918"/>
      <c r="BC53" s="918"/>
      <c r="BD53" s="919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7"/>
      <c r="BX53" s="107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7"/>
      <c r="CJ53" s="107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B53" s="107"/>
    </row>
    <row r="54" spans="1:106" ht="12" customHeight="1" x14ac:dyDescent="0.2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  <c r="BV54" s="107"/>
      <c r="BW54" s="107"/>
      <c r="BX54" s="107"/>
      <c r="BY54" s="107"/>
      <c r="BZ54" s="107"/>
      <c r="CA54" s="107"/>
      <c r="CB54" s="107"/>
      <c r="CC54" s="107"/>
      <c r="CD54" s="107"/>
      <c r="CE54" s="107"/>
      <c r="CF54" s="107"/>
      <c r="CG54" s="107"/>
      <c r="CH54" s="107"/>
      <c r="CI54" s="107"/>
      <c r="CJ54" s="107"/>
      <c r="CK54" s="107"/>
      <c r="CL54" s="107"/>
      <c r="CM54" s="107"/>
      <c r="CN54" s="107"/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B54" s="107"/>
    </row>
    <row r="55" spans="1:106" ht="12" customHeight="1" x14ac:dyDescent="0.2">
      <c r="A55" s="42" t="s">
        <v>262</v>
      </c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7"/>
      <c r="BX55" s="107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7"/>
      <c r="CJ55" s="107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B55" s="107"/>
    </row>
    <row r="56" spans="1:106" ht="12" customHeight="1" x14ac:dyDescent="0.2">
      <c r="A56" s="84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  <c r="BV56" s="107"/>
      <c r="BW56" s="107"/>
      <c r="BX56" s="107"/>
      <c r="BY56" s="107"/>
      <c r="BZ56" s="107"/>
      <c r="CA56" s="107"/>
      <c r="CB56" s="107"/>
      <c r="CC56" s="107"/>
      <c r="CD56" s="107"/>
      <c r="CE56" s="107"/>
      <c r="CF56" s="107"/>
      <c r="CG56" s="107"/>
      <c r="CH56" s="107"/>
      <c r="CI56" s="107"/>
      <c r="CJ56" s="107"/>
      <c r="CK56" s="107"/>
      <c r="CL56" s="107"/>
      <c r="CM56" s="107"/>
      <c r="CN56" s="107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B56" s="107"/>
    </row>
    <row r="57" spans="1:106" ht="12" customHeight="1" x14ac:dyDescent="0.2">
      <c r="A57" s="84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107"/>
      <c r="CA57" s="107"/>
      <c r="CB57" s="107"/>
      <c r="CC57" s="107"/>
      <c r="CD57" s="107"/>
      <c r="CE57" s="107"/>
      <c r="CF57" s="107"/>
      <c r="CG57" s="107"/>
      <c r="CH57" s="107"/>
      <c r="CI57" s="107"/>
      <c r="CJ57" s="107"/>
      <c r="CK57" s="107"/>
      <c r="CL57" s="107"/>
      <c r="CM57" s="107"/>
      <c r="CN57" s="107"/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B57" s="107"/>
    </row>
    <row r="58" spans="1:106" ht="12" customHeight="1" x14ac:dyDescent="0.2">
      <c r="A58" s="84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  <c r="CG58" s="107"/>
      <c r="CH58" s="107"/>
      <c r="CI58" s="107"/>
      <c r="CJ58" s="107"/>
      <c r="CK58" s="107"/>
      <c r="CL58" s="107"/>
      <c r="CM58" s="107"/>
      <c r="CN58" s="107"/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B58" s="107"/>
    </row>
    <row r="59" spans="1:106" ht="12" customHeight="1" x14ac:dyDescent="0.2">
      <c r="A59" s="84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  <c r="BV59" s="107"/>
      <c r="BW59" s="107"/>
      <c r="BX59" s="107"/>
      <c r="BY59" s="107"/>
      <c r="BZ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B59" s="107"/>
    </row>
    <row r="60" spans="1:106" ht="12" customHeight="1" x14ac:dyDescent="0.2">
      <c r="A60" s="84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B60" s="107"/>
    </row>
    <row r="61" spans="1:106" ht="12" customHeight="1" x14ac:dyDescent="0.2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B61" s="107"/>
    </row>
    <row r="62" spans="1:106" ht="12" customHeight="1" x14ac:dyDescent="0.2">
      <c r="A62" s="42" t="s">
        <v>276</v>
      </c>
      <c r="B62" s="42"/>
      <c r="C62" s="42"/>
      <c r="D62" s="42"/>
      <c r="E62" s="285"/>
      <c r="F62" s="285"/>
      <c r="G62" s="285"/>
      <c r="H62" s="285"/>
      <c r="I62" s="285"/>
      <c r="J62" s="285"/>
      <c r="K62" s="285"/>
      <c r="L62" s="42"/>
      <c r="M62" s="42"/>
      <c r="N62" s="42"/>
      <c r="O62" s="42"/>
      <c r="P62" s="42"/>
      <c r="Q62" s="42" t="s">
        <v>277</v>
      </c>
      <c r="R62" s="42"/>
      <c r="S62" s="42"/>
      <c r="T62" s="42"/>
      <c r="U62" s="42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B62" s="107"/>
    </row>
  </sheetData>
  <mergeCells count="414">
    <mergeCell ref="AJ1:DB1"/>
    <mergeCell ref="M5:AI5"/>
    <mergeCell ref="A7:E7"/>
    <mergeCell ref="F7:P7"/>
    <mergeCell ref="T7:X7"/>
    <mergeCell ref="Y7:AI7"/>
    <mergeCell ref="AK7:BK8"/>
    <mergeCell ref="BL7:DA7"/>
    <mergeCell ref="AK10:AL10"/>
    <mergeCell ref="AM10:AN10"/>
    <mergeCell ref="A11:P11"/>
    <mergeCell ref="T11:AI11"/>
    <mergeCell ref="AK11:AL11"/>
    <mergeCell ref="AM11:AN11"/>
    <mergeCell ref="A9:E9"/>
    <mergeCell ref="F9:P9"/>
    <mergeCell ref="T9:X9"/>
    <mergeCell ref="Y9:AI9"/>
    <mergeCell ref="AK9:AL9"/>
    <mergeCell ref="AM9:AN9"/>
    <mergeCell ref="AM12:AN12"/>
    <mergeCell ref="A13:F13"/>
    <mergeCell ref="G13:K13"/>
    <mergeCell ref="M13:P13"/>
    <mergeCell ref="T13:Y13"/>
    <mergeCell ref="Z13:AD13"/>
    <mergeCell ref="AE13:AI13"/>
    <mergeCell ref="AK13:AL13"/>
    <mergeCell ref="AM13:AN13"/>
    <mergeCell ref="A12:F12"/>
    <mergeCell ref="G12:P12"/>
    <mergeCell ref="T12:Y12"/>
    <mergeCell ref="Z12:AD12"/>
    <mergeCell ref="AE12:AI12"/>
    <mergeCell ref="AK12:AL12"/>
    <mergeCell ref="AM14:AN14"/>
    <mergeCell ref="A15:F15"/>
    <mergeCell ref="G15:P15"/>
    <mergeCell ref="AK15:AL15"/>
    <mergeCell ref="AM15:AN15"/>
    <mergeCell ref="A16:F16"/>
    <mergeCell ref="G16:P16"/>
    <mergeCell ref="AK16:AL16"/>
    <mergeCell ref="AM16:AN16"/>
    <mergeCell ref="A14:F14"/>
    <mergeCell ref="G14:P14"/>
    <mergeCell ref="T14:Y14"/>
    <mergeCell ref="Z14:AD14"/>
    <mergeCell ref="AE14:AI14"/>
    <mergeCell ref="AK14:AL14"/>
    <mergeCell ref="A19:F19"/>
    <mergeCell ref="G19:P19"/>
    <mergeCell ref="AK19:AL19"/>
    <mergeCell ref="AM19:AN19"/>
    <mergeCell ref="A20:F20"/>
    <mergeCell ref="G20:P20"/>
    <mergeCell ref="AK20:AL20"/>
    <mergeCell ref="AM20:AN20"/>
    <mergeCell ref="A17:F17"/>
    <mergeCell ref="G17:P17"/>
    <mergeCell ref="AK17:AL17"/>
    <mergeCell ref="AM17:AN17"/>
    <mergeCell ref="A18:F18"/>
    <mergeCell ref="G18:P18"/>
    <mergeCell ref="AK18:AL18"/>
    <mergeCell ref="AM18:AN18"/>
    <mergeCell ref="AK23:AL23"/>
    <mergeCell ref="AM23:AN23"/>
    <mergeCell ref="BN23:BO23"/>
    <mergeCell ref="AK24:AL24"/>
    <mergeCell ref="AM24:AN24"/>
    <mergeCell ref="AV28:BC28"/>
    <mergeCell ref="BF28:BT28"/>
    <mergeCell ref="BM20:BO20"/>
    <mergeCell ref="AK21:AL21"/>
    <mergeCell ref="AM21:AN21"/>
    <mergeCell ref="BN21:BO21"/>
    <mergeCell ref="AK22:AL22"/>
    <mergeCell ref="AM22:AN22"/>
    <mergeCell ref="BN22:BO22"/>
    <mergeCell ref="AV29:BA29"/>
    <mergeCell ref="BB29:BC29"/>
    <mergeCell ref="BF29:BJ29"/>
    <mergeCell ref="BK29:BO29"/>
    <mergeCell ref="BP29:BT29"/>
    <mergeCell ref="AK30:AS32"/>
    <mergeCell ref="AV30:BA30"/>
    <mergeCell ref="BB30:BC30"/>
    <mergeCell ref="BF30:BJ30"/>
    <mergeCell ref="BK30:BO30"/>
    <mergeCell ref="BP30:BT30"/>
    <mergeCell ref="AF31:AI32"/>
    <mergeCell ref="BF31:BJ31"/>
    <mergeCell ref="BK31:BO31"/>
    <mergeCell ref="BP31:BT31"/>
    <mergeCell ref="AU32:BD32"/>
    <mergeCell ref="BF32:BJ32"/>
    <mergeCell ref="BK32:BO32"/>
    <mergeCell ref="BP32:BT32"/>
    <mergeCell ref="W32:Y32"/>
    <mergeCell ref="Z32:AB32"/>
    <mergeCell ref="H32:J32"/>
    <mergeCell ref="K32:M32"/>
    <mergeCell ref="N32:P32"/>
    <mergeCell ref="T32:V32"/>
    <mergeCell ref="A31:G32"/>
    <mergeCell ref="H31:P31"/>
    <mergeCell ref="Q31:S32"/>
    <mergeCell ref="T31:AB31"/>
    <mergeCell ref="AC31:AE32"/>
    <mergeCell ref="A34:G34"/>
    <mergeCell ref="H34:J34"/>
    <mergeCell ref="K34:M34"/>
    <mergeCell ref="N34:P34"/>
    <mergeCell ref="Q34:S34"/>
    <mergeCell ref="W33:Y33"/>
    <mergeCell ref="Z33:AB33"/>
    <mergeCell ref="AC33:AE33"/>
    <mergeCell ref="AF33:AI33"/>
    <mergeCell ref="A33:G33"/>
    <mergeCell ref="H33:J33"/>
    <mergeCell ref="K33:M33"/>
    <mergeCell ref="N33:P33"/>
    <mergeCell ref="Q33:S33"/>
    <mergeCell ref="T33:V33"/>
    <mergeCell ref="BP34:BT34"/>
    <mergeCell ref="T34:V34"/>
    <mergeCell ref="W34:Y34"/>
    <mergeCell ref="Z34:AB34"/>
    <mergeCell ref="AC34:AE34"/>
    <mergeCell ref="AF34:AI34"/>
    <mergeCell ref="AK34:AM34"/>
    <mergeCell ref="AQ33:AS33"/>
    <mergeCell ref="AU33:BD33"/>
    <mergeCell ref="BF33:BJ33"/>
    <mergeCell ref="BK33:BO33"/>
    <mergeCell ref="BP33:BT33"/>
    <mergeCell ref="AK33:AM33"/>
    <mergeCell ref="AN33:AP33"/>
    <mergeCell ref="K35:M35"/>
    <mergeCell ref="N35:P35"/>
    <mergeCell ref="Q35:S35"/>
    <mergeCell ref="T35:V35"/>
    <mergeCell ref="AN34:AP34"/>
    <mergeCell ref="AQ34:AS34"/>
    <mergeCell ref="AU34:BD34"/>
    <mergeCell ref="BF34:BJ34"/>
    <mergeCell ref="BK34:BO34"/>
    <mergeCell ref="AC36:AE36"/>
    <mergeCell ref="AF36:AI36"/>
    <mergeCell ref="AK36:AM36"/>
    <mergeCell ref="AN36:AP36"/>
    <mergeCell ref="AQ36:AS36"/>
    <mergeCell ref="AU36:BD36"/>
    <mergeCell ref="AQ35:AS35"/>
    <mergeCell ref="AU35:BD35"/>
    <mergeCell ref="A36:G36"/>
    <mergeCell ref="H36:J36"/>
    <mergeCell ref="K36:M36"/>
    <mergeCell ref="N36:P36"/>
    <mergeCell ref="Q36:S36"/>
    <mergeCell ref="T36:V36"/>
    <mergeCell ref="W36:Y36"/>
    <mergeCell ref="Z36:AB36"/>
    <mergeCell ref="W35:Y35"/>
    <mergeCell ref="Z35:AB35"/>
    <mergeCell ref="AC35:AE35"/>
    <mergeCell ref="AF35:AI35"/>
    <mergeCell ref="AK35:AM35"/>
    <mergeCell ref="AN35:AP35"/>
    <mergeCell ref="A35:G35"/>
    <mergeCell ref="H35:J35"/>
    <mergeCell ref="AU38:BD38"/>
    <mergeCell ref="AQ37:AS37"/>
    <mergeCell ref="AU37:BD37"/>
    <mergeCell ref="A38:G38"/>
    <mergeCell ref="H38:J38"/>
    <mergeCell ref="K38:M38"/>
    <mergeCell ref="N38:P38"/>
    <mergeCell ref="Q38:S38"/>
    <mergeCell ref="T38:V38"/>
    <mergeCell ref="W38:Y38"/>
    <mergeCell ref="Z38:AB38"/>
    <mergeCell ref="W37:Y37"/>
    <mergeCell ref="Z37:AB37"/>
    <mergeCell ref="AC37:AE37"/>
    <mergeCell ref="AF37:AI37"/>
    <mergeCell ref="AK37:AM37"/>
    <mergeCell ref="AN37:AP37"/>
    <mergeCell ref="A37:G37"/>
    <mergeCell ref="H37:J37"/>
    <mergeCell ref="K37:M37"/>
    <mergeCell ref="N37:P37"/>
    <mergeCell ref="Q37:S37"/>
    <mergeCell ref="T37:V37"/>
    <mergeCell ref="K39:M39"/>
    <mergeCell ref="N39:P39"/>
    <mergeCell ref="Q39:S39"/>
    <mergeCell ref="T39:V39"/>
    <mergeCell ref="AC38:AE38"/>
    <mergeCell ref="AF38:AI38"/>
    <mergeCell ref="AK38:AM38"/>
    <mergeCell ref="AN38:AP38"/>
    <mergeCell ref="AQ38:AS38"/>
    <mergeCell ref="AC40:AE40"/>
    <mergeCell ref="AF40:AI40"/>
    <mergeCell ref="AK40:AM40"/>
    <mergeCell ref="AN40:AP40"/>
    <mergeCell ref="AQ40:AS40"/>
    <mergeCell ref="AU40:BD40"/>
    <mergeCell ref="AQ39:AS39"/>
    <mergeCell ref="AU39:BD39"/>
    <mergeCell ref="A40:G40"/>
    <mergeCell ref="H40:J40"/>
    <mergeCell ref="K40:M40"/>
    <mergeCell ref="N40:P40"/>
    <mergeCell ref="Q40:S40"/>
    <mergeCell ref="T40:V40"/>
    <mergeCell ref="W40:Y40"/>
    <mergeCell ref="Z40:AB40"/>
    <mergeCell ref="W39:Y39"/>
    <mergeCell ref="Z39:AB39"/>
    <mergeCell ref="AC39:AE39"/>
    <mergeCell ref="AF39:AI39"/>
    <mergeCell ref="AK39:AM39"/>
    <mergeCell ref="AN39:AP39"/>
    <mergeCell ref="A39:G39"/>
    <mergeCell ref="H39:J39"/>
    <mergeCell ref="AU42:BD42"/>
    <mergeCell ref="AQ41:AS41"/>
    <mergeCell ref="AU41:BD41"/>
    <mergeCell ref="A42:G42"/>
    <mergeCell ref="H42:J42"/>
    <mergeCell ref="K42:M42"/>
    <mergeCell ref="N42:P42"/>
    <mergeCell ref="Q42:S42"/>
    <mergeCell ref="T42:V42"/>
    <mergeCell ref="W42:Y42"/>
    <mergeCell ref="Z42:AB42"/>
    <mergeCell ref="W41:Y41"/>
    <mergeCell ref="Z41:AB41"/>
    <mergeCell ref="AC41:AE41"/>
    <mergeCell ref="AF41:AI41"/>
    <mergeCell ref="AK41:AM41"/>
    <mergeCell ref="AN41:AP41"/>
    <mergeCell ref="A41:G41"/>
    <mergeCell ref="H41:J41"/>
    <mergeCell ref="K41:M41"/>
    <mergeCell ref="N41:P41"/>
    <mergeCell ref="Q41:S41"/>
    <mergeCell ref="T41:V41"/>
    <mergeCell ref="K43:M43"/>
    <mergeCell ref="N43:P43"/>
    <mergeCell ref="Q43:S43"/>
    <mergeCell ref="T43:V43"/>
    <mergeCell ref="AC42:AE42"/>
    <mergeCell ref="AF42:AI42"/>
    <mergeCell ref="AK42:AM42"/>
    <mergeCell ref="AN42:AP42"/>
    <mergeCell ref="AQ42:AS42"/>
    <mergeCell ref="AC44:AE44"/>
    <mergeCell ref="AF44:AI44"/>
    <mergeCell ref="AK44:AM44"/>
    <mergeCell ref="AN44:AP44"/>
    <mergeCell ref="AQ44:AS44"/>
    <mergeCell ref="AU44:BD44"/>
    <mergeCell ref="AQ43:AS43"/>
    <mergeCell ref="AU43:BD43"/>
    <mergeCell ref="A44:G44"/>
    <mergeCell ref="H44:J44"/>
    <mergeCell ref="K44:M44"/>
    <mergeCell ref="N44:P44"/>
    <mergeCell ref="Q44:S44"/>
    <mergeCell ref="T44:V44"/>
    <mergeCell ref="W44:Y44"/>
    <mergeCell ref="Z44:AB44"/>
    <mergeCell ref="W43:Y43"/>
    <mergeCell ref="Z43:AB43"/>
    <mergeCell ref="AC43:AE43"/>
    <mergeCell ref="AF43:AI43"/>
    <mergeCell ref="AK43:AM43"/>
    <mergeCell ref="AN43:AP43"/>
    <mergeCell ref="A43:G43"/>
    <mergeCell ref="H43:J43"/>
    <mergeCell ref="AU46:BD46"/>
    <mergeCell ref="AQ45:AS45"/>
    <mergeCell ref="AU45:BD45"/>
    <mergeCell ref="A46:G46"/>
    <mergeCell ref="H46:J46"/>
    <mergeCell ref="K46:M46"/>
    <mergeCell ref="N46:P46"/>
    <mergeCell ref="Q46:S46"/>
    <mergeCell ref="T46:V46"/>
    <mergeCell ref="W46:Y46"/>
    <mergeCell ref="Z46:AB46"/>
    <mergeCell ref="W45:Y45"/>
    <mergeCell ref="Z45:AB45"/>
    <mergeCell ref="AC45:AE45"/>
    <mergeCell ref="AF45:AI45"/>
    <mergeCell ref="AK45:AM45"/>
    <mergeCell ref="AN45:AP45"/>
    <mergeCell ref="A45:G45"/>
    <mergeCell ref="H45:J45"/>
    <mergeCell ref="K45:M45"/>
    <mergeCell ref="N45:P45"/>
    <mergeCell ref="Q45:S45"/>
    <mergeCell ref="T45:V45"/>
    <mergeCell ref="K47:M47"/>
    <mergeCell ref="N47:P47"/>
    <mergeCell ref="Q47:S47"/>
    <mergeCell ref="T47:V47"/>
    <mergeCell ref="AC46:AE46"/>
    <mergeCell ref="AF46:AI46"/>
    <mergeCell ref="AK46:AM46"/>
    <mergeCell ref="AN46:AP46"/>
    <mergeCell ref="AQ46:AS46"/>
    <mergeCell ref="AC48:AE48"/>
    <mergeCell ref="AF48:AI48"/>
    <mergeCell ref="AK48:AM48"/>
    <mergeCell ref="AN48:AP48"/>
    <mergeCell ref="AQ48:AS48"/>
    <mergeCell ref="AU48:BD48"/>
    <mergeCell ref="AQ47:AS47"/>
    <mergeCell ref="AU47:BD47"/>
    <mergeCell ref="A48:G48"/>
    <mergeCell ref="H48:J48"/>
    <mergeCell ref="K48:M48"/>
    <mergeCell ref="N48:P48"/>
    <mergeCell ref="Q48:S48"/>
    <mergeCell ref="T48:V48"/>
    <mergeCell ref="W48:Y48"/>
    <mergeCell ref="Z48:AB48"/>
    <mergeCell ref="W47:Y47"/>
    <mergeCell ref="Z47:AB47"/>
    <mergeCell ref="AC47:AE47"/>
    <mergeCell ref="AF47:AI47"/>
    <mergeCell ref="AK47:AM47"/>
    <mergeCell ref="AN47:AP47"/>
    <mergeCell ref="A47:G47"/>
    <mergeCell ref="H47:J47"/>
    <mergeCell ref="AU50:BD50"/>
    <mergeCell ref="AQ49:AS49"/>
    <mergeCell ref="AU49:BD49"/>
    <mergeCell ref="A50:G50"/>
    <mergeCell ref="H50:J50"/>
    <mergeCell ref="K50:M50"/>
    <mergeCell ref="N50:P50"/>
    <mergeCell ref="Q50:S50"/>
    <mergeCell ref="T50:V50"/>
    <mergeCell ref="W50:Y50"/>
    <mergeCell ref="Z50:AB50"/>
    <mergeCell ref="W49:Y49"/>
    <mergeCell ref="Z49:AB49"/>
    <mergeCell ref="AC49:AE49"/>
    <mergeCell ref="AF49:AI49"/>
    <mergeCell ref="AK49:AM49"/>
    <mergeCell ref="AN49:AP49"/>
    <mergeCell ref="A49:G49"/>
    <mergeCell ref="H49:J49"/>
    <mergeCell ref="K49:M49"/>
    <mergeCell ref="N49:P49"/>
    <mergeCell ref="Q49:S49"/>
    <mergeCell ref="T49:V49"/>
    <mergeCell ref="K51:M51"/>
    <mergeCell ref="N51:P51"/>
    <mergeCell ref="Q51:S51"/>
    <mergeCell ref="T51:V51"/>
    <mergeCell ref="AC50:AE50"/>
    <mergeCell ref="AF50:AI50"/>
    <mergeCell ref="AK50:AM50"/>
    <mergeCell ref="AN50:AP50"/>
    <mergeCell ref="AQ50:AS50"/>
    <mergeCell ref="AC52:AE52"/>
    <mergeCell ref="AF52:AI52"/>
    <mergeCell ref="AK52:AM52"/>
    <mergeCell ref="AN52:AP52"/>
    <mergeCell ref="AQ52:AS52"/>
    <mergeCell ref="AU52:BD52"/>
    <mergeCell ref="AQ51:AS51"/>
    <mergeCell ref="AU51:BD51"/>
    <mergeCell ref="A52:G52"/>
    <mergeCell ref="H52:J52"/>
    <mergeCell ref="K52:M52"/>
    <mergeCell ref="N52:P52"/>
    <mergeCell ref="Q52:S52"/>
    <mergeCell ref="T52:V52"/>
    <mergeCell ref="W52:Y52"/>
    <mergeCell ref="Z52:AB52"/>
    <mergeCell ref="W51:Y51"/>
    <mergeCell ref="Z51:AB51"/>
    <mergeCell ref="AC51:AE51"/>
    <mergeCell ref="AF51:AI51"/>
    <mergeCell ref="AK51:AM51"/>
    <mergeCell ref="AN51:AP51"/>
    <mergeCell ref="A51:G51"/>
    <mergeCell ref="H51:J51"/>
    <mergeCell ref="AQ53:AS53"/>
    <mergeCell ref="AU53:BD53"/>
    <mergeCell ref="B56:AI56"/>
    <mergeCell ref="A53:P53"/>
    <mergeCell ref="Q53:S53"/>
    <mergeCell ref="T53:V53"/>
    <mergeCell ref="W53:Y53"/>
    <mergeCell ref="Z53:AB53"/>
    <mergeCell ref="AC53:AE53"/>
    <mergeCell ref="B57:AI57"/>
    <mergeCell ref="B58:AI58"/>
    <mergeCell ref="B59:AI59"/>
    <mergeCell ref="B60:AI60"/>
    <mergeCell ref="E62:K62"/>
    <mergeCell ref="V62:AI62"/>
    <mergeCell ref="AF53:AI53"/>
    <mergeCell ref="AK53:AM53"/>
    <mergeCell ref="AN53:AP53"/>
  </mergeCells>
  <conditionalFormatting sqref="V62:AI62 E62:K62 Z13:Z14 AE14 G18:P20 G14:P16 G13:K13 G12:P12 Y9:AI9 Y7:AI7 F9:P9 F7:P7">
    <cfRule type="containsBlanks" dxfId="100" priority="11">
      <formula>LEN(TRIM(E7))=0</formula>
    </cfRule>
  </conditionalFormatting>
  <conditionalFormatting sqref="Q53:AE53">
    <cfRule type="containsText" dxfId="99" priority="10" operator="containsText" text="CALC.">
      <formula>NOT(ISERROR(SEARCH("CALC.",Q53)))</formula>
    </cfRule>
  </conditionalFormatting>
  <conditionalFormatting sqref="A33:S52">
    <cfRule type="notContainsBlanks" dxfId="98" priority="8">
      <formula>LEN(TRIM(A33))&gt;0</formula>
    </cfRule>
    <cfRule type="expression" dxfId="97" priority="9">
      <formula>NOT(ISBLANK($H33))</formula>
    </cfRule>
  </conditionalFormatting>
  <conditionalFormatting sqref="AK9:BK24">
    <cfRule type="expression" dxfId="96" priority="7">
      <formula>NOT(ISBLANK($AK9))</formula>
    </cfRule>
  </conditionalFormatting>
  <conditionalFormatting sqref="T33:AC52">
    <cfRule type="notContainsBlanks" dxfId="95" priority="5">
      <formula>LEN(TRIM(T33))&gt;0</formula>
    </cfRule>
    <cfRule type="expression" dxfId="94" priority="6">
      <formula>NOT(ISBLANK($H33))</formula>
    </cfRule>
  </conditionalFormatting>
  <conditionalFormatting sqref="T33:AB52">
    <cfRule type="expression" dxfId="93" priority="4">
      <formula>$AC33&lt;&gt;""</formula>
    </cfRule>
  </conditionalFormatting>
  <conditionalFormatting sqref="AU33:BD53">
    <cfRule type="notContainsBlanks" dxfId="92" priority="3">
      <formula>LEN(TRIM(AU33))&gt;0</formula>
    </cfRule>
  </conditionalFormatting>
  <conditionalFormatting sqref="BB29:BC30">
    <cfRule type="containsBlanks" dxfId="91" priority="2">
      <formula>LEN(TRIM(BB29))=0</formula>
    </cfRule>
  </conditionalFormatting>
  <conditionalFormatting sqref="M13:P13">
    <cfRule type="containsBlanks" dxfId="90" priority="1">
      <formula>LEN(TRIM(M13))=0</formula>
    </cfRule>
  </conditionalFormatting>
  <dataValidations count="4">
    <dataValidation type="list" allowBlank="1" showInputMessage="1" sqref="M13:P13" xr:uid="{93E8B410-6950-457E-9E07-6430D1482C6D}">
      <formula1>"Rectangular,Round, Oval"</formula1>
    </dataValidation>
    <dataValidation type="whole" allowBlank="1" showInputMessage="1" showErrorMessage="1" error="This Remarks section is limited to 5." sqref="A56:A60" xr:uid="{05A093BE-D80A-402D-A1E9-E43E667CD936}">
      <formula1>1</formula1>
      <formula2>5</formula2>
    </dataValidation>
    <dataValidation type="list" allowBlank="1" showInputMessage="1" sqref="G13:K13" xr:uid="{4E266374-DB80-40EE-A161-17183F5444C1}">
      <formula1>"4,5,6,7,8,9,10,11,12,13,14,15,16,17,18,19,20"</formula1>
    </dataValidation>
    <dataValidation type="list" allowBlank="1" showInputMessage="1" sqref="G15:P15" xr:uid="{39337BDF-81FB-41B2-8408-870812623BAC}">
      <formula1>"HDT,HBT,VBT,VDT"</formula1>
    </dataValidation>
  </dataValidations>
  <printOptions horizontalCentered="1"/>
  <pageMargins left="0.75" right="0.5" top="0.25" bottom="0.5" header="0" footer="0.25"/>
  <pageSetup scale="97" orientation="portrait" r:id="rId1"/>
  <headerFooter scaleWithDoc="0">
    <oddHeader>&amp;L&amp;6&amp;K00+000&amp;A</oddHeader>
    <oddFooter>&amp;C&amp;8&amp;K002060© 2016 - 2021 Campos Engineering, Inc.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BAB7D-9477-4C36-8E25-4E0A7CEACB6C}">
  <sheetPr codeName="Sheet20">
    <pageSetUpPr fitToPage="1"/>
  </sheetPr>
  <dimension ref="A1:DG55"/>
  <sheetViews>
    <sheetView zoomScaleNormal="100" workbookViewId="0">
      <selection activeCell="BJ17" sqref="BJ17:BL17"/>
    </sheetView>
  </sheetViews>
  <sheetFormatPr defaultColWidth="0" defaultRowHeight="15" customHeight="1" zeroHeight="1" x14ac:dyDescent="0.25"/>
  <cols>
    <col min="1" max="48" width="2.7109375" style="12" customWidth="1"/>
    <col min="49" max="84" width="2.7109375" customWidth="1"/>
    <col min="85" max="111" width="2.7109375" hidden="1" customWidth="1"/>
    <col min="112" max="16384" width="9.140625" hidden="1"/>
  </cols>
  <sheetData>
    <row r="1" spans="1:84" ht="12" customHeight="1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546" t="s">
        <v>159</v>
      </c>
      <c r="AX1" s="546"/>
      <c r="AY1" s="546"/>
      <c r="AZ1" s="546"/>
      <c r="BA1" s="546"/>
      <c r="BB1" s="546"/>
      <c r="BC1" s="546"/>
      <c r="BD1" s="546"/>
      <c r="BE1" s="546"/>
      <c r="BF1" s="546"/>
      <c r="BG1" s="546"/>
      <c r="BH1" s="546"/>
      <c r="BI1" s="546"/>
      <c r="BJ1" s="546"/>
      <c r="BK1" s="546"/>
      <c r="BL1" s="546"/>
      <c r="BM1" s="546"/>
      <c r="BN1" s="546"/>
      <c r="BO1" s="546"/>
      <c r="BP1" s="546"/>
      <c r="BQ1" s="546"/>
      <c r="BR1" s="546"/>
      <c r="BS1" s="546"/>
      <c r="BT1" s="546"/>
      <c r="BU1" s="546"/>
      <c r="BV1" s="546"/>
      <c r="BW1" s="546"/>
      <c r="BX1" s="546"/>
      <c r="BY1" s="546"/>
      <c r="BZ1" s="546"/>
      <c r="CA1" s="546"/>
      <c r="CB1" s="546"/>
      <c r="CC1" s="546"/>
      <c r="CD1" s="546"/>
      <c r="CE1" s="546"/>
      <c r="CF1" s="546"/>
    </row>
    <row r="2" spans="1:84" ht="12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3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</row>
    <row r="3" spans="1:84" ht="12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</row>
    <row r="4" spans="1:84" ht="12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</row>
    <row r="5" spans="1:84" ht="12.7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550" t="s">
        <v>440</v>
      </c>
      <c r="AA5" s="550"/>
      <c r="AB5" s="550"/>
      <c r="AC5" s="550"/>
      <c r="AD5" s="550"/>
      <c r="AE5" s="550"/>
      <c r="AF5" s="550"/>
      <c r="AG5" s="550"/>
      <c r="AH5" s="550"/>
      <c r="AI5" s="550"/>
      <c r="AJ5" s="550"/>
      <c r="AK5" s="550"/>
      <c r="AL5" s="550"/>
      <c r="AM5" s="550"/>
      <c r="AN5" s="550"/>
      <c r="AO5" s="550"/>
      <c r="AP5" s="550"/>
      <c r="AQ5" s="550"/>
      <c r="AR5" s="550"/>
      <c r="AS5" s="550"/>
      <c r="AT5" s="550"/>
      <c r="AU5" s="550"/>
      <c r="AV5" s="550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</row>
    <row r="6" spans="1:84" ht="12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</row>
    <row r="7" spans="1:84" ht="12" customHeight="1" x14ac:dyDescent="0.25">
      <c r="A7" s="526" t="s">
        <v>161</v>
      </c>
      <c r="B7" s="526"/>
      <c r="C7" s="526"/>
      <c r="D7" s="526"/>
      <c r="E7" s="526"/>
      <c r="F7" s="286"/>
      <c r="G7" s="286"/>
      <c r="H7" s="286"/>
      <c r="I7" s="286"/>
      <c r="J7" s="286"/>
      <c r="K7" s="286"/>
      <c r="L7" s="286"/>
      <c r="M7" s="286"/>
      <c r="N7" s="286"/>
      <c r="O7" s="286"/>
      <c r="P7" s="286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526"/>
      <c r="AH7" s="526"/>
      <c r="AI7" s="526"/>
      <c r="AJ7" s="526"/>
      <c r="AK7" s="526"/>
      <c r="AL7" s="1113"/>
      <c r="AM7" s="1113"/>
      <c r="AN7" s="1113"/>
      <c r="AO7" s="1113"/>
      <c r="AP7" s="1113"/>
      <c r="AQ7" s="1113"/>
      <c r="AR7" s="1113"/>
      <c r="AS7" s="1113"/>
      <c r="AT7" s="1113"/>
      <c r="AU7" s="1113"/>
      <c r="AV7" s="1113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</row>
    <row r="8" spans="1:84" ht="12" customHeight="1" thickBo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4"/>
      <c r="AX8" s="44"/>
      <c r="AY8" s="213"/>
      <c r="AZ8" s="213"/>
      <c r="BA8" s="213"/>
      <c r="BB8" s="213"/>
      <c r="BC8" s="213"/>
      <c r="BD8" s="213"/>
      <c r="BE8" s="213"/>
      <c r="BF8" s="213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</row>
    <row r="9" spans="1:84" ht="12" customHeight="1" thickBot="1" x14ac:dyDescent="0.3">
      <c r="A9" s="314" t="s">
        <v>441</v>
      </c>
      <c r="B9" s="315"/>
      <c r="C9" s="315"/>
      <c r="D9" s="315"/>
      <c r="E9" s="315"/>
      <c r="F9" s="315"/>
      <c r="G9" s="315"/>
      <c r="H9" s="315"/>
      <c r="I9" s="315"/>
      <c r="J9" s="315"/>
      <c r="K9" s="315"/>
      <c r="L9" s="315"/>
      <c r="M9" s="315"/>
      <c r="N9" s="315"/>
      <c r="O9" s="315"/>
      <c r="P9" s="315"/>
      <c r="Q9" s="315"/>
      <c r="R9" s="315"/>
      <c r="S9" s="315"/>
      <c r="T9" s="315"/>
      <c r="U9" s="315"/>
      <c r="V9" s="315"/>
      <c r="W9" s="315"/>
      <c r="X9" s="315"/>
      <c r="Y9" s="315"/>
      <c r="Z9" s="315"/>
      <c r="AA9" s="315"/>
      <c r="AB9" s="315"/>
      <c r="AC9" s="315"/>
      <c r="AD9" s="315"/>
      <c r="AE9" s="315"/>
      <c r="AF9" s="315"/>
      <c r="AG9" s="315"/>
      <c r="AH9" s="315"/>
      <c r="AI9" s="315"/>
      <c r="AJ9" s="315"/>
      <c r="AK9" s="315"/>
      <c r="AL9" s="315"/>
      <c r="AM9" s="315"/>
      <c r="AN9" s="315"/>
      <c r="AO9" s="315"/>
      <c r="AP9" s="315"/>
      <c r="AQ9" s="315"/>
      <c r="AR9" s="315"/>
      <c r="AS9" s="315"/>
      <c r="AT9" s="315"/>
      <c r="AU9" s="315"/>
      <c r="AV9" s="316"/>
      <c r="AW9" s="44"/>
      <c r="AX9" s="1128"/>
      <c r="AY9" s="1129"/>
      <c r="AZ9" s="1129"/>
      <c r="BA9" s="1114" t="s">
        <v>442</v>
      </c>
      <c r="BB9" s="1114"/>
      <c r="BC9" s="1114"/>
      <c r="BD9" s="1129"/>
      <c r="BE9" s="1129"/>
      <c r="BF9" s="1129"/>
      <c r="BG9" s="1114" t="s">
        <v>443</v>
      </c>
      <c r="BH9" s="1114"/>
      <c r="BI9" s="1114"/>
      <c r="BJ9" s="1114" t="s">
        <v>444</v>
      </c>
      <c r="BK9" s="1114"/>
      <c r="BL9" s="1114"/>
      <c r="BM9" s="1114" t="s">
        <v>445</v>
      </c>
      <c r="BN9" s="1114"/>
      <c r="BO9" s="1115"/>
      <c r="BP9" s="1114" t="s">
        <v>446</v>
      </c>
      <c r="BQ9" s="1114"/>
      <c r="BR9" s="1120"/>
      <c r="BS9" s="214"/>
      <c r="BT9" s="214"/>
      <c r="BU9" s="21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</row>
    <row r="10" spans="1:84" ht="12.75" customHeight="1" thickTop="1" x14ac:dyDescent="0.25">
      <c r="A10" s="1123" t="s">
        <v>447</v>
      </c>
      <c r="B10" s="1105"/>
      <c r="C10" s="1105"/>
      <c r="D10" s="1105"/>
      <c r="E10" s="1105"/>
      <c r="F10" s="1105"/>
      <c r="G10" s="1124"/>
      <c r="H10" s="1104" t="s">
        <v>448</v>
      </c>
      <c r="I10" s="1105"/>
      <c r="J10" s="1105"/>
      <c r="K10" s="1105"/>
      <c r="L10" s="1105"/>
      <c r="M10" s="1124"/>
      <c r="N10" s="1125" t="s">
        <v>449</v>
      </c>
      <c r="O10" s="1126"/>
      <c r="P10" s="1127"/>
      <c r="Q10" s="250" t="s">
        <v>450</v>
      </c>
      <c r="R10" s="250"/>
      <c r="S10" s="250"/>
      <c r="T10" s="250"/>
      <c r="U10" s="250"/>
      <c r="V10" s="250"/>
      <c r="W10" s="250" t="s">
        <v>451</v>
      </c>
      <c r="X10" s="250"/>
      <c r="Y10" s="250"/>
      <c r="Z10" s="250"/>
      <c r="AA10" s="250"/>
      <c r="AB10" s="250"/>
      <c r="AC10" s="1104" t="s">
        <v>452</v>
      </c>
      <c r="AD10" s="1105"/>
      <c r="AE10" s="1124"/>
      <c r="AF10" s="1104" t="s">
        <v>453</v>
      </c>
      <c r="AG10" s="1105"/>
      <c r="AH10" s="1124"/>
      <c r="AI10" s="1104" t="s">
        <v>442</v>
      </c>
      <c r="AJ10" s="1105"/>
      <c r="AK10" s="1124"/>
      <c r="AL10" s="1125" t="s">
        <v>454</v>
      </c>
      <c r="AM10" s="1126"/>
      <c r="AN10" s="1127"/>
      <c r="AO10" s="1104" t="s">
        <v>455</v>
      </c>
      <c r="AP10" s="1105"/>
      <c r="AQ10" s="1124"/>
      <c r="AR10" s="1104" t="s">
        <v>456</v>
      </c>
      <c r="AS10" s="1105"/>
      <c r="AT10" s="1105"/>
      <c r="AU10" s="1105"/>
      <c r="AV10" s="1106"/>
      <c r="AW10" s="44"/>
      <c r="AX10" s="1130"/>
      <c r="AY10" s="1131"/>
      <c r="AZ10" s="1131"/>
      <c r="BA10" s="1116"/>
      <c r="BB10" s="1116"/>
      <c r="BC10" s="1116"/>
      <c r="BD10" s="1131"/>
      <c r="BE10" s="1131"/>
      <c r="BF10" s="1131"/>
      <c r="BG10" s="1116"/>
      <c r="BH10" s="1116"/>
      <c r="BI10" s="1116"/>
      <c r="BJ10" s="1116"/>
      <c r="BK10" s="1116"/>
      <c r="BL10" s="1116"/>
      <c r="BM10" s="1116"/>
      <c r="BN10" s="1116"/>
      <c r="BO10" s="1117"/>
      <c r="BP10" s="1116"/>
      <c r="BQ10" s="1116"/>
      <c r="BR10" s="1121"/>
      <c r="BS10" s="214"/>
      <c r="BT10" s="214"/>
      <c r="BU10" s="21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</row>
    <row r="11" spans="1:84" ht="12" customHeight="1" thickBot="1" x14ac:dyDescent="0.3">
      <c r="A11" s="1123"/>
      <c r="B11" s="1105"/>
      <c r="C11" s="1105"/>
      <c r="D11" s="1105"/>
      <c r="E11" s="1105"/>
      <c r="F11" s="1105"/>
      <c r="G11" s="1124"/>
      <c r="H11" s="1104"/>
      <c r="I11" s="1105"/>
      <c r="J11" s="1105"/>
      <c r="K11" s="1105"/>
      <c r="L11" s="1105"/>
      <c r="M11" s="1124"/>
      <c r="N11" s="1125"/>
      <c r="O11" s="1126"/>
      <c r="P11" s="1127"/>
      <c r="Q11" s="1110" t="s">
        <v>457</v>
      </c>
      <c r="R11" s="1111"/>
      <c r="S11" s="1112"/>
      <c r="T11" s="1110" t="s">
        <v>458</v>
      </c>
      <c r="U11" s="1111"/>
      <c r="V11" s="1112"/>
      <c r="W11" s="1110" t="s">
        <v>457</v>
      </c>
      <c r="X11" s="1111"/>
      <c r="Y11" s="1112"/>
      <c r="Z11" s="1110" t="s">
        <v>458</v>
      </c>
      <c r="AA11" s="1111"/>
      <c r="AB11" s="1112"/>
      <c r="AC11" s="1104"/>
      <c r="AD11" s="1105"/>
      <c r="AE11" s="1124"/>
      <c r="AF11" s="1104"/>
      <c r="AG11" s="1105"/>
      <c r="AH11" s="1124"/>
      <c r="AI11" s="1104"/>
      <c r="AJ11" s="1105"/>
      <c r="AK11" s="1124"/>
      <c r="AL11" s="1125"/>
      <c r="AM11" s="1126"/>
      <c r="AN11" s="1127"/>
      <c r="AO11" s="1104"/>
      <c r="AP11" s="1105"/>
      <c r="AQ11" s="1124"/>
      <c r="AR11" s="1107"/>
      <c r="AS11" s="1108"/>
      <c r="AT11" s="1108"/>
      <c r="AU11" s="1108"/>
      <c r="AV11" s="1109"/>
      <c r="AW11" s="44"/>
      <c r="AX11" s="1132"/>
      <c r="AY11" s="1133"/>
      <c r="AZ11" s="1133"/>
      <c r="BA11" s="1118"/>
      <c r="BB11" s="1118"/>
      <c r="BC11" s="1118"/>
      <c r="BD11" s="1133"/>
      <c r="BE11" s="1133"/>
      <c r="BF11" s="1133"/>
      <c r="BG11" s="1118"/>
      <c r="BH11" s="1118"/>
      <c r="BI11" s="1118"/>
      <c r="BJ11" s="1118"/>
      <c r="BK11" s="1118"/>
      <c r="BL11" s="1118"/>
      <c r="BM11" s="1118"/>
      <c r="BN11" s="1118"/>
      <c r="BO11" s="1119"/>
      <c r="BP11" s="1118"/>
      <c r="BQ11" s="1118"/>
      <c r="BR11" s="1122"/>
      <c r="BS11" s="214"/>
      <c r="BT11" s="214"/>
      <c r="BU11" s="21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</row>
    <row r="12" spans="1:84" ht="12.75" customHeight="1" thickTop="1" x14ac:dyDescent="0.25">
      <c r="A12" s="1070"/>
      <c r="B12" s="1071"/>
      <c r="C12" s="1071"/>
      <c r="D12" s="1071"/>
      <c r="E12" s="1071"/>
      <c r="F12" s="1071"/>
      <c r="G12" s="1072"/>
      <c r="H12" s="1076" t="s">
        <v>197</v>
      </c>
      <c r="I12" s="1077"/>
      <c r="J12" s="1077"/>
      <c r="K12" s="1077"/>
      <c r="L12" s="1077"/>
      <c r="M12" s="1078"/>
      <c r="N12" s="1079"/>
      <c r="O12" s="1079"/>
      <c r="P12" s="1079"/>
      <c r="Q12" s="1061"/>
      <c r="R12" s="1061"/>
      <c r="S12" s="1061"/>
      <c r="T12" s="1068" t="str">
        <f>IF($A12&lt;&gt;"","---","")</f>
        <v/>
      </c>
      <c r="U12" s="1069"/>
      <c r="V12" s="1069"/>
      <c r="W12" s="1061"/>
      <c r="X12" s="1061"/>
      <c r="Y12" s="1061"/>
      <c r="Z12" s="1068" t="str">
        <f>IF($A12&lt;&gt;"","---","")</f>
        <v/>
      </c>
      <c r="AA12" s="1069"/>
      <c r="AB12" s="1069"/>
      <c r="AC12" s="1061"/>
      <c r="AD12" s="1061"/>
      <c r="AE12" s="1061"/>
      <c r="AF12" s="1061"/>
      <c r="AG12" s="1061"/>
      <c r="AH12" s="1061"/>
      <c r="AI12" s="1061"/>
      <c r="AJ12" s="1061"/>
      <c r="AK12" s="1061"/>
      <c r="AL12" s="1061"/>
      <c r="AM12" s="1061"/>
      <c r="AN12" s="1061"/>
      <c r="AO12" s="1061"/>
      <c r="AP12" s="1061"/>
      <c r="AQ12" s="1061"/>
      <c r="AR12" s="1062" t="s">
        <v>235</v>
      </c>
      <c r="AS12" s="1063"/>
      <c r="AT12" s="1063"/>
      <c r="AU12" s="1063"/>
      <c r="AV12" s="1064"/>
      <c r="AW12" s="44"/>
      <c r="AX12" s="1065"/>
      <c r="AY12" s="1066"/>
      <c r="AZ12" s="1066"/>
      <c r="BA12" s="1047" t="str">
        <f t="shared" ref="BA12:BA32" si="0">IF(1.08*N12*(Q12-W12)/1000&lt;&gt;0,1.08*N12*(Q12-W12)/1000,"")</f>
        <v/>
      </c>
      <c r="BB12" s="1047"/>
      <c r="BC12" s="1047"/>
      <c r="BD12" s="1067"/>
      <c r="BE12" s="1067"/>
      <c r="BF12" s="1067"/>
      <c r="BG12" s="1047" t="str">
        <f t="shared" ref="BG12:BG32" si="1">IF(AO12*500*(AF12-AC12)/1000&lt;&gt;0,AO12*500*(AF12-AC12)/1000,"")</f>
        <v/>
      </c>
      <c r="BH12" s="1047"/>
      <c r="BI12" s="1047"/>
      <c r="BJ12" s="1047" t="str">
        <f t="shared" ref="BJ12:BJ32" si="2">IFERROR((BD12*1000)/(500*(AF12-AC12)),"")</f>
        <v/>
      </c>
      <c r="BK12" s="1047"/>
      <c r="BL12" s="1047"/>
      <c r="BM12" s="1086" t="s">
        <v>235</v>
      </c>
      <c r="BN12" s="1087"/>
      <c r="BO12" s="1088"/>
      <c r="BP12" s="1086" t="s">
        <v>235</v>
      </c>
      <c r="BQ12" s="1087"/>
      <c r="BR12" s="1089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</row>
    <row r="13" spans="1:84" ht="12" customHeight="1" x14ac:dyDescent="0.25">
      <c r="A13" s="1097"/>
      <c r="B13" s="527"/>
      <c r="C13" s="527"/>
      <c r="D13" s="527"/>
      <c r="E13" s="527"/>
      <c r="F13" s="527"/>
      <c r="G13" s="1098"/>
      <c r="H13" s="1094" t="s">
        <v>199</v>
      </c>
      <c r="I13" s="1095"/>
      <c r="J13" s="1095"/>
      <c r="K13" s="1095"/>
      <c r="L13" s="1095"/>
      <c r="M13" s="1096"/>
      <c r="N13" s="577"/>
      <c r="O13" s="577"/>
      <c r="P13" s="577"/>
      <c r="Q13" s="399"/>
      <c r="R13" s="399"/>
      <c r="S13" s="399"/>
      <c r="T13" s="335" t="str">
        <f>IF($A12&lt;&gt;"","---","")</f>
        <v/>
      </c>
      <c r="U13" s="336"/>
      <c r="V13" s="336"/>
      <c r="W13" s="399"/>
      <c r="X13" s="399"/>
      <c r="Y13" s="399"/>
      <c r="Z13" s="335" t="str">
        <f>IF($A12&lt;&gt;"","---","")</f>
        <v/>
      </c>
      <c r="AA13" s="336"/>
      <c r="AB13" s="336"/>
      <c r="AC13" s="399"/>
      <c r="AD13" s="399"/>
      <c r="AE13" s="399"/>
      <c r="AF13" s="399"/>
      <c r="AG13" s="399"/>
      <c r="AH13" s="399"/>
      <c r="AI13" s="1055"/>
      <c r="AJ13" s="1055"/>
      <c r="AK13" s="1055"/>
      <c r="AL13" s="399"/>
      <c r="AM13" s="399"/>
      <c r="AN13" s="399"/>
      <c r="AO13" s="336" t="str">
        <f>IFERROR(SQRT(AL13/AL12)*AO12,"")</f>
        <v/>
      </c>
      <c r="AP13" s="336"/>
      <c r="AQ13" s="336"/>
      <c r="AR13" s="1080"/>
      <c r="AS13" s="1081"/>
      <c r="AT13" s="1081"/>
      <c r="AU13" s="1082" t="s">
        <v>218</v>
      </c>
      <c r="AV13" s="1083"/>
      <c r="AW13" s="44"/>
      <c r="AX13" s="1102"/>
      <c r="AY13" s="1085"/>
      <c r="AZ13" s="1085"/>
      <c r="BA13" s="1055" t="str">
        <f>IF(1.08*N13*(W13-Q13)/1000&lt;&gt;0,1.08*N13*(W13-Q13)/1000,"")</f>
        <v/>
      </c>
      <c r="BB13" s="1055"/>
      <c r="BC13" s="1055"/>
      <c r="BD13" s="1067"/>
      <c r="BE13" s="1067"/>
      <c r="BF13" s="1067"/>
      <c r="BG13" s="1055" t="str">
        <f>IFERROR(IF(AO13*500*(AC13-AF13)/1000&lt;&gt;0,AO13*500*(AC13-AF13)/1000,""),"")</f>
        <v/>
      </c>
      <c r="BH13" s="1055"/>
      <c r="BI13" s="1055"/>
      <c r="BJ13" s="1055" t="str">
        <f>IFERROR((BA13*1000)/(500*(AC13-AF13)),"")</f>
        <v/>
      </c>
      <c r="BK13" s="1055"/>
      <c r="BL13" s="1055"/>
      <c r="BM13" s="575" t="str">
        <f>IFERROR(SQRT(AL13/AL12)*AO12,"")</f>
        <v/>
      </c>
      <c r="BN13" s="575"/>
      <c r="BO13" s="1057"/>
      <c r="BP13" s="575" t="e">
        <f>BA13/BG13</f>
        <v>#VALUE!</v>
      </c>
      <c r="BQ13" s="575"/>
      <c r="BR13" s="576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</row>
    <row r="14" spans="1:84" ht="12" customHeight="1" x14ac:dyDescent="0.25">
      <c r="A14" s="1070"/>
      <c r="B14" s="1071"/>
      <c r="C14" s="1071"/>
      <c r="D14" s="1071"/>
      <c r="E14" s="1071"/>
      <c r="F14" s="1071"/>
      <c r="G14" s="1072"/>
      <c r="H14" s="1076" t="s">
        <v>197</v>
      </c>
      <c r="I14" s="1077"/>
      <c r="J14" s="1077"/>
      <c r="K14" s="1077"/>
      <c r="L14" s="1077"/>
      <c r="M14" s="1078"/>
      <c r="N14" s="1079"/>
      <c r="O14" s="1079"/>
      <c r="P14" s="1079"/>
      <c r="Q14" s="1061"/>
      <c r="R14" s="1061"/>
      <c r="S14" s="1061"/>
      <c r="T14" s="1068" t="str">
        <f>IF($A14&lt;&gt;"","---","")</f>
        <v/>
      </c>
      <c r="U14" s="1069"/>
      <c r="V14" s="1069"/>
      <c r="W14" s="1061"/>
      <c r="X14" s="1061"/>
      <c r="Y14" s="1061"/>
      <c r="Z14" s="1068" t="str">
        <f>IF($A14&lt;&gt;"","---","")</f>
        <v/>
      </c>
      <c r="AA14" s="1069"/>
      <c r="AB14" s="1069"/>
      <c r="AC14" s="1061"/>
      <c r="AD14" s="1061"/>
      <c r="AE14" s="1061"/>
      <c r="AF14" s="1061"/>
      <c r="AG14" s="1061"/>
      <c r="AH14" s="1061"/>
      <c r="AI14" s="1061"/>
      <c r="AJ14" s="1061"/>
      <c r="AK14" s="1061"/>
      <c r="AL14" s="1061"/>
      <c r="AM14" s="1061"/>
      <c r="AN14" s="1061"/>
      <c r="AO14" s="1061"/>
      <c r="AP14" s="1061"/>
      <c r="AQ14" s="1061"/>
      <c r="AR14" s="1062" t="s">
        <v>235</v>
      </c>
      <c r="AS14" s="1063"/>
      <c r="AT14" s="1063"/>
      <c r="AU14" s="1063"/>
      <c r="AV14" s="1064"/>
      <c r="AW14" s="44"/>
      <c r="AX14" s="1065"/>
      <c r="AY14" s="1066"/>
      <c r="AZ14" s="1066"/>
      <c r="BA14" s="1047" t="str">
        <f t="shared" si="0"/>
        <v/>
      </c>
      <c r="BB14" s="1047"/>
      <c r="BC14" s="1047"/>
      <c r="BD14" s="1067"/>
      <c r="BE14" s="1067"/>
      <c r="BF14" s="1067"/>
      <c r="BG14" s="1099" t="str">
        <f t="shared" si="1"/>
        <v/>
      </c>
      <c r="BH14" s="1100"/>
      <c r="BI14" s="1101"/>
      <c r="BJ14" s="1047" t="str">
        <f t="shared" si="2"/>
        <v/>
      </c>
      <c r="BK14" s="1047"/>
      <c r="BL14" s="1047"/>
      <c r="BM14" s="1086" t="s">
        <v>235</v>
      </c>
      <c r="BN14" s="1087"/>
      <c r="BO14" s="1088"/>
      <c r="BP14" s="1086" t="s">
        <v>235</v>
      </c>
      <c r="BQ14" s="1087"/>
      <c r="BR14" s="1089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</row>
    <row r="15" spans="1:84" s="120" customFormat="1" ht="12" customHeight="1" x14ac:dyDescent="0.25">
      <c r="A15" s="1097"/>
      <c r="B15" s="527"/>
      <c r="C15" s="527"/>
      <c r="D15" s="527"/>
      <c r="E15" s="527"/>
      <c r="F15" s="527"/>
      <c r="G15" s="1098"/>
      <c r="H15" s="1094" t="s">
        <v>199</v>
      </c>
      <c r="I15" s="1095"/>
      <c r="J15" s="1095"/>
      <c r="K15" s="1095"/>
      <c r="L15" s="1095"/>
      <c r="M15" s="1096"/>
      <c r="N15" s="1103"/>
      <c r="O15" s="1103"/>
      <c r="P15" s="1103"/>
      <c r="Q15" s="399"/>
      <c r="R15" s="399"/>
      <c r="S15" s="399"/>
      <c r="T15" s="335" t="str">
        <f>IF($A14&lt;&gt;"","---","")</f>
        <v/>
      </c>
      <c r="U15" s="336"/>
      <c r="V15" s="336"/>
      <c r="W15" s="399"/>
      <c r="X15" s="399"/>
      <c r="Y15" s="399"/>
      <c r="Z15" s="335" t="str">
        <f>IF($A14&lt;&gt;"","---","")</f>
        <v/>
      </c>
      <c r="AA15" s="336"/>
      <c r="AB15" s="336"/>
      <c r="AC15" s="399"/>
      <c r="AD15" s="399"/>
      <c r="AE15" s="399"/>
      <c r="AF15" s="399"/>
      <c r="AG15" s="399"/>
      <c r="AH15" s="399"/>
      <c r="AI15" s="1055" t="str">
        <f>BA15</f>
        <v/>
      </c>
      <c r="AJ15" s="1055"/>
      <c r="AK15" s="1055"/>
      <c r="AL15" s="399"/>
      <c r="AM15" s="399"/>
      <c r="AN15" s="399"/>
      <c r="AO15" s="336" t="str">
        <f>IFERROR(SQRT(AL15/AL14)*AO14,"")</f>
        <v/>
      </c>
      <c r="AP15" s="336"/>
      <c r="AQ15" s="336"/>
      <c r="AR15" s="1080"/>
      <c r="AS15" s="1081"/>
      <c r="AT15" s="1081"/>
      <c r="AU15" s="1082" t="s">
        <v>218</v>
      </c>
      <c r="AV15" s="1083"/>
      <c r="AW15" s="44"/>
      <c r="AX15" s="1084"/>
      <c r="AY15" s="1085"/>
      <c r="AZ15" s="1085"/>
      <c r="BA15" s="1055" t="str">
        <f>IF(1.08*N15*(W15-Q15)/1000&lt;&gt;0,1.08*N15*(W15-Q15)/1000,"")</f>
        <v/>
      </c>
      <c r="BB15" s="1055"/>
      <c r="BC15" s="1055"/>
      <c r="BD15" s="1067"/>
      <c r="BE15" s="1067"/>
      <c r="BF15" s="1067"/>
      <c r="BG15" s="1055" t="str">
        <f>IFERROR(IF(AO15*500*(AC15-AF15)/1000&lt;&gt;0,AO15*500*(AC15-AF15)/1000,""),"")</f>
        <v/>
      </c>
      <c r="BH15" s="1055"/>
      <c r="BI15" s="1055"/>
      <c r="BJ15" s="1055" t="str">
        <f>IFERROR((BA15*1000)/(500*(AC15-AF15)),"")</f>
        <v/>
      </c>
      <c r="BK15" s="1055"/>
      <c r="BL15" s="1055"/>
      <c r="BM15" s="575" t="str">
        <f>IFERROR(SQRT(AL15/AL14)*AO14,"")</f>
        <v/>
      </c>
      <c r="BN15" s="575"/>
      <c r="BO15" s="1057"/>
      <c r="BP15" s="575" t="e">
        <f>BA15/BG15</f>
        <v>#VALUE!</v>
      </c>
      <c r="BQ15" s="575"/>
      <c r="BR15" s="576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</row>
    <row r="16" spans="1:84" ht="12" customHeight="1" x14ac:dyDescent="0.25">
      <c r="A16" s="1070"/>
      <c r="B16" s="1071"/>
      <c r="C16" s="1071"/>
      <c r="D16" s="1071"/>
      <c r="E16" s="1071"/>
      <c r="F16" s="1071"/>
      <c r="G16" s="1072"/>
      <c r="H16" s="1076" t="s">
        <v>197</v>
      </c>
      <c r="I16" s="1077"/>
      <c r="J16" s="1077"/>
      <c r="K16" s="1077"/>
      <c r="L16" s="1077"/>
      <c r="M16" s="1078"/>
      <c r="N16" s="1079"/>
      <c r="O16" s="1079"/>
      <c r="P16" s="1079"/>
      <c r="Q16" s="1061"/>
      <c r="R16" s="1061"/>
      <c r="S16" s="1061"/>
      <c r="T16" s="1068" t="str">
        <f>IF($A16&lt;&gt;"","---","")</f>
        <v/>
      </c>
      <c r="U16" s="1069"/>
      <c r="V16" s="1069"/>
      <c r="W16" s="1061"/>
      <c r="X16" s="1061"/>
      <c r="Y16" s="1061"/>
      <c r="Z16" s="1068" t="str">
        <f>IF($A16&lt;&gt;"","---","")</f>
        <v/>
      </c>
      <c r="AA16" s="1069"/>
      <c r="AB16" s="1069"/>
      <c r="AC16" s="1061"/>
      <c r="AD16" s="1061"/>
      <c r="AE16" s="1061"/>
      <c r="AF16" s="1061"/>
      <c r="AG16" s="1061"/>
      <c r="AH16" s="1061"/>
      <c r="AI16" s="1061"/>
      <c r="AJ16" s="1061"/>
      <c r="AK16" s="1061"/>
      <c r="AL16" s="1061"/>
      <c r="AM16" s="1061"/>
      <c r="AN16" s="1061"/>
      <c r="AO16" s="1061"/>
      <c r="AP16" s="1061"/>
      <c r="AQ16" s="1061"/>
      <c r="AR16" s="1062" t="s">
        <v>235</v>
      </c>
      <c r="AS16" s="1063"/>
      <c r="AT16" s="1063"/>
      <c r="AU16" s="1063"/>
      <c r="AV16" s="1064"/>
      <c r="AW16" s="44"/>
      <c r="AX16" s="1065"/>
      <c r="AY16" s="1066"/>
      <c r="AZ16" s="1066"/>
      <c r="BA16" s="1047" t="str">
        <f t="shared" si="0"/>
        <v/>
      </c>
      <c r="BB16" s="1047"/>
      <c r="BC16" s="1047"/>
      <c r="BD16" s="1067"/>
      <c r="BE16" s="1067"/>
      <c r="BF16" s="1067"/>
      <c r="BG16" s="1099" t="str">
        <f t="shared" si="1"/>
        <v/>
      </c>
      <c r="BH16" s="1100"/>
      <c r="BI16" s="1101"/>
      <c r="BJ16" s="1047" t="str">
        <f t="shared" si="2"/>
        <v/>
      </c>
      <c r="BK16" s="1047"/>
      <c r="BL16" s="1047"/>
      <c r="BM16" s="1086" t="s">
        <v>235</v>
      </c>
      <c r="BN16" s="1087"/>
      <c r="BO16" s="1088"/>
      <c r="BP16" s="1086" t="s">
        <v>235</v>
      </c>
      <c r="BQ16" s="1087"/>
      <c r="BR16" s="1089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</row>
    <row r="17" spans="1:84" ht="12" customHeight="1" x14ac:dyDescent="0.25">
      <c r="A17" s="1097"/>
      <c r="B17" s="527"/>
      <c r="C17" s="527"/>
      <c r="D17" s="527"/>
      <c r="E17" s="527"/>
      <c r="F17" s="527"/>
      <c r="G17" s="1098"/>
      <c r="H17" s="1094" t="s">
        <v>199</v>
      </c>
      <c r="I17" s="1095"/>
      <c r="J17" s="1095"/>
      <c r="K17" s="1095"/>
      <c r="L17" s="1095"/>
      <c r="M17" s="1096"/>
      <c r="N17" s="577"/>
      <c r="O17" s="577"/>
      <c r="P17" s="577"/>
      <c r="Q17" s="399"/>
      <c r="R17" s="399"/>
      <c r="S17" s="399"/>
      <c r="T17" s="335" t="str">
        <f>IF($A16&lt;&gt;"","---","")</f>
        <v/>
      </c>
      <c r="U17" s="336"/>
      <c r="V17" s="336"/>
      <c r="W17" s="399"/>
      <c r="X17" s="399"/>
      <c r="Y17" s="399"/>
      <c r="Z17" s="335" t="str">
        <f>IF($A16&lt;&gt;"","---","")</f>
        <v/>
      </c>
      <c r="AA17" s="336"/>
      <c r="AB17" s="336"/>
      <c r="AC17" s="399"/>
      <c r="AD17" s="399"/>
      <c r="AE17" s="399"/>
      <c r="AF17" s="399"/>
      <c r="AG17" s="399"/>
      <c r="AH17" s="399"/>
      <c r="AI17" s="1055" t="str">
        <f>BA17</f>
        <v/>
      </c>
      <c r="AJ17" s="1055"/>
      <c r="AK17" s="1055"/>
      <c r="AL17" s="399"/>
      <c r="AM17" s="399"/>
      <c r="AN17" s="399"/>
      <c r="AO17" s="336" t="str">
        <f>IFERROR(SQRT(AL17/AL16)*AO16,"")</f>
        <v/>
      </c>
      <c r="AP17" s="336"/>
      <c r="AQ17" s="336"/>
      <c r="AR17" s="1080"/>
      <c r="AS17" s="1081"/>
      <c r="AT17" s="1081"/>
      <c r="AU17" s="1082" t="s">
        <v>218</v>
      </c>
      <c r="AV17" s="1083"/>
      <c r="AW17" s="44"/>
      <c r="AX17" s="1084"/>
      <c r="AY17" s="1085"/>
      <c r="AZ17" s="1085"/>
      <c r="BA17" s="1055" t="str">
        <f>IF(1.08*N17*(W17-Q17)/1000&lt;&gt;0,1.08*N17*(W17-Q17)/1000,"")</f>
        <v/>
      </c>
      <c r="BB17" s="1055"/>
      <c r="BC17" s="1055"/>
      <c r="BD17" s="1067"/>
      <c r="BE17" s="1067"/>
      <c r="BF17" s="1067"/>
      <c r="BG17" s="1055" t="str">
        <f>IFERROR(IF(AO17*500*(AC17-AF17)/1000&lt;&gt;0,AO17*500*(AC17-AF17)/1000,""),"")</f>
        <v/>
      </c>
      <c r="BH17" s="1055"/>
      <c r="BI17" s="1055"/>
      <c r="BJ17" s="1055" t="str">
        <f>IFERROR((BA17*1000)/(500*(AC17-AF17)),"")</f>
        <v/>
      </c>
      <c r="BK17" s="1055"/>
      <c r="BL17" s="1055"/>
      <c r="BM17" s="575" t="str">
        <f>IFERROR(SQRT(AL17/AL16)*AO16,"")</f>
        <v/>
      </c>
      <c r="BN17" s="575"/>
      <c r="BO17" s="1057"/>
      <c r="BP17" s="575" t="e">
        <f>BA17/BG17</f>
        <v>#VALUE!</v>
      </c>
      <c r="BQ17" s="575"/>
      <c r="BR17" s="576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</row>
    <row r="18" spans="1:84" ht="12" customHeight="1" x14ac:dyDescent="0.25">
      <c r="A18" s="1070"/>
      <c r="B18" s="1071"/>
      <c r="C18" s="1071"/>
      <c r="D18" s="1071"/>
      <c r="E18" s="1071"/>
      <c r="F18" s="1071"/>
      <c r="G18" s="1072"/>
      <c r="H18" s="1076" t="s">
        <v>197</v>
      </c>
      <c r="I18" s="1077"/>
      <c r="J18" s="1077"/>
      <c r="K18" s="1077"/>
      <c r="L18" s="1077"/>
      <c r="M18" s="1078"/>
      <c r="N18" s="1079"/>
      <c r="O18" s="1079"/>
      <c r="P18" s="1079"/>
      <c r="Q18" s="1061"/>
      <c r="R18" s="1061"/>
      <c r="S18" s="1061"/>
      <c r="T18" s="1068" t="str">
        <f>IF($A18&lt;&gt;"","---","")</f>
        <v/>
      </c>
      <c r="U18" s="1069"/>
      <c r="V18" s="1069"/>
      <c r="W18" s="1061"/>
      <c r="X18" s="1061"/>
      <c r="Y18" s="1061"/>
      <c r="Z18" s="1068" t="str">
        <f>IF($A18&lt;&gt;"","---","")</f>
        <v/>
      </c>
      <c r="AA18" s="1069"/>
      <c r="AB18" s="1069"/>
      <c r="AC18" s="1061"/>
      <c r="AD18" s="1061"/>
      <c r="AE18" s="1061"/>
      <c r="AF18" s="1061"/>
      <c r="AG18" s="1061"/>
      <c r="AH18" s="1061"/>
      <c r="AI18" s="1061"/>
      <c r="AJ18" s="1061"/>
      <c r="AK18" s="1061"/>
      <c r="AL18" s="1061"/>
      <c r="AM18" s="1061"/>
      <c r="AN18" s="1061"/>
      <c r="AO18" s="1061"/>
      <c r="AP18" s="1061"/>
      <c r="AQ18" s="1061"/>
      <c r="AR18" s="1062" t="s">
        <v>235</v>
      </c>
      <c r="AS18" s="1063"/>
      <c r="AT18" s="1063"/>
      <c r="AU18" s="1063"/>
      <c r="AV18" s="1064"/>
      <c r="AW18" s="44"/>
      <c r="AX18" s="1065"/>
      <c r="AY18" s="1066"/>
      <c r="AZ18" s="1066"/>
      <c r="BA18" s="1047" t="str">
        <f t="shared" si="0"/>
        <v/>
      </c>
      <c r="BB18" s="1047"/>
      <c r="BC18" s="1047"/>
      <c r="BD18" s="1067"/>
      <c r="BE18" s="1067"/>
      <c r="BF18" s="1067"/>
      <c r="BG18" s="1047" t="str">
        <f t="shared" si="1"/>
        <v/>
      </c>
      <c r="BH18" s="1047"/>
      <c r="BI18" s="1047"/>
      <c r="BJ18" s="1047" t="str">
        <f t="shared" si="2"/>
        <v/>
      </c>
      <c r="BK18" s="1047"/>
      <c r="BL18" s="1047"/>
      <c r="BM18" s="1086" t="s">
        <v>235</v>
      </c>
      <c r="BN18" s="1087"/>
      <c r="BO18" s="1088"/>
      <c r="BP18" s="1086" t="s">
        <v>235</v>
      </c>
      <c r="BQ18" s="1087"/>
      <c r="BR18" s="1089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</row>
    <row r="19" spans="1:84" ht="12" customHeight="1" x14ac:dyDescent="0.25">
      <c r="A19" s="1097"/>
      <c r="B19" s="527"/>
      <c r="C19" s="527"/>
      <c r="D19" s="527"/>
      <c r="E19" s="527"/>
      <c r="F19" s="527"/>
      <c r="G19" s="1098"/>
      <c r="H19" s="1094" t="s">
        <v>199</v>
      </c>
      <c r="I19" s="1095"/>
      <c r="J19" s="1095"/>
      <c r="K19" s="1095"/>
      <c r="L19" s="1095"/>
      <c r="M19" s="1096"/>
      <c r="N19" s="577"/>
      <c r="O19" s="577"/>
      <c r="P19" s="577"/>
      <c r="Q19" s="399"/>
      <c r="R19" s="399"/>
      <c r="S19" s="399"/>
      <c r="T19" s="335" t="str">
        <f>IF($A18&lt;&gt;"","---","")</f>
        <v/>
      </c>
      <c r="U19" s="336"/>
      <c r="V19" s="336"/>
      <c r="W19" s="399"/>
      <c r="X19" s="399"/>
      <c r="Y19" s="399"/>
      <c r="Z19" s="335" t="str">
        <f>IF($A18&lt;&gt;"","---","")</f>
        <v/>
      </c>
      <c r="AA19" s="336"/>
      <c r="AB19" s="336"/>
      <c r="AC19" s="399"/>
      <c r="AD19" s="399"/>
      <c r="AE19" s="399"/>
      <c r="AF19" s="399"/>
      <c r="AG19" s="399"/>
      <c r="AH19" s="399"/>
      <c r="AI19" s="1055" t="str">
        <f>BA19</f>
        <v/>
      </c>
      <c r="AJ19" s="1055"/>
      <c r="AK19" s="1055"/>
      <c r="AL19" s="399"/>
      <c r="AM19" s="399"/>
      <c r="AN19" s="399"/>
      <c r="AO19" s="336" t="str">
        <f>IFERROR(SQRT(AL19/AL18)*AO18,"")</f>
        <v/>
      </c>
      <c r="AP19" s="336"/>
      <c r="AQ19" s="336"/>
      <c r="AR19" s="1080"/>
      <c r="AS19" s="1081"/>
      <c r="AT19" s="1081"/>
      <c r="AU19" s="1082" t="s">
        <v>218</v>
      </c>
      <c r="AV19" s="1083"/>
      <c r="AW19" s="44"/>
      <c r="AX19" s="1084"/>
      <c r="AY19" s="1085"/>
      <c r="AZ19" s="1085"/>
      <c r="BA19" s="1055" t="str">
        <f>IF(1.08*N19*(W19-Q19)/1000&lt;&gt;0,1.08*N19*(W19-Q19)/1000,"")</f>
        <v/>
      </c>
      <c r="BB19" s="1055"/>
      <c r="BC19" s="1055"/>
      <c r="BD19" s="1067"/>
      <c r="BE19" s="1067"/>
      <c r="BF19" s="1067"/>
      <c r="BG19" s="1055" t="str">
        <f>IFERROR(IF(AO19*500*(AC19-AF19)/1000&lt;&gt;0,AO19*500*(AC19-AF19)/1000,""),"")</f>
        <v/>
      </c>
      <c r="BH19" s="1055"/>
      <c r="BI19" s="1055"/>
      <c r="BJ19" s="1055" t="str">
        <f>IFERROR((BA19*1000)/(500*(AC19-AF19)),"")</f>
        <v/>
      </c>
      <c r="BK19" s="1055"/>
      <c r="BL19" s="1055"/>
      <c r="BM19" s="575" t="str">
        <f>IFERROR(SQRT(AL19/AL18)*AO18,"")</f>
        <v/>
      </c>
      <c r="BN19" s="575"/>
      <c r="BO19" s="1057"/>
      <c r="BP19" s="575" t="e">
        <f>BA19/BG19</f>
        <v>#VALUE!</v>
      </c>
      <c r="BQ19" s="575"/>
      <c r="BR19" s="576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</row>
    <row r="20" spans="1:84" ht="12" customHeight="1" x14ac:dyDescent="0.25">
      <c r="A20" s="1070"/>
      <c r="B20" s="1071"/>
      <c r="C20" s="1071"/>
      <c r="D20" s="1071"/>
      <c r="E20" s="1071"/>
      <c r="F20" s="1071"/>
      <c r="G20" s="1072"/>
      <c r="H20" s="1076" t="s">
        <v>197</v>
      </c>
      <c r="I20" s="1077"/>
      <c r="J20" s="1077"/>
      <c r="K20" s="1077"/>
      <c r="L20" s="1077"/>
      <c r="M20" s="1078"/>
      <c r="N20" s="1079"/>
      <c r="O20" s="1079"/>
      <c r="P20" s="1079"/>
      <c r="Q20" s="1061"/>
      <c r="R20" s="1061"/>
      <c r="S20" s="1061"/>
      <c r="T20" s="1068" t="str">
        <f>IF($A20&lt;&gt;"","---","")</f>
        <v/>
      </c>
      <c r="U20" s="1069"/>
      <c r="V20" s="1069"/>
      <c r="W20" s="1061"/>
      <c r="X20" s="1061"/>
      <c r="Y20" s="1061"/>
      <c r="Z20" s="1068" t="str">
        <f>IF($A20&lt;&gt;"","---","")</f>
        <v/>
      </c>
      <c r="AA20" s="1069"/>
      <c r="AB20" s="1069"/>
      <c r="AC20" s="1061"/>
      <c r="AD20" s="1061"/>
      <c r="AE20" s="1061"/>
      <c r="AF20" s="1061"/>
      <c r="AG20" s="1061"/>
      <c r="AH20" s="1061"/>
      <c r="AI20" s="1061"/>
      <c r="AJ20" s="1061"/>
      <c r="AK20" s="1061"/>
      <c r="AL20" s="1061"/>
      <c r="AM20" s="1061"/>
      <c r="AN20" s="1061"/>
      <c r="AO20" s="1061"/>
      <c r="AP20" s="1061"/>
      <c r="AQ20" s="1061"/>
      <c r="AR20" s="1062" t="s">
        <v>235</v>
      </c>
      <c r="AS20" s="1063"/>
      <c r="AT20" s="1063"/>
      <c r="AU20" s="1063"/>
      <c r="AV20" s="1064"/>
      <c r="AW20" s="44"/>
      <c r="AX20" s="1065"/>
      <c r="AY20" s="1066"/>
      <c r="AZ20" s="1066"/>
      <c r="BA20" s="1047" t="str">
        <f t="shared" si="0"/>
        <v/>
      </c>
      <c r="BB20" s="1047"/>
      <c r="BC20" s="1047"/>
      <c r="BD20" s="1067"/>
      <c r="BE20" s="1067"/>
      <c r="BF20" s="1067"/>
      <c r="BG20" s="1047" t="str">
        <f t="shared" si="1"/>
        <v/>
      </c>
      <c r="BH20" s="1047"/>
      <c r="BI20" s="1047"/>
      <c r="BJ20" s="1047" t="str">
        <f t="shared" si="2"/>
        <v/>
      </c>
      <c r="BK20" s="1047"/>
      <c r="BL20" s="1047"/>
      <c r="BM20" s="1086" t="s">
        <v>235</v>
      </c>
      <c r="BN20" s="1087"/>
      <c r="BO20" s="1088"/>
      <c r="BP20" s="1086" t="s">
        <v>235</v>
      </c>
      <c r="BQ20" s="1087"/>
      <c r="BR20" s="1089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</row>
    <row r="21" spans="1:84" ht="12" customHeight="1" x14ac:dyDescent="0.25">
      <c r="A21" s="1097"/>
      <c r="B21" s="527"/>
      <c r="C21" s="527"/>
      <c r="D21" s="527"/>
      <c r="E21" s="527"/>
      <c r="F21" s="527"/>
      <c r="G21" s="1098"/>
      <c r="H21" s="1094" t="s">
        <v>199</v>
      </c>
      <c r="I21" s="1095"/>
      <c r="J21" s="1095"/>
      <c r="K21" s="1095"/>
      <c r="L21" s="1095"/>
      <c r="M21" s="1096"/>
      <c r="N21" s="577"/>
      <c r="O21" s="577"/>
      <c r="P21" s="577"/>
      <c r="Q21" s="399"/>
      <c r="R21" s="399"/>
      <c r="S21" s="399"/>
      <c r="T21" s="335" t="str">
        <f>IF($A20&lt;&gt;"","---","")</f>
        <v/>
      </c>
      <c r="U21" s="336"/>
      <c r="V21" s="336"/>
      <c r="W21" s="399"/>
      <c r="X21" s="399"/>
      <c r="Y21" s="399"/>
      <c r="Z21" s="335" t="str">
        <f>IF($A20&lt;&gt;"","---","")</f>
        <v/>
      </c>
      <c r="AA21" s="336"/>
      <c r="AB21" s="336"/>
      <c r="AC21" s="399"/>
      <c r="AD21" s="399"/>
      <c r="AE21" s="399"/>
      <c r="AF21" s="399"/>
      <c r="AG21" s="399"/>
      <c r="AH21" s="399"/>
      <c r="AI21" s="1055" t="str">
        <f>BA21</f>
        <v/>
      </c>
      <c r="AJ21" s="1055"/>
      <c r="AK21" s="1055"/>
      <c r="AL21" s="399"/>
      <c r="AM21" s="399"/>
      <c r="AN21" s="399"/>
      <c r="AO21" s="336" t="str">
        <f>IFERROR(SQRT(AL21/AL20)*AO20,"")</f>
        <v/>
      </c>
      <c r="AP21" s="336"/>
      <c r="AQ21" s="336"/>
      <c r="AR21" s="1080"/>
      <c r="AS21" s="1081"/>
      <c r="AT21" s="1081"/>
      <c r="AU21" s="1082" t="s">
        <v>218</v>
      </c>
      <c r="AV21" s="1083"/>
      <c r="AW21" s="44"/>
      <c r="AX21" s="1084"/>
      <c r="AY21" s="1085"/>
      <c r="AZ21" s="1085"/>
      <c r="BA21" s="1055" t="str">
        <f>IF(1.08*N21*(W21-Q21)/1000&lt;&gt;0,1.08*N21*(W21-Q21)/1000,"")</f>
        <v/>
      </c>
      <c r="BB21" s="1055"/>
      <c r="BC21" s="1055"/>
      <c r="BD21" s="1067"/>
      <c r="BE21" s="1067"/>
      <c r="BF21" s="1067"/>
      <c r="BG21" s="1055" t="str">
        <f>IFERROR(IF(AO21*500*(AC21-AF21)/1000&lt;&gt;0,AO21*500*(AC21-AF21)/1000,""),"")</f>
        <v/>
      </c>
      <c r="BH21" s="1055"/>
      <c r="BI21" s="1055"/>
      <c r="BJ21" s="1055" t="str">
        <f>IFERROR((BA21*1000)/(500*(AC21-AF21)),"")</f>
        <v/>
      </c>
      <c r="BK21" s="1055"/>
      <c r="BL21" s="1055"/>
      <c r="BM21" s="575" t="str">
        <f>IFERROR(SQRT(AL21/AL20)*AO20,"")</f>
        <v/>
      </c>
      <c r="BN21" s="575"/>
      <c r="BO21" s="1057"/>
      <c r="BP21" s="575" t="e">
        <f>BA21/BG21</f>
        <v>#VALUE!</v>
      </c>
      <c r="BQ21" s="575"/>
      <c r="BR21" s="576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</row>
    <row r="22" spans="1:84" ht="12" customHeight="1" x14ac:dyDescent="0.25">
      <c r="A22" s="1070"/>
      <c r="B22" s="1071"/>
      <c r="C22" s="1071"/>
      <c r="D22" s="1071"/>
      <c r="E22" s="1071"/>
      <c r="F22" s="1071"/>
      <c r="G22" s="1072"/>
      <c r="H22" s="1076" t="s">
        <v>197</v>
      </c>
      <c r="I22" s="1077"/>
      <c r="J22" s="1077"/>
      <c r="K22" s="1077"/>
      <c r="L22" s="1077"/>
      <c r="M22" s="1078"/>
      <c r="N22" s="1079"/>
      <c r="O22" s="1079"/>
      <c r="P22" s="1079"/>
      <c r="Q22" s="1061"/>
      <c r="R22" s="1061"/>
      <c r="S22" s="1061"/>
      <c r="T22" s="1068" t="str">
        <f>IF($A22&lt;&gt;"","---","")</f>
        <v/>
      </c>
      <c r="U22" s="1069"/>
      <c r="V22" s="1069"/>
      <c r="W22" s="1061"/>
      <c r="X22" s="1061"/>
      <c r="Y22" s="1061"/>
      <c r="Z22" s="1068" t="str">
        <f>IF($A22&lt;&gt;"","---","")</f>
        <v/>
      </c>
      <c r="AA22" s="1069"/>
      <c r="AB22" s="1069"/>
      <c r="AC22" s="1061"/>
      <c r="AD22" s="1061"/>
      <c r="AE22" s="1061"/>
      <c r="AF22" s="1061"/>
      <c r="AG22" s="1061"/>
      <c r="AH22" s="1061"/>
      <c r="AI22" s="1061"/>
      <c r="AJ22" s="1061"/>
      <c r="AK22" s="1061"/>
      <c r="AL22" s="1061"/>
      <c r="AM22" s="1061"/>
      <c r="AN22" s="1061"/>
      <c r="AO22" s="1061"/>
      <c r="AP22" s="1061"/>
      <c r="AQ22" s="1061"/>
      <c r="AR22" s="1062" t="s">
        <v>235</v>
      </c>
      <c r="AS22" s="1063"/>
      <c r="AT22" s="1063"/>
      <c r="AU22" s="1063"/>
      <c r="AV22" s="1064"/>
      <c r="AW22" s="44"/>
      <c r="AX22" s="1065"/>
      <c r="AY22" s="1066"/>
      <c r="AZ22" s="1066"/>
      <c r="BA22" s="1047" t="str">
        <f t="shared" si="0"/>
        <v/>
      </c>
      <c r="BB22" s="1047"/>
      <c r="BC22" s="1047"/>
      <c r="BD22" s="1067"/>
      <c r="BE22" s="1067"/>
      <c r="BF22" s="1067"/>
      <c r="BG22" s="1047" t="str">
        <f t="shared" si="1"/>
        <v/>
      </c>
      <c r="BH22" s="1047"/>
      <c r="BI22" s="1047"/>
      <c r="BJ22" s="1047" t="str">
        <f t="shared" si="2"/>
        <v/>
      </c>
      <c r="BK22" s="1047"/>
      <c r="BL22" s="1047"/>
      <c r="BM22" s="1086" t="s">
        <v>235</v>
      </c>
      <c r="BN22" s="1087"/>
      <c r="BO22" s="1088"/>
      <c r="BP22" s="1086" t="s">
        <v>235</v>
      </c>
      <c r="BQ22" s="1087"/>
      <c r="BR22" s="1089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</row>
    <row r="23" spans="1:84" ht="12" customHeight="1" x14ac:dyDescent="0.25">
      <c r="A23" s="1097"/>
      <c r="B23" s="527"/>
      <c r="C23" s="527"/>
      <c r="D23" s="527"/>
      <c r="E23" s="527"/>
      <c r="F23" s="527"/>
      <c r="G23" s="1098"/>
      <c r="H23" s="1094" t="s">
        <v>199</v>
      </c>
      <c r="I23" s="1095"/>
      <c r="J23" s="1095"/>
      <c r="K23" s="1095"/>
      <c r="L23" s="1095"/>
      <c r="M23" s="1096"/>
      <c r="N23" s="577"/>
      <c r="O23" s="577"/>
      <c r="P23" s="577"/>
      <c r="Q23" s="399"/>
      <c r="R23" s="399"/>
      <c r="S23" s="399"/>
      <c r="T23" s="335" t="str">
        <f>IF($A22&lt;&gt;"","---","")</f>
        <v/>
      </c>
      <c r="U23" s="336"/>
      <c r="V23" s="336"/>
      <c r="W23" s="399"/>
      <c r="X23" s="399"/>
      <c r="Y23" s="399"/>
      <c r="Z23" s="335" t="str">
        <f>IF($A22&lt;&gt;"","---","")</f>
        <v/>
      </c>
      <c r="AA23" s="336"/>
      <c r="AB23" s="336"/>
      <c r="AC23" s="399"/>
      <c r="AD23" s="399"/>
      <c r="AE23" s="399"/>
      <c r="AF23" s="399"/>
      <c r="AG23" s="399"/>
      <c r="AH23" s="399"/>
      <c r="AI23" s="1055" t="str">
        <f>BA23</f>
        <v/>
      </c>
      <c r="AJ23" s="1055"/>
      <c r="AK23" s="1055"/>
      <c r="AL23" s="399"/>
      <c r="AM23" s="399"/>
      <c r="AN23" s="399"/>
      <c r="AO23" s="336" t="str">
        <f>IFERROR(SQRT(AL23/AL22)*AO22,"")</f>
        <v/>
      </c>
      <c r="AP23" s="336"/>
      <c r="AQ23" s="336"/>
      <c r="AR23" s="1080"/>
      <c r="AS23" s="1081"/>
      <c r="AT23" s="1081"/>
      <c r="AU23" s="1082" t="s">
        <v>218</v>
      </c>
      <c r="AV23" s="1083"/>
      <c r="AW23" s="44"/>
      <c r="AX23" s="1084"/>
      <c r="AY23" s="1085"/>
      <c r="AZ23" s="1085"/>
      <c r="BA23" s="1055" t="str">
        <f>IF(1.08*N23*(W23-Q23)/1000&lt;&gt;0,1.08*N23*(W23-Q23)/1000,"")</f>
        <v/>
      </c>
      <c r="BB23" s="1055"/>
      <c r="BC23" s="1055"/>
      <c r="BD23" s="1067"/>
      <c r="BE23" s="1067"/>
      <c r="BF23" s="1067"/>
      <c r="BG23" s="1055" t="str">
        <f>IFERROR(IF(AO23*500*(AC23-AF23)/1000&lt;&gt;0,AO23*500*(AC23-AF23)/1000,""),"")</f>
        <v/>
      </c>
      <c r="BH23" s="1055"/>
      <c r="BI23" s="1055"/>
      <c r="BJ23" s="1055" t="str">
        <f>IFERROR((BA23*1000)/(500*(AC23-AF23)),"")</f>
        <v/>
      </c>
      <c r="BK23" s="1055"/>
      <c r="BL23" s="1055"/>
      <c r="BM23" s="575" t="str">
        <f>IFERROR(SQRT(AL23/AL22)*AO22,"")</f>
        <v/>
      </c>
      <c r="BN23" s="575"/>
      <c r="BO23" s="1057"/>
      <c r="BP23" s="575" t="e">
        <f>BA23/BG23</f>
        <v>#VALUE!</v>
      </c>
      <c r="BQ23" s="575"/>
      <c r="BR23" s="576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</row>
    <row r="24" spans="1:84" ht="12" customHeight="1" x14ac:dyDescent="0.25">
      <c r="A24" s="1070"/>
      <c r="B24" s="1071"/>
      <c r="C24" s="1071"/>
      <c r="D24" s="1071"/>
      <c r="E24" s="1071"/>
      <c r="F24" s="1071"/>
      <c r="G24" s="1072"/>
      <c r="H24" s="1076" t="s">
        <v>197</v>
      </c>
      <c r="I24" s="1077"/>
      <c r="J24" s="1077"/>
      <c r="K24" s="1077"/>
      <c r="L24" s="1077"/>
      <c r="M24" s="1078"/>
      <c r="N24" s="1079"/>
      <c r="O24" s="1079"/>
      <c r="P24" s="1079"/>
      <c r="Q24" s="1061"/>
      <c r="R24" s="1061"/>
      <c r="S24" s="1061"/>
      <c r="T24" s="1068" t="str">
        <f>IF($A24&lt;&gt;"","---","")</f>
        <v/>
      </c>
      <c r="U24" s="1069"/>
      <c r="V24" s="1069"/>
      <c r="W24" s="1061"/>
      <c r="X24" s="1061"/>
      <c r="Y24" s="1061"/>
      <c r="Z24" s="1068" t="str">
        <f>IF($A24&lt;&gt;"","---","")</f>
        <v/>
      </c>
      <c r="AA24" s="1069"/>
      <c r="AB24" s="1069"/>
      <c r="AC24" s="1061"/>
      <c r="AD24" s="1061"/>
      <c r="AE24" s="1061"/>
      <c r="AF24" s="1061"/>
      <c r="AG24" s="1061"/>
      <c r="AH24" s="1061"/>
      <c r="AI24" s="1061"/>
      <c r="AJ24" s="1061"/>
      <c r="AK24" s="1061"/>
      <c r="AL24" s="1061"/>
      <c r="AM24" s="1061"/>
      <c r="AN24" s="1061"/>
      <c r="AO24" s="1061"/>
      <c r="AP24" s="1061"/>
      <c r="AQ24" s="1061"/>
      <c r="AR24" s="1062" t="s">
        <v>235</v>
      </c>
      <c r="AS24" s="1063"/>
      <c r="AT24" s="1063"/>
      <c r="AU24" s="1063"/>
      <c r="AV24" s="1064"/>
      <c r="AW24" s="44"/>
      <c r="AX24" s="1065"/>
      <c r="AY24" s="1066"/>
      <c r="AZ24" s="1066"/>
      <c r="BA24" s="1047" t="str">
        <f t="shared" si="0"/>
        <v/>
      </c>
      <c r="BB24" s="1047"/>
      <c r="BC24" s="1047"/>
      <c r="BD24" s="1067"/>
      <c r="BE24" s="1067"/>
      <c r="BF24" s="1067"/>
      <c r="BG24" s="1047" t="str">
        <f t="shared" si="1"/>
        <v/>
      </c>
      <c r="BH24" s="1047"/>
      <c r="BI24" s="1047"/>
      <c r="BJ24" s="1047" t="str">
        <f t="shared" si="2"/>
        <v/>
      </c>
      <c r="BK24" s="1047"/>
      <c r="BL24" s="1047"/>
      <c r="BM24" s="1086" t="s">
        <v>235</v>
      </c>
      <c r="BN24" s="1087"/>
      <c r="BO24" s="1088"/>
      <c r="BP24" s="1086" t="s">
        <v>235</v>
      </c>
      <c r="BQ24" s="1087"/>
      <c r="BR24" s="1089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</row>
    <row r="25" spans="1:84" ht="12" customHeight="1" x14ac:dyDescent="0.25">
      <c r="A25" s="1097"/>
      <c r="B25" s="527"/>
      <c r="C25" s="527"/>
      <c r="D25" s="527"/>
      <c r="E25" s="527"/>
      <c r="F25" s="527"/>
      <c r="G25" s="1098"/>
      <c r="H25" s="1094" t="s">
        <v>199</v>
      </c>
      <c r="I25" s="1095"/>
      <c r="J25" s="1095"/>
      <c r="K25" s="1095"/>
      <c r="L25" s="1095"/>
      <c r="M25" s="1096"/>
      <c r="N25" s="577"/>
      <c r="O25" s="577"/>
      <c r="P25" s="577"/>
      <c r="Q25" s="399"/>
      <c r="R25" s="399"/>
      <c r="S25" s="399"/>
      <c r="T25" s="335" t="str">
        <f>IF($A24&lt;&gt;"","---","")</f>
        <v/>
      </c>
      <c r="U25" s="336"/>
      <c r="V25" s="336"/>
      <c r="W25" s="399"/>
      <c r="X25" s="399"/>
      <c r="Y25" s="399"/>
      <c r="Z25" s="335" t="str">
        <f>IF($A24&lt;&gt;"","---","")</f>
        <v/>
      </c>
      <c r="AA25" s="336"/>
      <c r="AB25" s="336"/>
      <c r="AC25" s="399"/>
      <c r="AD25" s="399"/>
      <c r="AE25" s="399"/>
      <c r="AF25" s="399"/>
      <c r="AG25" s="399"/>
      <c r="AH25" s="399"/>
      <c r="AI25" s="1055" t="str">
        <f>BA25</f>
        <v/>
      </c>
      <c r="AJ25" s="1055"/>
      <c r="AK25" s="1055"/>
      <c r="AL25" s="399"/>
      <c r="AM25" s="399"/>
      <c r="AN25" s="399"/>
      <c r="AO25" s="336" t="str">
        <f>IFERROR(SQRT(AL25/AL24)*AO24,"")</f>
        <v/>
      </c>
      <c r="AP25" s="336"/>
      <c r="AQ25" s="336"/>
      <c r="AR25" s="1080"/>
      <c r="AS25" s="1081"/>
      <c r="AT25" s="1081"/>
      <c r="AU25" s="1082" t="s">
        <v>218</v>
      </c>
      <c r="AV25" s="1083"/>
      <c r="AW25" s="44"/>
      <c r="AX25" s="1084"/>
      <c r="AY25" s="1085"/>
      <c r="AZ25" s="1085"/>
      <c r="BA25" s="1055" t="str">
        <f>IF(1.08*N25*(W25-Q25)/1000&lt;&gt;0,1.08*N25*(W25-Q25)/1000,"")</f>
        <v/>
      </c>
      <c r="BB25" s="1055"/>
      <c r="BC25" s="1055"/>
      <c r="BD25" s="1067"/>
      <c r="BE25" s="1067"/>
      <c r="BF25" s="1067"/>
      <c r="BG25" s="1055" t="str">
        <f>IFERROR(IF(AO25*500*(AC25-AF25)/1000&lt;&gt;0,AO25*500*(AC25-AF25)/1000,""),"")</f>
        <v/>
      </c>
      <c r="BH25" s="1055"/>
      <c r="BI25" s="1055"/>
      <c r="BJ25" s="1055" t="str">
        <f>IFERROR((BA25*1000)/(500*(AC25-AF25)),"")</f>
        <v/>
      </c>
      <c r="BK25" s="1055"/>
      <c r="BL25" s="1055"/>
      <c r="BM25" s="575" t="str">
        <f>IFERROR(SQRT(AL25/AL24)*AO24,"")</f>
        <v/>
      </c>
      <c r="BN25" s="575"/>
      <c r="BO25" s="1057"/>
      <c r="BP25" s="575" t="e">
        <f>BA25/BG25</f>
        <v>#VALUE!</v>
      </c>
      <c r="BQ25" s="575"/>
      <c r="BR25" s="576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</row>
    <row r="26" spans="1:84" ht="12" customHeight="1" x14ac:dyDescent="0.25">
      <c r="A26" s="1070"/>
      <c r="B26" s="1071"/>
      <c r="C26" s="1071"/>
      <c r="D26" s="1071"/>
      <c r="E26" s="1071"/>
      <c r="F26" s="1071"/>
      <c r="G26" s="1072"/>
      <c r="H26" s="1076" t="s">
        <v>197</v>
      </c>
      <c r="I26" s="1077"/>
      <c r="J26" s="1077"/>
      <c r="K26" s="1077"/>
      <c r="L26" s="1077"/>
      <c r="M26" s="1078"/>
      <c r="N26" s="1079"/>
      <c r="O26" s="1079"/>
      <c r="P26" s="1079"/>
      <c r="Q26" s="1061"/>
      <c r="R26" s="1061"/>
      <c r="S26" s="1061"/>
      <c r="T26" s="1068" t="str">
        <f>IF($A26&lt;&gt;"","---","")</f>
        <v/>
      </c>
      <c r="U26" s="1069"/>
      <c r="V26" s="1069"/>
      <c r="W26" s="1061"/>
      <c r="X26" s="1061"/>
      <c r="Y26" s="1061"/>
      <c r="Z26" s="1068" t="str">
        <f>IF($A26&lt;&gt;"","---","")</f>
        <v/>
      </c>
      <c r="AA26" s="1069"/>
      <c r="AB26" s="1069"/>
      <c r="AC26" s="1061"/>
      <c r="AD26" s="1061"/>
      <c r="AE26" s="1061"/>
      <c r="AF26" s="1061"/>
      <c r="AG26" s="1061"/>
      <c r="AH26" s="1061"/>
      <c r="AI26" s="1061"/>
      <c r="AJ26" s="1061"/>
      <c r="AK26" s="1061"/>
      <c r="AL26" s="1061"/>
      <c r="AM26" s="1061"/>
      <c r="AN26" s="1061"/>
      <c r="AO26" s="1061"/>
      <c r="AP26" s="1061"/>
      <c r="AQ26" s="1061"/>
      <c r="AR26" s="1062" t="s">
        <v>235</v>
      </c>
      <c r="AS26" s="1063"/>
      <c r="AT26" s="1063"/>
      <c r="AU26" s="1063"/>
      <c r="AV26" s="1064"/>
      <c r="AW26" s="44"/>
      <c r="AX26" s="1065"/>
      <c r="AY26" s="1066"/>
      <c r="AZ26" s="1066"/>
      <c r="BA26" s="1047" t="str">
        <f t="shared" si="0"/>
        <v/>
      </c>
      <c r="BB26" s="1047"/>
      <c r="BC26" s="1047"/>
      <c r="BD26" s="1067"/>
      <c r="BE26" s="1067"/>
      <c r="BF26" s="1067"/>
      <c r="BG26" s="1047" t="str">
        <f t="shared" si="1"/>
        <v/>
      </c>
      <c r="BH26" s="1047"/>
      <c r="BI26" s="1047"/>
      <c r="BJ26" s="1047" t="str">
        <f t="shared" si="2"/>
        <v/>
      </c>
      <c r="BK26" s="1047"/>
      <c r="BL26" s="1047"/>
      <c r="BM26" s="1086" t="s">
        <v>235</v>
      </c>
      <c r="BN26" s="1087"/>
      <c r="BO26" s="1088"/>
      <c r="BP26" s="1086" t="s">
        <v>235</v>
      </c>
      <c r="BQ26" s="1087"/>
      <c r="BR26" s="1089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</row>
    <row r="27" spans="1:84" ht="12" customHeight="1" x14ac:dyDescent="0.25">
      <c r="A27" s="1097"/>
      <c r="B27" s="527"/>
      <c r="C27" s="527"/>
      <c r="D27" s="527"/>
      <c r="E27" s="527"/>
      <c r="F27" s="527"/>
      <c r="G27" s="1098"/>
      <c r="H27" s="1094" t="s">
        <v>199</v>
      </c>
      <c r="I27" s="1095"/>
      <c r="J27" s="1095"/>
      <c r="K27" s="1095"/>
      <c r="L27" s="1095"/>
      <c r="M27" s="1096"/>
      <c r="N27" s="577"/>
      <c r="O27" s="577"/>
      <c r="P27" s="577"/>
      <c r="Q27" s="399"/>
      <c r="R27" s="399"/>
      <c r="S27" s="399"/>
      <c r="T27" s="335" t="str">
        <f>IF($A26&lt;&gt;"","---","")</f>
        <v/>
      </c>
      <c r="U27" s="336"/>
      <c r="V27" s="336"/>
      <c r="W27" s="399"/>
      <c r="X27" s="399"/>
      <c r="Y27" s="399"/>
      <c r="Z27" s="335" t="str">
        <f>IF($A26&lt;&gt;"","---","")</f>
        <v/>
      </c>
      <c r="AA27" s="336"/>
      <c r="AB27" s="336"/>
      <c r="AC27" s="1007"/>
      <c r="AD27" s="399"/>
      <c r="AE27" s="399"/>
      <c r="AF27" s="1007"/>
      <c r="AG27" s="399"/>
      <c r="AH27" s="399"/>
      <c r="AI27" s="1055" t="str">
        <f>BA27</f>
        <v/>
      </c>
      <c r="AJ27" s="1055"/>
      <c r="AK27" s="1055"/>
      <c r="AL27" s="1007"/>
      <c r="AM27" s="399"/>
      <c r="AN27" s="399"/>
      <c r="AO27" s="336" t="str">
        <f>IFERROR(SQRT(AL27/AL26)*AO26,"")</f>
        <v/>
      </c>
      <c r="AP27" s="336"/>
      <c r="AQ27" s="336"/>
      <c r="AR27" s="1080"/>
      <c r="AS27" s="1081"/>
      <c r="AT27" s="1081"/>
      <c r="AU27" s="1082" t="s">
        <v>218</v>
      </c>
      <c r="AV27" s="1083"/>
      <c r="AW27" s="44"/>
      <c r="AX27" s="1084"/>
      <c r="AY27" s="1085"/>
      <c r="AZ27" s="1085"/>
      <c r="BA27" s="1055" t="str">
        <f>IF(1.08*N27*(W27-Q27)/1000&lt;&gt;0,1.08*N27*(W27-Q27)/1000,"")</f>
        <v/>
      </c>
      <c r="BB27" s="1055"/>
      <c r="BC27" s="1055"/>
      <c r="BD27" s="1067"/>
      <c r="BE27" s="1067"/>
      <c r="BF27" s="1067"/>
      <c r="BG27" s="1055" t="str">
        <f>IFERROR(IF(AO27*500*(AC27-AF27)/1000&lt;&gt;0,AO27*500*(AC27-AF27)/1000,""),"")</f>
        <v/>
      </c>
      <c r="BH27" s="1055"/>
      <c r="BI27" s="1055"/>
      <c r="BJ27" s="1055" t="str">
        <f>IFERROR((BA27*1000)/(500*(AC27-AF27)),"")</f>
        <v/>
      </c>
      <c r="BK27" s="1055"/>
      <c r="BL27" s="1055"/>
      <c r="BM27" s="575" t="str">
        <f>IFERROR(SQRT(AL27/AL26)*AO26,"")</f>
        <v/>
      </c>
      <c r="BN27" s="575"/>
      <c r="BO27" s="1057"/>
      <c r="BP27" s="575" t="e">
        <f>BA27/BG27</f>
        <v>#VALUE!</v>
      </c>
      <c r="BQ27" s="575"/>
      <c r="BR27" s="576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</row>
    <row r="28" spans="1:84" ht="12" customHeight="1" x14ac:dyDescent="0.25">
      <c r="A28" s="1070"/>
      <c r="B28" s="1071"/>
      <c r="C28" s="1071"/>
      <c r="D28" s="1071"/>
      <c r="E28" s="1071"/>
      <c r="F28" s="1071"/>
      <c r="G28" s="1072"/>
      <c r="H28" s="1076" t="s">
        <v>197</v>
      </c>
      <c r="I28" s="1077"/>
      <c r="J28" s="1077"/>
      <c r="K28" s="1077"/>
      <c r="L28" s="1077"/>
      <c r="M28" s="1078"/>
      <c r="N28" s="1079"/>
      <c r="O28" s="1079"/>
      <c r="P28" s="1079"/>
      <c r="Q28" s="1061"/>
      <c r="R28" s="1061"/>
      <c r="S28" s="1061"/>
      <c r="T28" s="1068" t="str">
        <f>IF($A28&lt;&gt;"","---","")</f>
        <v/>
      </c>
      <c r="U28" s="1069"/>
      <c r="V28" s="1069"/>
      <c r="W28" s="1061"/>
      <c r="X28" s="1061"/>
      <c r="Y28" s="1061"/>
      <c r="Z28" s="1068" t="str">
        <f>IF($A28&lt;&gt;"","---","")</f>
        <v/>
      </c>
      <c r="AA28" s="1069"/>
      <c r="AB28" s="1069"/>
      <c r="AC28" s="1061"/>
      <c r="AD28" s="1061"/>
      <c r="AE28" s="1061"/>
      <c r="AF28" s="1061"/>
      <c r="AG28" s="1061"/>
      <c r="AH28" s="1061"/>
      <c r="AI28" s="1061"/>
      <c r="AJ28" s="1061"/>
      <c r="AK28" s="1061"/>
      <c r="AL28" s="1061"/>
      <c r="AM28" s="1061"/>
      <c r="AN28" s="1061"/>
      <c r="AO28" s="1061"/>
      <c r="AP28" s="1061"/>
      <c r="AQ28" s="1061"/>
      <c r="AR28" s="1062" t="s">
        <v>235</v>
      </c>
      <c r="AS28" s="1063"/>
      <c r="AT28" s="1063"/>
      <c r="AU28" s="1063"/>
      <c r="AV28" s="1064"/>
      <c r="AW28" s="44"/>
      <c r="AX28" s="1065"/>
      <c r="AY28" s="1066"/>
      <c r="AZ28" s="1066"/>
      <c r="BA28" s="1047" t="str">
        <f t="shared" si="0"/>
        <v/>
      </c>
      <c r="BB28" s="1047"/>
      <c r="BC28" s="1047"/>
      <c r="BD28" s="1067"/>
      <c r="BE28" s="1067"/>
      <c r="BF28" s="1067"/>
      <c r="BG28" s="1047" t="str">
        <f t="shared" si="1"/>
        <v/>
      </c>
      <c r="BH28" s="1047"/>
      <c r="BI28" s="1047"/>
      <c r="BJ28" s="1047" t="str">
        <f t="shared" si="2"/>
        <v/>
      </c>
      <c r="BK28" s="1047"/>
      <c r="BL28" s="1047"/>
      <c r="BM28" s="1086" t="s">
        <v>235</v>
      </c>
      <c r="BN28" s="1087"/>
      <c r="BO28" s="1088"/>
      <c r="BP28" s="1086" t="s">
        <v>235</v>
      </c>
      <c r="BQ28" s="1087"/>
      <c r="BR28" s="1089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</row>
    <row r="29" spans="1:84" ht="12" customHeight="1" x14ac:dyDescent="0.25">
      <c r="A29" s="1097"/>
      <c r="B29" s="527"/>
      <c r="C29" s="527"/>
      <c r="D29" s="527"/>
      <c r="E29" s="527"/>
      <c r="F29" s="527"/>
      <c r="G29" s="1098"/>
      <c r="H29" s="1094" t="s">
        <v>199</v>
      </c>
      <c r="I29" s="1095"/>
      <c r="J29" s="1095"/>
      <c r="K29" s="1095"/>
      <c r="L29" s="1095"/>
      <c r="M29" s="1096"/>
      <c r="N29" s="577"/>
      <c r="O29" s="577"/>
      <c r="P29" s="577"/>
      <c r="Q29" s="399"/>
      <c r="R29" s="399"/>
      <c r="S29" s="399"/>
      <c r="T29" s="335" t="str">
        <f>IF($A28&lt;&gt;"","---","")</f>
        <v/>
      </c>
      <c r="U29" s="336"/>
      <c r="V29" s="336"/>
      <c r="W29" s="399"/>
      <c r="X29" s="399"/>
      <c r="Y29" s="399"/>
      <c r="Z29" s="335" t="str">
        <f>IF($A28&lt;&gt;"","---","")</f>
        <v/>
      </c>
      <c r="AA29" s="336"/>
      <c r="AB29" s="336"/>
      <c r="AC29" s="399"/>
      <c r="AD29" s="399"/>
      <c r="AE29" s="399"/>
      <c r="AF29" s="399"/>
      <c r="AG29" s="399"/>
      <c r="AH29" s="399"/>
      <c r="AI29" s="1055" t="str">
        <f>BA29</f>
        <v/>
      </c>
      <c r="AJ29" s="1055"/>
      <c r="AK29" s="1055"/>
      <c r="AL29" s="399"/>
      <c r="AM29" s="399"/>
      <c r="AN29" s="399"/>
      <c r="AO29" s="336" t="str">
        <f>IFERROR(SQRT(AL29/AL28)*AO28,"")</f>
        <v/>
      </c>
      <c r="AP29" s="336"/>
      <c r="AQ29" s="336"/>
      <c r="AR29" s="1080"/>
      <c r="AS29" s="1081"/>
      <c r="AT29" s="1081"/>
      <c r="AU29" s="1082" t="s">
        <v>218</v>
      </c>
      <c r="AV29" s="1083"/>
      <c r="AW29" s="44"/>
      <c r="AX29" s="1084"/>
      <c r="AY29" s="1085"/>
      <c r="AZ29" s="1085"/>
      <c r="BA29" s="1055" t="str">
        <f>IF(1.08*N29*(W29-Q29)/1000&lt;&gt;0,1.08*N29*(W29-Q29)/1000,"")</f>
        <v/>
      </c>
      <c r="BB29" s="1055"/>
      <c r="BC29" s="1055"/>
      <c r="BD29" s="1067"/>
      <c r="BE29" s="1067"/>
      <c r="BF29" s="1067"/>
      <c r="BG29" s="1055" t="str">
        <f>IFERROR(IF(AO29*500*(AC29-AF29)/1000&lt;&gt;0,AO29*500*(AC29-AF29)/1000,""),"")</f>
        <v/>
      </c>
      <c r="BH29" s="1055"/>
      <c r="BI29" s="1055"/>
      <c r="BJ29" s="1055" t="str">
        <f>IFERROR((BA29*1000)/(500*(AC29-AF29)),"")</f>
        <v/>
      </c>
      <c r="BK29" s="1055"/>
      <c r="BL29" s="1055"/>
      <c r="BM29" s="575" t="str">
        <f>IFERROR(SQRT(AL29/AL28)*AO28,"")</f>
        <v/>
      </c>
      <c r="BN29" s="575"/>
      <c r="BO29" s="1057"/>
      <c r="BP29" s="575" t="e">
        <f>BA29/BG29</f>
        <v>#VALUE!</v>
      </c>
      <c r="BQ29" s="575"/>
      <c r="BR29" s="576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</row>
    <row r="30" spans="1:84" ht="12" customHeight="1" x14ac:dyDescent="0.25">
      <c r="A30" s="1070"/>
      <c r="B30" s="1071"/>
      <c r="C30" s="1071"/>
      <c r="D30" s="1071"/>
      <c r="E30" s="1071"/>
      <c r="F30" s="1071"/>
      <c r="G30" s="1072"/>
      <c r="H30" s="1076" t="s">
        <v>197</v>
      </c>
      <c r="I30" s="1077"/>
      <c r="J30" s="1077"/>
      <c r="K30" s="1077"/>
      <c r="L30" s="1077"/>
      <c r="M30" s="1078"/>
      <c r="N30" s="1079"/>
      <c r="O30" s="1079"/>
      <c r="P30" s="1079"/>
      <c r="Q30" s="1061"/>
      <c r="R30" s="1061"/>
      <c r="S30" s="1061"/>
      <c r="T30" s="1068" t="str">
        <f>IF($A30&lt;&gt;"","---","")</f>
        <v/>
      </c>
      <c r="U30" s="1069"/>
      <c r="V30" s="1069"/>
      <c r="W30" s="1061"/>
      <c r="X30" s="1061"/>
      <c r="Y30" s="1061"/>
      <c r="Z30" s="1068" t="str">
        <f>IF($A30&lt;&gt;"","---","")</f>
        <v/>
      </c>
      <c r="AA30" s="1069"/>
      <c r="AB30" s="1069"/>
      <c r="AC30" s="1061"/>
      <c r="AD30" s="1061"/>
      <c r="AE30" s="1061"/>
      <c r="AF30" s="1061"/>
      <c r="AG30" s="1061"/>
      <c r="AH30" s="1061"/>
      <c r="AI30" s="1061"/>
      <c r="AJ30" s="1061"/>
      <c r="AK30" s="1061"/>
      <c r="AL30" s="1061"/>
      <c r="AM30" s="1061"/>
      <c r="AN30" s="1061"/>
      <c r="AO30" s="1061"/>
      <c r="AP30" s="1061"/>
      <c r="AQ30" s="1061"/>
      <c r="AR30" s="1062" t="s">
        <v>235</v>
      </c>
      <c r="AS30" s="1063"/>
      <c r="AT30" s="1063"/>
      <c r="AU30" s="1063"/>
      <c r="AV30" s="1064"/>
      <c r="AW30" s="44"/>
      <c r="AX30" s="1065"/>
      <c r="AY30" s="1066"/>
      <c r="AZ30" s="1066"/>
      <c r="BA30" s="1047" t="str">
        <f t="shared" si="0"/>
        <v/>
      </c>
      <c r="BB30" s="1047"/>
      <c r="BC30" s="1047"/>
      <c r="BD30" s="1067"/>
      <c r="BE30" s="1067"/>
      <c r="BF30" s="1067"/>
      <c r="BG30" s="1047" t="str">
        <f t="shared" si="1"/>
        <v/>
      </c>
      <c r="BH30" s="1047"/>
      <c r="BI30" s="1047"/>
      <c r="BJ30" s="1047" t="str">
        <f t="shared" si="2"/>
        <v/>
      </c>
      <c r="BK30" s="1047"/>
      <c r="BL30" s="1047"/>
      <c r="BM30" s="1086" t="s">
        <v>235</v>
      </c>
      <c r="BN30" s="1087"/>
      <c r="BO30" s="1088"/>
      <c r="BP30" s="1086" t="s">
        <v>235</v>
      </c>
      <c r="BQ30" s="1087"/>
      <c r="BR30" s="1089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</row>
    <row r="31" spans="1:84" ht="12" customHeight="1" x14ac:dyDescent="0.25">
      <c r="A31" s="1097"/>
      <c r="B31" s="527"/>
      <c r="C31" s="527"/>
      <c r="D31" s="527"/>
      <c r="E31" s="527"/>
      <c r="F31" s="527"/>
      <c r="G31" s="1098"/>
      <c r="H31" s="1094" t="s">
        <v>199</v>
      </c>
      <c r="I31" s="1095"/>
      <c r="J31" s="1095"/>
      <c r="K31" s="1095"/>
      <c r="L31" s="1095"/>
      <c r="M31" s="1096"/>
      <c r="N31" s="577"/>
      <c r="O31" s="577"/>
      <c r="P31" s="577"/>
      <c r="Q31" s="399"/>
      <c r="R31" s="399"/>
      <c r="S31" s="399"/>
      <c r="T31" s="335" t="str">
        <f>IF($A30&lt;&gt;"","---","")</f>
        <v/>
      </c>
      <c r="U31" s="336"/>
      <c r="V31" s="336"/>
      <c r="W31" s="399"/>
      <c r="X31" s="399"/>
      <c r="Y31" s="399"/>
      <c r="Z31" s="335" t="str">
        <f>IF($A30&lt;&gt;"","---","")</f>
        <v/>
      </c>
      <c r="AA31" s="336"/>
      <c r="AB31" s="336"/>
      <c r="AC31" s="399"/>
      <c r="AD31" s="399"/>
      <c r="AE31" s="399"/>
      <c r="AF31" s="399"/>
      <c r="AG31" s="399"/>
      <c r="AH31" s="399"/>
      <c r="AI31" s="1055" t="str">
        <f>BA31</f>
        <v/>
      </c>
      <c r="AJ31" s="1055"/>
      <c r="AK31" s="1055"/>
      <c r="AL31" s="399"/>
      <c r="AM31" s="399"/>
      <c r="AN31" s="399"/>
      <c r="AO31" s="336" t="str">
        <f>IFERROR(SQRT(AL31/AL30)*AO30,"")</f>
        <v/>
      </c>
      <c r="AP31" s="336"/>
      <c r="AQ31" s="336"/>
      <c r="AR31" s="1080"/>
      <c r="AS31" s="1081"/>
      <c r="AT31" s="1081"/>
      <c r="AU31" s="1082" t="s">
        <v>218</v>
      </c>
      <c r="AV31" s="1083"/>
      <c r="AW31" s="44"/>
      <c r="AX31" s="1084"/>
      <c r="AY31" s="1085"/>
      <c r="AZ31" s="1085"/>
      <c r="BA31" s="1055" t="str">
        <f>IF(1.08*N31*(W31-Q31)/1000&lt;&gt;0,1.08*N31*(W31-Q31)/1000,"")</f>
        <v/>
      </c>
      <c r="BB31" s="1055"/>
      <c r="BC31" s="1055"/>
      <c r="BD31" s="1067"/>
      <c r="BE31" s="1067"/>
      <c r="BF31" s="1067"/>
      <c r="BG31" s="1055" t="str">
        <f>IFERROR(IF(AO31*500*(AC31-AF31)/1000&lt;&gt;0,AO31*500*(AC31-AF31)/1000,""),"")</f>
        <v/>
      </c>
      <c r="BH31" s="1055"/>
      <c r="BI31" s="1055"/>
      <c r="BJ31" s="1055" t="str">
        <f>IFERROR((BA31*1000)/(500*(AC31-AF31)),"")</f>
        <v/>
      </c>
      <c r="BK31" s="1055"/>
      <c r="BL31" s="1055"/>
      <c r="BM31" s="575" t="str">
        <f>IFERROR(SQRT(AL31/AL30)*AO30,"")</f>
        <v/>
      </c>
      <c r="BN31" s="575"/>
      <c r="BO31" s="1057"/>
      <c r="BP31" s="575" t="e">
        <f>BA31/BG31</f>
        <v>#VALUE!</v>
      </c>
      <c r="BQ31" s="575"/>
      <c r="BR31" s="576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</row>
    <row r="32" spans="1:84" ht="12" customHeight="1" x14ac:dyDescent="0.25">
      <c r="A32" s="1070"/>
      <c r="B32" s="1071"/>
      <c r="C32" s="1071"/>
      <c r="D32" s="1071"/>
      <c r="E32" s="1071"/>
      <c r="F32" s="1071"/>
      <c r="G32" s="1072"/>
      <c r="H32" s="1076" t="s">
        <v>197</v>
      </c>
      <c r="I32" s="1077"/>
      <c r="J32" s="1077"/>
      <c r="K32" s="1077"/>
      <c r="L32" s="1077"/>
      <c r="M32" s="1078"/>
      <c r="N32" s="1079"/>
      <c r="O32" s="1079"/>
      <c r="P32" s="1079"/>
      <c r="Q32" s="1061"/>
      <c r="R32" s="1061"/>
      <c r="S32" s="1061"/>
      <c r="T32" s="1068" t="str">
        <f>IF($A32&lt;&gt;"","---","")</f>
        <v/>
      </c>
      <c r="U32" s="1069"/>
      <c r="V32" s="1069"/>
      <c r="W32" s="1061"/>
      <c r="X32" s="1061"/>
      <c r="Y32" s="1061"/>
      <c r="Z32" s="1068" t="str">
        <f>IF($A32&lt;&gt;"","---","")</f>
        <v/>
      </c>
      <c r="AA32" s="1069"/>
      <c r="AB32" s="1069"/>
      <c r="AC32" s="1061"/>
      <c r="AD32" s="1061"/>
      <c r="AE32" s="1061"/>
      <c r="AF32" s="1061"/>
      <c r="AG32" s="1061"/>
      <c r="AH32" s="1061"/>
      <c r="AI32" s="1061"/>
      <c r="AJ32" s="1061"/>
      <c r="AK32" s="1061"/>
      <c r="AL32" s="1061"/>
      <c r="AM32" s="1061"/>
      <c r="AN32" s="1061"/>
      <c r="AO32" s="1061"/>
      <c r="AP32" s="1061"/>
      <c r="AQ32" s="1061"/>
      <c r="AR32" s="1062" t="s">
        <v>235</v>
      </c>
      <c r="AS32" s="1063"/>
      <c r="AT32" s="1063"/>
      <c r="AU32" s="1063"/>
      <c r="AV32" s="1064"/>
      <c r="AW32" s="44"/>
      <c r="AX32" s="1065"/>
      <c r="AY32" s="1066"/>
      <c r="AZ32" s="1066"/>
      <c r="BA32" s="1047" t="str">
        <f t="shared" si="0"/>
        <v/>
      </c>
      <c r="BB32" s="1047"/>
      <c r="BC32" s="1047"/>
      <c r="BD32" s="1067"/>
      <c r="BE32" s="1067"/>
      <c r="BF32" s="1067"/>
      <c r="BG32" s="1047" t="str">
        <f t="shared" si="1"/>
        <v/>
      </c>
      <c r="BH32" s="1047"/>
      <c r="BI32" s="1047"/>
      <c r="BJ32" s="1047" t="str">
        <f t="shared" si="2"/>
        <v/>
      </c>
      <c r="BK32" s="1047"/>
      <c r="BL32" s="1047"/>
      <c r="BM32" s="1086" t="s">
        <v>235</v>
      </c>
      <c r="BN32" s="1087"/>
      <c r="BO32" s="1088"/>
      <c r="BP32" s="1086" t="s">
        <v>235</v>
      </c>
      <c r="BQ32" s="1087"/>
      <c r="BR32" s="1089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</row>
    <row r="33" spans="1:84" ht="12" customHeight="1" thickBot="1" x14ac:dyDescent="0.3">
      <c r="A33" s="1073"/>
      <c r="B33" s="1074"/>
      <c r="C33" s="1074"/>
      <c r="D33" s="1074"/>
      <c r="E33" s="1074"/>
      <c r="F33" s="1074"/>
      <c r="G33" s="1075"/>
      <c r="H33" s="1090" t="s">
        <v>199</v>
      </c>
      <c r="I33" s="1091"/>
      <c r="J33" s="1091"/>
      <c r="K33" s="1091"/>
      <c r="L33" s="1091"/>
      <c r="M33" s="1092"/>
      <c r="N33" s="555"/>
      <c r="O33" s="555"/>
      <c r="P33" s="555"/>
      <c r="Q33" s="1058"/>
      <c r="R33" s="1058"/>
      <c r="S33" s="1058"/>
      <c r="T33" s="1093" t="str">
        <f>IF($A32&lt;&gt;"","---","")</f>
        <v/>
      </c>
      <c r="U33" s="1051"/>
      <c r="V33" s="1051"/>
      <c r="W33" s="1058"/>
      <c r="X33" s="1058"/>
      <c r="Y33" s="1058"/>
      <c r="Z33" s="1093" t="str">
        <f>IF($A32&lt;&gt;"","---","")</f>
        <v/>
      </c>
      <c r="AA33" s="1051"/>
      <c r="AB33" s="1051"/>
      <c r="AC33" s="1058"/>
      <c r="AD33" s="1058"/>
      <c r="AE33" s="1058"/>
      <c r="AF33" s="1058"/>
      <c r="AG33" s="1058"/>
      <c r="AH33" s="1058"/>
      <c r="AI33" s="1051" t="str">
        <f>BA33</f>
        <v/>
      </c>
      <c r="AJ33" s="1051"/>
      <c r="AK33" s="1051"/>
      <c r="AL33" s="1058"/>
      <c r="AM33" s="1058"/>
      <c r="AN33" s="1058"/>
      <c r="AO33" s="1051" t="str">
        <f>IFERROR(SQRT(AL33/AL32)*AO32,"")</f>
        <v/>
      </c>
      <c r="AP33" s="1051"/>
      <c r="AQ33" s="1051"/>
      <c r="AR33" s="1059"/>
      <c r="AS33" s="1060"/>
      <c r="AT33" s="1060"/>
      <c r="AU33" s="404" t="s">
        <v>218</v>
      </c>
      <c r="AV33" s="405"/>
      <c r="AW33" s="44"/>
      <c r="AX33" s="1052"/>
      <c r="AY33" s="1053"/>
      <c r="AZ33" s="1054"/>
      <c r="BA33" s="1055" t="str">
        <f>IF(1.08*N33*(W33-Q33)/1000&lt;&gt;0,1.08*N33*(W33-Q33)/1000,"")</f>
        <v/>
      </c>
      <c r="BB33" s="1055"/>
      <c r="BC33" s="1055"/>
      <c r="BD33" s="1056"/>
      <c r="BE33" s="1056"/>
      <c r="BF33" s="1056"/>
      <c r="BG33" s="1055" t="str">
        <f>IFERROR(IF(AO33*500*(AC33-AF33)/1000&lt;&gt;0,AO33*500*(AC33-AF33)/1000,""),"")</f>
        <v/>
      </c>
      <c r="BH33" s="1055"/>
      <c r="BI33" s="1055"/>
      <c r="BJ33" s="1055" t="str">
        <f>IFERROR((BA33*1000)/(500*(AC33-AF33)),"")</f>
        <v/>
      </c>
      <c r="BK33" s="1055"/>
      <c r="BL33" s="1055"/>
      <c r="BM33" s="575" t="str">
        <f>IFERROR(SQRT(AL33/AL32)*AO32,"")</f>
        <v/>
      </c>
      <c r="BN33" s="575"/>
      <c r="BO33" s="1057"/>
      <c r="BP33" s="467" t="e">
        <f>BA33/BG33</f>
        <v>#VALUE!</v>
      </c>
      <c r="BQ33" s="467"/>
      <c r="BR33" s="1043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</row>
    <row r="34" spans="1:84" ht="12" customHeight="1" thickBot="1" x14ac:dyDescent="0.3">
      <c r="A34" s="71"/>
      <c r="B34" s="145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1044" t="s">
        <v>459</v>
      </c>
      <c r="AD34" s="1045"/>
      <c r="AE34" s="1045"/>
      <c r="AF34" s="1045"/>
      <c r="AG34" s="1045"/>
      <c r="AH34" s="1045"/>
      <c r="AI34" s="1045"/>
      <c r="AJ34" s="1045"/>
      <c r="AK34" s="1045"/>
      <c r="AL34" s="1045"/>
      <c r="AM34" s="1045"/>
      <c r="AN34" s="1046"/>
      <c r="AO34" s="1047">
        <f>SUM(AO12,AO14,AO16,AO18,AO20,AO22,AO24,AO26,AO28,AO30,AO32)</f>
        <v>0</v>
      </c>
      <c r="AP34" s="1047"/>
      <c r="AQ34" s="1047"/>
      <c r="AR34" s="215">
        <f>SUM(AO12,AO14,AO16,AO18,AO20,AO22,AO24,AO26,AO28,AO30,AO32)</f>
        <v>0</v>
      </c>
      <c r="AS34" s="70"/>
      <c r="AT34" s="70"/>
      <c r="AU34" s="70"/>
      <c r="AV34" s="216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</row>
    <row r="35" spans="1:84" ht="12" customHeight="1" thickBot="1" x14ac:dyDescent="0.3">
      <c r="A35" s="71"/>
      <c r="B35" s="117" t="s">
        <v>262</v>
      </c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1048" t="s">
        <v>460</v>
      </c>
      <c r="AD35" s="1049"/>
      <c r="AE35" s="1049"/>
      <c r="AF35" s="1049"/>
      <c r="AG35" s="1049"/>
      <c r="AH35" s="1049"/>
      <c r="AI35" s="1049"/>
      <c r="AJ35" s="1049"/>
      <c r="AK35" s="1049"/>
      <c r="AL35" s="1049"/>
      <c r="AM35" s="1049"/>
      <c r="AN35" s="1050"/>
      <c r="AO35" s="1051">
        <f>SUM(AO13,AO15,AO17,AO19,AO21,AO23,AO25,AO27,AO29,AO31,AO33)</f>
        <v>0</v>
      </c>
      <c r="AP35" s="1051"/>
      <c r="AQ35" s="1051"/>
      <c r="AR35" s="217">
        <f>SUM(AO13,AO15,AO17,AO19,AO21,AO23,AO25,AO27,AO29,AO31,AO33)</f>
        <v>0</v>
      </c>
      <c r="AS35" s="218"/>
      <c r="AT35" s="218"/>
      <c r="AU35" s="218"/>
      <c r="AV35" s="219"/>
      <c r="AW35" s="44"/>
      <c r="AX35" s="471" t="s">
        <v>160</v>
      </c>
      <c r="AY35" s="472"/>
      <c r="AZ35" s="472"/>
      <c r="BA35" s="472"/>
      <c r="BB35" s="472"/>
      <c r="BC35" s="472"/>
      <c r="BD35" s="472"/>
      <c r="BE35" s="472"/>
      <c r="BF35" s="472"/>
      <c r="BG35" s="472"/>
      <c r="BH35" s="472"/>
      <c r="BI35" s="472"/>
      <c r="BJ35" s="472"/>
      <c r="BK35" s="472"/>
      <c r="BL35" s="473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</row>
    <row r="36" spans="1:84" ht="12" customHeight="1" thickTop="1" x14ac:dyDescent="0.25">
      <c r="A36" s="84"/>
      <c r="B36" s="281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  <c r="AF36" s="281"/>
      <c r="AG36" s="281"/>
      <c r="AH36" s="281"/>
      <c r="AI36" s="281"/>
      <c r="AJ36" s="281"/>
      <c r="AK36" s="281"/>
      <c r="AL36" s="281"/>
      <c r="AM36" s="281"/>
      <c r="AN36" s="281"/>
      <c r="AO36" s="281"/>
      <c r="AP36" s="281"/>
      <c r="AQ36" s="281"/>
      <c r="AR36" s="281"/>
      <c r="AS36" s="281"/>
      <c r="AT36" s="281"/>
      <c r="AU36" s="281"/>
      <c r="AV36" s="281"/>
      <c r="AW36" s="44"/>
      <c r="AX36" s="324"/>
      <c r="AY36" s="547"/>
      <c r="AZ36" s="547"/>
      <c r="BA36" s="547"/>
      <c r="BB36" s="325"/>
      <c r="BC36" s="548"/>
      <c r="BD36" s="547"/>
      <c r="BE36" s="547"/>
      <c r="BF36" s="547"/>
      <c r="BG36" s="325"/>
      <c r="BH36" s="548"/>
      <c r="BI36" s="547"/>
      <c r="BJ36" s="547"/>
      <c r="BK36" s="547"/>
      <c r="BL36" s="549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</row>
    <row r="37" spans="1:84" ht="12" customHeight="1" x14ac:dyDescent="0.25">
      <c r="A37" s="84"/>
      <c r="B37" s="281"/>
      <c r="C37" s="281"/>
      <c r="D37" s="281"/>
      <c r="E37" s="281"/>
      <c r="F37" s="281"/>
      <c r="G37" s="281"/>
      <c r="H37" s="281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  <c r="AF37" s="281"/>
      <c r="AG37" s="281"/>
      <c r="AH37" s="281"/>
      <c r="AI37" s="281"/>
      <c r="AJ37" s="281"/>
      <c r="AK37" s="281"/>
      <c r="AL37" s="281"/>
      <c r="AM37" s="281"/>
      <c r="AN37" s="281"/>
      <c r="AO37" s="281"/>
      <c r="AP37" s="281"/>
      <c r="AQ37" s="281"/>
      <c r="AR37" s="281"/>
      <c r="AS37" s="281"/>
      <c r="AT37" s="281"/>
      <c r="AU37" s="281"/>
      <c r="AV37" s="281"/>
      <c r="AW37" s="44"/>
      <c r="AX37" s="521"/>
      <c r="AY37" s="522"/>
      <c r="AZ37" s="522"/>
      <c r="BA37" s="522"/>
      <c r="BB37" s="523"/>
      <c r="BC37" s="524"/>
      <c r="BD37" s="522"/>
      <c r="BE37" s="522"/>
      <c r="BF37" s="522"/>
      <c r="BG37" s="523"/>
      <c r="BH37" s="524"/>
      <c r="BI37" s="522"/>
      <c r="BJ37" s="522"/>
      <c r="BK37" s="522"/>
      <c r="BL37" s="525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</row>
    <row r="38" spans="1:84" ht="12" customHeight="1" x14ac:dyDescent="0.25">
      <c r="A38" s="84"/>
      <c r="B38" s="281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  <c r="AF38" s="281"/>
      <c r="AG38" s="281"/>
      <c r="AH38" s="281"/>
      <c r="AI38" s="281"/>
      <c r="AJ38" s="281"/>
      <c r="AK38" s="281"/>
      <c r="AL38" s="281"/>
      <c r="AM38" s="281"/>
      <c r="AN38" s="281"/>
      <c r="AO38" s="281"/>
      <c r="AP38" s="281"/>
      <c r="AQ38" s="281"/>
      <c r="AR38" s="281"/>
      <c r="AS38" s="281"/>
      <c r="AT38" s="281"/>
      <c r="AU38" s="281"/>
      <c r="AV38" s="281"/>
      <c r="AW38" s="44"/>
      <c r="AX38" s="521"/>
      <c r="AY38" s="522"/>
      <c r="AZ38" s="522"/>
      <c r="BA38" s="522"/>
      <c r="BB38" s="523"/>
      <c r="BC38" s="524"/>
      <c r="BD38" s="522"/>
      <c r="BE38" s="522"/>
      <c r="BF38" s="522"/>
      <c r="BG38" s="523"/>
      <c r="BH38" s="524"/>
      <c r="BI38" s="522"/>
      <c r="BJ38" s="522"/>
      <c r="BK38" s="522"/>
      <c r="BL38" s="525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</row>
    <row r="39" spans="1:84" ht="12" customHeight="1" x14ac:dyDescent="0.25">
      <c r="A39" s="84"/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  <c r="AF39" s="281"/>
      <c r="AG39" s="281"/>
      <c r="AH39" s="281"/>
      <c r="AI39" s="281"/>
      <c r="AJ39" s="281"/>
      <c r="AK39" s="281"/>
      <c r="AL39" s="281"/>
      <c r="AM39" s="281"/>
      <c r="AN39" s="281"/>
      <c r="AO39" s="281"/>
      <c r="AP39" s="281"/>
      <c r="AQ39" s="281"/>
      <c r="AR39" s="281"/>
      <c r="AS39" s="281"/>
      <c r="AT39" s="281"/>
      <c r="AU39" s="281"/>
      <c r="AV39" s="281"/>
      <c r="AW39" s="44"/>
      <c r="AX39" s="521"/>
      <c r="AY39" s="522"/>
      <c r="AZ39" s="522"/>
      <c r="BA39" s="522"/>
      <c r="BB39" s="523"/>
      <c r="BC39" s="524"/>
      <c r="BD39" s="522"/>
      <c r="BE39" s="522"/>
      <c r="BF39" s="522"/>
      <c r="BG39" s="523"/>
      <c r="BH39" s="524"/>
      <c r="BI39" s="522"/>
      <c r="BJ39" s="522"/>
      <c r="BK39" s="522"/>
      <c r="BL39" s="525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</row>
    <row r="40" spans="1:84" ht="12" customHeight="1" x14ac:dyDescent="0.25">
      <c r="A40" s="84"/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  <c r="AF40" s="281"/>
      <c r="AG40" s="281"/>
      <c r="AH40" s="281"/>
      <c r="AI40" s="281"/>
      <c r="AJ40" s="281"/>
      <c r="AK40" s="281"/>
      <c r="AL40" s="281"/>
      <c r="AM40" s="281"/>
      <c r="AN40" s="281"/>
      <c r="AO40" s="281"/>
      <c r="AP40" s="281"/>
      <c r="AQ40" s="281"/>
      <c r="AR40" s="281"/>
      <c r="AS40" s="281"/>
      <c r="AT40" s="281"/>
      <c r="AU40" s="281"/>
      <c r="AV40" s="281"/>
      <c r="AW40" s="44"/>
      <c r="AX40" s="521"/>
      <c r="AY40" s="522"/>
      <c r="AZ40" s="522"/>
      <c r="BA40" s="522"/>
      <c r="BB40" s="523"/>
      <c r="BC40" s="524"/>
      <c r="BD40" s="522"/>
      <c r="BE40" s="522"/>
      <c r="BF40" s="522"/>
      <c r="BG40" s="523"/>
      <c r="BH40" s="524"/>
      <c r="BI40" s="522"/>
      <c r="BJ40" s="522"/>
      <c r="BK40" s="522"/>
      <c r="BL40" s="525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</row>
    <row r="41" spans="1:84" ht="12" customHeight="1" thickBot="1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4"/>
      <c r="AX41" s="528"/>
      <c r="AY41" s="529"/>
      <c r="AZ41" s="529"/>
      <c r="BA41" s="529"/>
      <c r="BB41" s="530"/>
      <c r="BC41" s="531"/>
      <c r="BD41" s="529"/>
      <c r="BE41" s="529"/>
      <c r="BF41" s="529"/>
      <c r="BG41" s="530"/>
      <c r="BH41" s="531"/>
      <c r="BI41" s="529"/>
      <c r="BJ41" s="529"/>
      <c r="BK41" s="529"/>
      <c r="BL41" s="532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</row>
    <row r="42" spans="1:84" ht="12" customHeight="1" x14ac:dyDescent="0.25">
      <c r="A42" s="690" t="s">
        <v>276</v>
      </c>
      <c r="B42" s="690"/>
      <c r="C42" s="690"/>
      <c r="D42" s="690"/>
      <c r="E42" s="285"/>
      <c r="F42" s="285"/>
      <c r="G42" s="285"/>
      <c r="H42" s="285"/>
      <c r="I42" s="285"/>
      <c r="J42" s="285"/>
      <c r="K42" s="285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690" t="s">
        <v>277</v>
      </c>
      <c r="AE42" s="690"/>
      <c r="AF42" s="690"/>
      <c r="AG42" s="690"/>
      <c r="AH42" s="690"/>
      <c r="AI42" s="286"/>
      <c r="AJ42" s="286"/>
      <c r="AK42" s="286"/>
      <c r="AL42" s="286"/>
      <c r="AM42" s="286"/>
      <c r="AN42" s="286"/>
      <c r="AO42" s="286"/>
      <c r="AP42" s="286"/>
      <c r="AQ42" s="286"/>
      <c r="AR42" s="286"/>
      <c r="AS42" s="286"/>
      <c r="AT42" s="286"/>
      <c r="AU42" s="286"/>
      <c r="AV42" s="286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</row>
    <row r="43" spans="1:84" ht="12.75" hidden="1" customHeight="1" x14ac:dyDescent="0.25"/>
    <row r="44" spans="1:84" ht="12.75" hidden="1" customHeight="1" x14ac:dyDescent="0.25"/>
    <row r="45" spans="1:84" ht="12.75" hidden="1" customHeight="1" x14ac:dyDescent="0.25"/>
    <row r="46" spans="1:84" ht="12.75" hidden="1" customHeight="1" x14ac:dyDescent="0.25"/>
    <row r="47" spans="1:84" ht="12.75" hidden="1" customHeight="1" x14ac:dyDescent="0.25"/>
    <row r="48" spans="1:84" ht="12.75" hidden="1" customHeight="1" x14ac:dyDescent="0.25"/>
    <row r="49" ht="12.75" hidden="1" customHeight="1" x14ac:dyDescent="0.25"/>
    <row r="50" ht="12.75" hidden="1" customHeight="1" x14ac:dyDescent="0.25"/>
    <row r="51" ht="12.75" hidden="1" customHeight="1" x14ac:dyDescent="0.25"/>
    <row r="52" ht="12.75" hidden="1" customHeight="1" x14ac:dyDescent="0.25"/>
    <row r="53" ht="12.75" hidden="1" customHeight="1" x14ac:dyDescent="0.25"/>
    <row r="54" ht="12.75" hidden="1" customHeight="1" x14ac:dyDescent="0.25"/>
    <row r="55" ht="12.75" hidden="1" customHeight="1" x14ac:dyDescent="0.25"/>
  </sheetData>
  <mergeCells count="501">
    <mergeCell ref="AW1:CF1"/>
    <mergeCell ref="Z5:AV5"/>
    <mergeCell ref="A7:E7"/>
    <mergeCell ref="F7:P7"/>
    <mergeCell ref="AG7:AK7"/>
    <mergeCell ref="AL7:AV7"/>
    <mergeCell ref="BM9:BO11"/>
    <mergeCell ref="BP9:BR11"/>
    <mergeCell ref="A10:G11"/>
    <mergeCell ref="H10:M11"/>
    <mergeCell ref="N10:P11"/>
    <mergeCell ref="Q10:V10"/>
    <mergeCell ref="W10:AB10"/>
    <mergeCell ref="AC10:AE11"/>
    <mergeCell ref="AF10:AH11"/>
    <mergeCell ref="AI10:AK11"/>
    <mergeCell ref="A9:AV9"/>
    <mergeCell ref="AX9:AZ11"/>
    <mergeCell ref="BA9:BC11"/>
    <mergeCell ref="BD9:BF11"/>
    <mergeCell ref="BG9:BI11"/>
    <mergeCell ref="BJ9:BL11"/>
    <mergeCell ref="AL10:AN11"/>
    <mergeCell ref="AO10:AQ11"/>
    <mergeCell ref="AR10:AV11"/>
    <mergeCell ref="Q11:S11"/>
    <mergeCell ref="T11:V11"/>
    <mergeCell ref="W11:Y11"/>
    <mergeCell ref="Z11:AB11"/>
    <mergeCell ref="A12:G13"/>
    <mergeCell ref="H12:M12"/>
    <mergeCell ref="N12:P12"/>
    <mergeCell ref="Q12:S12"/>
    <mergeCell ref="T12:V12"/>
    <mergeCell ref="W12:Y12"/>
    <mergeCell ref="Z12:AB12"/>
    <mergeCell ref="BP12:BR12"/>
    <mergeCell ref="H13:M13"/>
    <mergeCell ref="N13:P13"/>
    <mergeCell ref="Q13:S13"/>
    <mergeCell ref="T13:V13"/>
    <mergeCell ref="W13:Y13"/>
    <mergeCell ref="Z13:AB13"/>
    <mergeCell ref="AC13:AE13"/>
    <mergeCell ref="AF13:AH13"/>
    <mergeCell ref="AI13:AK13"/>
    <mergeCell ref="AX12:AZ12"/>
    <mergeCell ref="BA12:BC12"/>
    <mergeCell ref="BD12:BF12"/>
    <mergeCell ref="BG12:BI12"/>
    <mergeCell ref="BJ12:BL12"/>
    <mergeCell ref="BM12:BO12"/>
    <mergeCell ref="AC12:AE12"/>
    <mergeCell ref="AF12:AH12"/>
    <mergeCell ref="AI12:AK12"/>
    <mergeCell ref="AL12:AN12"/>
    <mergeCell ref="AO12:AQ12"/>
    <mergeCell ref="AR12:AV12"/>
    <mergeCell ref="BD13:BF13"/>
    <mergeCell ref="BG13:BI13"/>
    <mergeCell ref="BJ13:BL13"/>
    <mergeCell ref="BM13:BO13"/>
    <mergeCell ref="BP13:BR13"/>
    <mergeCell ref="A14:G15"/>
    <mergeCell ref="H14:M14"/>
    <mergeCell ref="N14:P14"/>
    <mergeCell ref="Q14:S14"/>
    <mergeCell ref="T14:V14"/>
    <mergeCell ref="AL13:AN13"/>
    <mergeCell ref="AO13:AQ13"/>
    <mergeCell ref="AR13:AT13"/>
    <mergeCell ref="AU13:AV13"/>
    <mergeCell ref="AX13:AZ13"/>
    <mergeCell ref="BA13:BC13"/>
    <mergeCell ref="BJ14:BL14"/>
    <mergeCell ref="BM14:BO14"/>
    <mergeCell ref="BP14:BR14"/>
    <mergeCell ref="H15:M15"/>
    <mergeCell ref="N15:P15"/>
    <mergeCell ref="Q15:S15"/>
    <mergeCell ref="T15:V15"/>
    <mergeCell ref="W15:Y15"/>
    <mergeCell ref="Z15:AB15"/>
    <mergeCell ref="AC15:AE15"/>
    <mergeCell ref="AO14:AQ14"/>
    <mergeCell ref="AR14:AV14"/>
    <mergeCell ref="AX14:AZ14"/>
    <mergeCell ref="BA14:BC14"/>
    <mergeCell ref="BD14:BF14"/>
    <mergeCell ref="BG14:BI14"/>
    <mergeCell ref="W14:Y14"/>
    <mergeCell ref="Z14:AB14"/>
    <mergeCell ref="AC14:AE14"/>
    <mergeCell ref="AF14:AH14"/>
    <mergeCell ref="AI14:AK14"/>
    <mergeCell ref="AL14:AN14"/>
    <mergeCell ref="BP15:BR15"/>
    <mergeCell ref="A16:G17"/>
    <mergeCell ref="H16:M16"/>
    <mergeCell ref="N16:P16"/>
    <mergeCell ref="Q16:S16"/>
    <mergeCell ref="T16:V16"/>
    <mergeCell ref="W16:Y16"/>
    <mergeCell ref="Z16:AB16"/>
    <mergeCell ref="AC16:AE16"/>
    <mergeCell ref="AF16:AH16"/>
    <mergeCell ref="AX15:AZ15"/>
    <mergeCell ref="BA15:BC15"/>
    <mergeCell ref="BD15:BF15"/>
    <mergeCell ref="BG15:BI15"/>
    <mergeCell ref="BJ15:BL15"/>
    <mergeCell ref="BM15:BO15"/>
    <mergeCell ref="AF15:AH15"/>
    <mergeCell ref="AI15:AK15"/>
    <mergeCell ref="AL15:AN15"/>
    <mergeCell ref="AO15:AQ15"/>
    <mergeCell ref="AR15:AT15"/>
    <mergeCell ref="AU15:AV15"/>
    <mergeCell ref="BD16:BF16"/>
    <mergeCell ref="BG16:BI16"/>
    <mergeCell ref="BJ16:BL16"/>
    <mergeCell ref="BM16:BO16"/>
    <mergeCell ref="BP16:BR16"/>
    <mergeCell ref="H17:M17"/>
    <mergeCell ref="N17:P17"/>
    <mergeCell ref="Q17:S17"/>
    <mergeCell ref="T17:V17"/>
    <mergeCell ref="W17:Y17"/>
    <mergeCell ref="AI16:AK16"/>
    <mergeCell ref="AL16:AN16"/>
    <mergeCell ref="AO16:AQ16"/>
    <mergeCell ref="AR16:AV16"/>
    <mergeCell ref="AX16:AZ16"/>
    <mergeCell ref="BA16:BC16"/>
    <mergeCell ref="BJ17:BL17"/>
    <mergeCell ref="BM17:BO17"/>
    <mergeCell ref="BP17:BR17"/>
    <mergeCell ref="AX17:AZ17"/>
    <mergeCell ref="BA17:BC17"/>
    <mergeCell ref="BD17:BF17"/>
    <mergeCell ref="BG17:BI17"/>
    <mergeCell ref="A18:G19"/>
    <mergeCell ref="H18:M18"/>
    <mergeCell ref="N18:P18"/>
    <mergeCell ref="Q18:S18"/>
    <mergeCell ref="T18:V18"/>
    <mergeCell ref="W18:Y18"/>
    <mergeCell ref="Z18:AB18"/>
    <mergeCell ref="AR17:AT17"/>
    <mergeCell ref="AU17:AV17"/>
    <mergeCell ref="Z17:AB17"/>
    <mergeCell ref="AC17:AE17"/>
    <mergeCell ref="AF17:AH17"/>
    <mergeCell ref="AI17:AK17"/>
    <mergeCell ref="AL17:AN17"/>
    <mergeCell ref="AO17:AQ17"/>
    <mergeCell ref="BP18:BR18"/>
    <mergeCell ref="H19:M19"/>
    <mergeCell ref="N19:P19"/>
    <mergeCell ref="Q19:S19"/>
    <mergeCell ref="T19:V19"/>
    <mergeCell ref="W19:Y19"/>
    <mergeCell ref="Z19:AB19"/>
    <mergeCell ref="AC19:AE19"/>
    <mergeCell ref="AF19:AH19"/>
    <mergeCell ref="AI19:AK19"/>
    <mergeCell ref="AX18:AZ18"/>
    <mergeCell ref="BA18:BC18"/>
    <mergeCell ref="BD18:BF18"/>
    <mergeCell ref="BG18:BI18"/>
    <mergeCell ref="BJ18:BL18"/>
    <mergeCell ref="BM18:BO18"/>
    <mergeCell ref="AC18:AE18"/>
    <mergeCell ref="AF18:AH18"/>
    <mergeCell ref="AI18:AK18"/>
    <mergeCell ref="AL18:AN18"/>
    <mergeCell ref="AO18:AQ18"/>
    <mergeCell ref="AR18:AV18"/>
    <mergeCell ref="BD19:BF19"/>
    <mergeCell ref="BG19:BI19"/>
    <mergeCell ref="BJ19:BL19"/>
    <mergeCell ref="BM19:BO19"/>
    <mergeCell ref="BP19:BR19"/>
    <mergeCell ref="A20:G21"/>
    <mergeCell ref="H20:M20"/>
    <mergeCell ref="N20:P20"/>
    <mergeCell ref="Q20:S20"/>
    <mergeCell ref="T20:V20"/>
    <mergeCell ref="AL19:AN19"/>
    <mergeCell ref="AO19:AQ19"/>
    <mergeCell ref="AR19:AT19"/>
    <mergeCell ref="AU19:AV19"/>
    <mergeCell ref="AX19:AZ19"/>
    <mergeCell ref="BA19:BC19"/>
    <mergeCell ref="BJ20:BL20"/>
    <mergeCell ref="BM20:BO20"/>
    <mergeCell ref="BP20:BR20"/>
    <mergeCell ref="H21:M21"/>
    <mergeCell ref="N21:P21"/>
    <mergeCell ref="Q21:S21"/>
    <mergeCell ref="T21:V21"/>
    <mergeCell ref="W21:Y21"/>
    <mergeCell ref="Z21:AB21"/>
    <mergeCell ref="AC21:AE21"/>
    <mergeCell ref="AO20:AQ20"/>
    <mergeCell ref="AR20:AV20"/>
    <mergeCell ref="AX20:AZ20"/>
    <mergeCell ref="BA20:BC20"/>
    <mergeCell ref="BD20:BF20"/>
    <mergeCell ref="BG20:BI20"/>
    <mergeCell ref="W20:Y20"/>
    <mergeCell ref="Z20:AB20"/>
    <mergeCell ref="AC20:AE20"/>
    <mergeCell ref="AF20:AH20"/>
    <mergeCell ref="AI20:AK20"/>
    <mergeCell ref="AL20:AN20"/>
    <mergeCell ref="BP21:BR21"/>
    <mergeCell ref="A22:G23"/>
    <mergeCell ref="H22:M22"/>
    <mergeCell ref="N22:P22"/>
    <mergeCell ref="Q22:S22"/>
    <mergeCell ref="T22:V22"/>
    <mergeCell ref="W22:Y22"/>
    <mergeCell ref="Z22:AB22"/>
    <mergeCell ref="AC22:AE22"/>
    <mergeCell ref="AF22:AH22"/>
    <mergeCell ref="AX21:AZ21"/>
    <mergeCell ref="BA21:BC21"/>
    <mergeCell ref="BD21:BF21"/>
    <mergeCell ref="BG21:BI21"/>
    <mergeCell ref="BJ21:BL21"/>
    <mergeCell ref="BM21:BO21"/>
    <mergeCell ref="AF21:AH21"/>
    <mergeCell ref="AI21:AK21"/>
    <mergeCell ref="AL21:AN21"/>
    <mergeCell ref="AO21:AQ21"/>
    <mergeCell ref="AR21:AT21"/>
    <mergeCell ref="AU21:AV21"/>
    <mergeCell ref="BD22:BF22"/>
    <mergeCell ref="BG22:BI22"/>
    <mergeCell ref="BJ22:BL22"/>
    <mergeCell ref="BM22:BO22"/>
    <mergeCell ref="BP22:BR22"/>
    <mergeCell ref="H23:M23"/>
    <mergeCell ref="N23:P23"/>
    <mergeCell ref="Q23:S23"/>
    <mergeCell ref="T23:V23"/>
    <mergeCell ref="W23:Y23"/>
    <mergeCell ref="AI22:AK22"/>
    <mergeCell ref="AL22:AN22"/>
    <mergeCell ref="AO22:AQ22"/>
    <mergeCell ref="AR22:AV22"/>
    <mergeCell ref="AX22:AZ22"/>
    <mergeCell ref="BA22:BC22"/>
    <mergeCell ref="BJ23:BL23"/>
    <mergeCell ref="BM23:BO23"/>
    <mergeCell ref="BP23:BR23"/>
    <mergeCell ref="AX23:AZ23"/>
    <mergeCell ref="BA23:BC23"/>
    <mergeCell ref="BD23:BF23"/>
    <mergeCell ref="BG23:BI23"/>
    <mergeCell ref="A24:G25"/>
    <mergeCell ref="H24:M24"/>
    <mergeCell ref="N24:P24"/>
    <mergeCell ref="Q24:S24"/>
    <mergeCell ref="T24:V24"/>
    <mergeCell ref="W24:Y24"/>
    <mergeCell ref="Z24:AB24"/>
    <mergeCell ref="AR23:AT23"/>
    <mergeCell ref="AU23:AV23"/>
    <mergeCell ref="Z23:AB23"/>
    <mergeCell ref="AC23:AE23"/>
    <mergeCell ref="AF23:AH23"/>
    <mergeCell ref="AI23:AK23"/>
    <mergeCell ref="AL23:AN23"/>
    <mergeCell ref="AO23:AQ23"/>
    <mergeCell ref="BP24:BR24"/>
    <mergeCell ref="H25:M25"/>
    <mergeCell ref="N25:P25"/>
    <mergeCell ref="Q25:S25"/>
    <mergeCell ref="T25:V25"/>
    <mergeCell ref="W25:Y25"/>
    <mergeCell ref="Z25:AB25"/>
    <mergeCell ref="AC25:AE25"/>
    <mergeCell ref="AF25:AH25"/>
    <mergeCell ref="AI25:AK25"/>
    <mergeCell ref="AX24:AZ24"/>
    <mergeCell ref="BA24:BC24"/>
    <mergeCell ref="BD24:BF24"/>
    <mergeCell ref="BG24:BI24"/>
    <mergeCell ref="BJ24:BL24"/>
    <mergeCell ref="BM24:BO24"/>
    <mergeCell ref="AC24:AE24"/>
    <mergeCell ref="AF24:AH24"/>
    <mergeCell ref="AI24:AK24"/>
    <mergeCell ref="AL24:AN24"/>
    <mergeCell ref="AO24:AQ24"/>
    <mergeCell ref="AR24:AV24"/>
    <mergeCell ref="BD25:BF25"/>
    <mergeCell ref="BG25:BI25"/>
    <mergeCell ref="BJ25:BL25"/>
    <mergeCell ref="BM25:BO25"/>
    <mergeCell ref="BP25:BR25"/>
    <mergeCell ref="A26:G27"/>
    <mergeCell ref="H26:M26"/>
    <mergeCell ref="N26:P26"/>
    <mergeCell ref="Q26:S26"/>
    <mergeCell ref="T26:V26"/>
    <mergeCell ref="AL25:AN25"/>
    <mergeCell ref="AO25:AQ25"/>
    <mergeCell ref="AR25:AT25"/>
    <mergeCell ref="AU25:AV25"/>
    <mergeCell ref="AX25:AZ25"/>
    <mergeCell ref="BA25:BC25"/>
    <mergeCell ref="BJ26:BL26"/>
    <mergeCell ref="BM26:BO26"/>
    <mergeCell ref="BP26:BR26"/>
    <mergeCell ref="H27:M27"/>
    <mergeCell ref="N27:P27"/>
    <mergeCell ref="Q27:S27"/>
    <mergeCell ref="T27:V27"/>
    <mergeCell ref="W27:Y27"/>
    <mergeCell ref="Z27:AB27"/>
    <mergeCell ref="AC27:AE27"/>
    <mergeCell ref="AO26:AQ26"/>
    <mergeCell ref="AR26:AV26"/>
    <mergeCell ref="AX26:AZ26"/>
    <mergeCell ref="BA26:BC26"/>
    <mergeCell ref="BD26:BF26"/>
    <mergeCell ref="BG26:BI26"/>
    <mergeCell ref="W26:Y26"/>
    <mergeCell ref="Z26:AB26"/>
    <mergeCell ref="AC26:AE26"/>
    <mergeCell ref="AF26:AH26"/>
    <mergeCell ref="AI26:AK26"/>
    <mergeCell ref="AL26:AN26"/>
    <mergeCell ref="BP27:BR27"/>
    <mergeCell ref="A28:G29"/>
    <mergeCell ref="H28:M28"/>
    <mergeCell ref="N28:P28"/>
    <mergeCell ref="Q28:S28"/>
    <mergeCell ref="T28:V28"/>
    <mergeCell ref="W28:Y28"/>
    <mergeCell ref="Z28:AB28"/>
    <mergeCell ref="AC28:AE28"/>
    <mergeCell ref="AF28:AH28"/>
    <mergeCell ref="AX27:AZ27"/>
    <mergeCell ref="BA27:BC27"/>
    <mergeCell ref="BD27:BF27"/>
    <mergeCell ref="BG27:BI27"/>
    <mergeCell ref="BJ27:BL27"/>
    <mergeCell ref="BM27:BO27"/>
    <mergeCell ref="AF27:AH27"/>
    <mergeCell ref="AI27:AK27"/>
    <mergeCell ref="AL27:AN27"/>
    <mergeCell ref="AO27:AQ27"/>
    <mergeCell ref="AR27:AT27"/>
    <mergeCell ref="AU27:AV27"/>
    <mergeCell ref="BD28:BF28"/>
    <mergeCell ref="BG28:BI28"/>
    <mergeCell ref="BJ28:BL28"/>
    <mergeCell ref="BM28:BO28"/>
    <mergeCell ref="BP28:BR28"/>
    <mergeCell ref="H29:M29"/>
    <mergeCell ref="N29:P29"/>
    <mergeCell ref="Q29:S29"/>
    <mergeCell ref="T29:V29"/>
    <mergeCell ref="W29:Y29"/>
    <mergeCell ref="AI28:AK28"/>
    <mergeCell ref="AL28:AN28"/>
    <mergeCell ref="AO28:AQ28"/>
    <mergeCell ref="AR28:AV28"/>
    <mergeCell ref="AX28:AZ28"/>
    <mergeCell ref="BA28:BC28"/>
    <mergeCell ref="BJ29:BL29"/>
    <mergeCell ref="BM29:BO29"/>
    <mergeCell ref="BP29:BR29"/>
    <mergeCell ref="AX29:AZ29"/>
    <mergeCell ref="BA29:BC29"/>
    <mergeCell ref="BD29:BF29"/>
    <mergeCell ref="BG29:BI29"/>
    <mergeCell ref="A30:G31"/>
    <mergeCell ref="H30:M30"/>
    <mergeCell ref="N30:P30"/>
    <mergeCell ref="Q30:S30"/>
    <mergeCell ref="T30:V30"/>
    <mergeCell ref="W30:Y30"/>
    <mergeCell ref="Z30:AB30"/>
    <mergeCell ref="AR29:AT29"/>
    <mergeCell ref="AU29:AV29"/>
    <mergeCell ref="Z29:AB29"/>
    <mergeCell ref="AC29:AE29"/>
    <mergeCell ref="AF29:AH29"/>
    <mergeCell ref="AI29:AK29"/>
    <mergeCell ref="AL29:AN29"/>
    <mergeCell ref="AO29:AQ29"/>
    <mergeCell ref="BP30:BR30"/>
    <mergeCell ref="H31:M31"/>
    <mergeCell ref="N31:P31"/>
    <mergeCell ref="Q31:S31"/>
    <mergeCell ref="T31:V31"/>
    <mergeCell ref="W31:Y31"/>
    <mergeCell ref="Z31:AB31"/>
    <mergeCell ref="AC31:AE31"/>
    <mergeCell ref="AF31:AH31"/>
    <mergeCell ref="AI31:AK31"/>
    <mergeCell ref="AX30:AZ30"/>
    <mergeCell ref="BA30:BC30"/>
    <mergeCell ref="BD30:BF30"/>
    <mergeCell ref="BG30:BI30"/>
    <mergeCell ref="BJ30:BL30"/>
    <mergeCell ref="BM30:BO30"/>
    <mergeCell ref="AC30:AE30"/>
    <mergeCell ref="AF30:AH30"/>
    <mergeCell ref="AI30:AK30"/>
    <mergeCell ref="AL30:AN30"/>
    <mergeCell ref="AO30:AQ30"/>
    <mergeCell ref="AR30:AV30"/>
    <mergeCell ref="BD31:BF31"/>
    <mergeCell ref="BG31:BI31"/>
    <mergeCell ref="BJ31:BL31"/>
    <mergeCell ref="BM31:BO31"/>
    <mergeCell ref="BP31:BR31"/>
    <mergeCell ref="A32:G33"/>
    <mergeCell ref="H32:M32"/>
    <mergeCell ref="N32:P32"/>
    <mergeCell ref="Q32:S32"/>
    <mergeCell ref="T32:V32"/>
    <mergeCell ref="AL31:AN31"/>
    <mergeCell ref="AO31:AQ31"/>
    <mergeCell ref="AR31:AT31"/>
    <mergeCell ref="AU31:AV31"/>
    <mergeCell ref="AX31:AZ31"/>
    <mergeCell ref="BA31:BC31"/>
    <mergeCell ref="BJ32:BL32"/>
    <mergeCell ref="BM32:BO32"/>
    <mergeCell ref="BP32:BR32"/>
    <mergeCell ref="H33:M33"/>
    <mergeCell ref="N33:P33"/>
    <mergeCell ref="Q33:S33"/>
    <mergeCell ref="T33:V33"/>
    <mergeCell ref="W33:Y33"/>
    <mergeCell ref="Z33:AB33"/>
    <mergeCell ref="AC33:AE33"/>
    <mergeCell ref="AO32:AQ32"/>
    <mergeCell ref="AR32:AV32"/>
    <mergeCell ref="AX32:AZ32"/>
    <mergeCell ref="BA32:BC32"/>
    <mergeCell ref="BD32:BF32"/>
    <mergeCell ref="BG32:BI32"/>
    <mergeCell ref="W32:Y32"/>
    <mergeCell ref="Z32:AB32"/>
    <mergeCell ref="AC32:AE32"/>
    <mergeCell ref="AF32:AH32"/>
    <mergeCell ref="AI32:AK32"/>
    <mergeCell ref="AL32:AN32"/>
    <mergeCell ref="BP33:BR33"/>
    <mergeCell ref="AC34:AN34"/>
    <mergeCell ref="AO34:AQ34"/>
    <mergeCell ref="AC35:AN35"/>
    <mergeCell ref="AO35:AQ35"/>
    <mergeCell ref="AX35:BL35"/>
    <mergeCell ref="AX33:AZ33"/>
    <mergeCell ref="BA33:BC33"/>
    <mergeCell ref="BD33:BF33"/>
    <mergeCell ref="BG33:BI33"/>
    <mergeCell ref="BJ33:BL33"/>
    <mergeCell ref="BM33:BO33"/>
    <mergeCell ref="AF33:AH33"/>
    <mergeCell ref="AI33:AK33"/>
    <mergeCell ref="AL33:AN33"/>
    <mergeCell ref="AO33:AQ33"/>
    <mergeCell ref="AR33:AT33"/>
    <mergeCell ref="AU33:AV33"/>
    <mergeCell ref="B38:AV38"/>
    <mergeCell ref="AX38:BB38"/>
    <mergeCell ref="BC38:BG38"/>
    <mergeCell ref="BH38:BL38"/>
    <mergeCell ref="B39:AV39"/>
    <mergeCell ref="AX39:BB39"/>
    <mergeCell ref="BC39:BG39"/>
    <mergeCell ref="BH39:BL39"/>
    <mergeCell ref="B36:AV36"/>
    <mergeCell ref="AX36:BB36"/>
    <mergeCell ref="BC36:BG36"/>
    <mergeCell ref="BH36:BL36"/>
    <mergeCell ref="B37:AV37"/>
    <mergeCell ref="AX37:BB37"/>
    <mergeCell ref="BC37:BG37"/>
    <mergeCell ref="BH37:BL37"/>
    <mergeCell ref="A42:D42"/>
    <mergeCell ref="E42:K42"/>
    <mergeCell ref="AD42:AH42"/>
    <mergeCell ref="AI42:AV42"/>
    <mergeCell ref="B40:AV40"/>
    <mergeCell ref="AX40:BB40"/>
    <mergeCell ref="BC40:BG40"/>
    <mergeCell ref="BH40:BL40"/>
    <mergeCell ref="AX41:BB41"/>
    <mergeCell ref="BC41:BG41"/>
    <mergeCell ref="BH41:BL41"/>
  </mergeCells>
  <conditionalFormatting sqref="F7:P7 E42:K42 AI42:AV42">
    <cfRule type="containsBlanks" dxfId="89" priority="86">
      <formula>LEN(TRIM(E7))=0</formula>
    </cfRule>
  </conditionalFormatting>
  <conditionalFormatting sqref="N15:S15 AX15:AZ15 N17:S17 AX17:AZ17 AX19:AZ19 AX21:AZ21 AX23:AZ23 AX25:AZ25 AX27:AZ27 AX29:AZ29 AX31:AZ31 N31:S31 N29:S29 N27:S27 N25:S25 N23:S23 N21:S21 N19:S19 N33:S33 AX33:AZ33 AX13 AC15:AH15 AC17:AH17 AC19:AH19 AC21:AH21 AC23:AH23 AC25:AH25 AC27:AH27 AC29:AH29 AC31:AH31 AC33:AH33 AL13:AT13 BA13:BC13 AL15:AT15 AL17:AT17 AL19:AT19 AL21:AT21 AL23:AT23 AL25:AT25 AL27:AT27 AL29:AT29 AL31:AT31 AL33:AT33 N13:AH13">
    <cfRule type="notContainsBlanks" dxfId="88" priority="85">
      <formula>LEN(TRIM(N13))&gt;0</formula>
    </cfRule>
  </conditionalFormatting>
  <conditionalFormatting sqref="N15:S15 N17:S17 N19:S19 N21:S21 N23:S23 N25:S25 N27:S27 N29:S29 N31:S31 N33:S33 AX13 AX15 AX17 AX19 AX21 AX23 AX25 AX27 AX29 AX31 AX33 AC15:AH15 AC17:AH17 AC19:AH19 AC21:AH21 AC23:AH23 AC25:AH25 AC27:AH27 AC29:AH29 AC31:AH31 AC33:AH33 AL13:AT13 BA13:BC13 AL15:AT15 AL17:AT17 AL19:AT19 AL21:AT21 AL23:AT23 AL25:AT25 AL27:AT27 AL29:AT29 AL31:AT31 AL33:AT33 N13:AH13">
    <cfRule type="expression" dxfId="87" priority="87">
      <formula>NOT(ISBLANK(OFFSET($A11,1,0)))</formula>
    </cfRule>
  </conditionalFormatting>
  <conditionalFormatting sqref="N14:S14 N16:S16 N18:S18 N20:S20 N22:S22 N24:S24 N26:S26 N28:S28 N30:S30 N32:S32 AX12:AZ12 AX14:AZ14 AX16:AZ16 AX18:AZ18 AX20:AZ20 AX22:AZ22 AX24:AZ24 AX26:AZ26 AX28:AZ28 AX30:AZ30 AX32:AZ32 AC14:AQ14 AC16:AQ16 AC18:AQ18 AC20:AQ20 AC22:AQ22 AC24:AQ24 AC26:AQ26 AC28:AQ28 AC30:AQ30 AC32:AQ32 N12:AQ12">
    <cfRule type="expression" dxfId="86" priority="90">
      <formula>NOT(ISBLANK($A12))</formula>
    </cfRule>
  </conditionalFormatting>
  <conditionalFormatting sqref="H12 H14 H16 H18 H20 H22 H24 H26 H28 H30 H32">
    <cfRule type="expression" dxfId="85" priority="84">
      <formula>ISBLANK($A12)</formula>
    </cfRule>
  </conditionalFormatting>
  <conditionalFormatting sqref="AU13 H13 H15 AU15 H17 AU17 H19 AU19 H21 AU21 H23 AU23 H25 AU25 H27 AU27 H29 AU29 H31 AU31 H33 AU33">
    <cfRule type="expression" dxfId="84" priority="83">
      <formula>ISBLANK($A12)</formula>
    </cfRule>
  </conditionalFormatting>
  <conditionalFormatting sqref="Q14:S14 Q16:S16 Q18:S18 Q20:S20 Q22:S22 Q24:S24 Q26:S26 Q28:S28 Q30:S30 Q32:S32 AX12 AX14 AX16 AX18 AX20 AX22 AX24 AX26 AX28 AX30 AX32 AC14:AQ14 AC16:AQ16 AC18:AQ18 AC20:AQ20 AC22:AQ22 AC24:AQ24 AC26:AQ26 AC28:AQ28 AC30:AQ30 AC32:AQ32 Q12:AQ12">
    <cfRule type="notContainsBlanks" dxfId="83" priority="88">
      <formula>LEN(TRIM(Q12))&gt;0</formula>
    </cfRule>
  </conditionalFormatting>
  <conditionalFormatting sqref="N12:P12 N14:P14 N16:P16 N18:P18 N20:P20 N22:P22 N24:P24 N26:P26 N28:P28 N30:P30 N32:P32">
    <cfRule type="notContainsBlanks" dxfId="82" priority="89">
      <formula>LEN(TRIM(N12))&gt;0</formula>
    </cfRule>
  </conditionalFormatting>
  <conditionalFormatting sqref="AI13:AK13">
    <cfRule type="notContainsBlanks" dxfId="81" priority="81">
      <formula>LEN(TRIM(AI13))&gt;0</formula>
    </cfRule>
  </conditionalFormatting>
  <conditionalFormatting sqref="AI13:AK13">
    <cfRule type="expression" dxfId="80" priority="82">
      <formula>NOT(ISBLANK(OFFSET($A11,1,0)))</formula>
    </cfRule>
  </conditionalFormatting>
  <conditionalFormatting sqref="BA15:BC15">
    <cfRule type="notContainsBlanks" dxfId="79" priority="79">
      <formula>LEN(TRIM(BA15))&gt;0</formula>
    </cfRule>
  </conditionalFormatting>
  <conditionalFormatting sqref="BA15:BC15">
    <cfRule type="expression" dxfId="78" priority="80">
      <formula>NOT(ISBLANK(OFFSET($A13,1,0)))</formula>
    </cfRule>
  </conditionalFormatting>
  <conditionalFormatting sqref="BA17:BC17">
    <cfRule type="notContainsBlanks" dxfId="77" priority="77">
      <formula>LEN(TRIM(BA17))&gt;0</formula>
    </cfRule>
  </conditionalFormatting>
  <conditionalFormatting sqref="BA17:BC17">
    <cfRule type="expression" dxfId="76" priority="78">
      <formula>NOT(ISBLANK(OFFSET($A15,1,0)))</formula>
    </cfRule>
  </conditionalFormatting>
  <conditionalFormatting sqref="BA19:BC19">
    <cfRule type="notContainsBlanks" dxfId="75" priority="75">
      <formula>LEN(TRIM(BA19))&gt;0</formula>
    </cfRule>
  </conditionalFormatting>
  <conditionalFormatting sqref="BA19:BC19">
    <cfRule type="expression" dxfId="74" priority="76">
      <formula>NOT(ISBLANK(OFFSET($A17,1,0)))</formula>
    </cfRule>
  </conditionalFormatting>
  <conditionalFormatting sqref="BA21:BC21">
    <cfRule type="notContainsBlanks" dxfId="73" priority="73">
      <formula>LEN(TRIM(BA21))&gt;0</formula>
    </cfRule>
  </conditionalFormatting>
  <conditionalFormatting sqref="BA21:BC21">
    <cfRule type="expression" dxfId="72" priority="74">
      <formula>NOT(ISBLANK(OFFSET($A19,1,0)))</formula>
    </cfRule>
  </conditionalFormatting>
  <conditionalFormatting sqref="BA23:BC23">
    <cfRule type="notContainsBlanks" dxfId="71" priority="71">
      <formula>LEN(TRIM(BA23))&gt;0</formula>
    </cfRule>
  </conditionalFormatting>
  <conditionalFormatting sqref="BA23:BC23">
    <cfRule type="expression" dxfId="70" priority="72">
      <formula>NOT(ISBLANK(OFFSET($A21,1,0)))</formula>
    </cfRule>
  </conditionalFormatting>
  <conditionalFormatting sqref="BA25:BC25">
    <cfRule type="notContainsBlanks" dxfId="69" priority="69">
      <formula>LEN(TRIM(BA25))&gt;0</formula>
    </cfRule>
  </conditionalFormatting>
  <conditionalFormatting sqref="BA25:BC25">
    <cfRule type="expression" dxfId="68" priority="70">
      <formula>NOT(ISBLANK(OFFSET($A23,1,0)))</formula>
    </cfRule>
  </conditionalFormatting>
  <conditionalFormatting sqref="BA27:BC27">
    <cfRule type="notContainsBlanks" dxfId="67" priority="67">
      <formula>LEN(TRIM(BA27))&gt;0</formula>
    </cfRule>
  </conditionalFormatting>
  <conditionalFormatting sqref="BA27:BC27">
    <cfRule type="expression" dxfId="66" priority="68">
      <formula>NOT(ISBLANK(OFFSET($A25,1,0)))</formula>
    </cfRule>
  </conditionalFormatting>
  <conditionalFormatting sqref="BA29:BC29">
    <cfRule type="notContainsBlanks" dxfId="65" priority="65">
      <formula>LEN(TRIM(BA29))&gt;0</formula>
    </cfRule>
  </conditionalFormatting>
  <conditionalFormatting sqref="BA29:BC29">
    <cfRule type="expression" dxfId="64" priority="66">
      <formula>NOT(ISBLANK(OFFSET($A27,1,0)))</formula>
    </cfRule>
  </conditionalFormatting>
  <conditionalFormatting sqref="BA31:BC31">
    <cfRule type="notContainsBlanks" dxfId="63" priority="63">
      <formula>LEN(TRIM(BA31))&gt;0</formula>
    </cfRule>
  </conditionalFormatting>
  <conditionalFormatting sqref="BA31:BC31">
    <cfRule type="expression" dxfId="62" priority="64">
      <formula>NOT(ISBLANK(OFFSET($A29,1,0)))</formula>
    </cfRule>
  </conditionalFormatting>
  <conditionalFormatting sqref="BA33:BC33">
    <cfRule type="notContainsBlanks" dxfId="61" priority="61">
      <formula>LEN(TRIM(BA33))&gt;0</formula>
    </cfRule>
  </conditionalFormatting>
  <conditionalFormatting sqref="BA33:BC33">
    <cfRule type="expression" dxfId="60" priority="62">
      <formula>NOT(ISBLANK(OFFSET($A31,1,0)))</formula>
    </cfRule>
  </conditionalFormatting>
  <conditionalFormatting sqref="AI15:AK15">
    <cfRule type="notContainsBlanks" dxfId="59" priority="59">
      <formula>LEN(TRIM(AI15))&gt;0</formula>
    </cfRule>
  </conditionalFormatting>
  <conditionalFormatting sqref="AI15:AK15">
    <cfRule type="expression" dxfId="58" priority="60">
      <formula>NOT(ISBLANK(OFFSET($A13,1,0)))</formula>
    </cfRule>
  </conditionalFormatting>
  <conditionalFormatting sqref="AI17:AK17">
    <cfRule type="notContainsBlanks" dxfId="57" priority="57">
      <formula>LEN(TRIM(AI17))&gt;0</formula>
    </cfRule>
  </conditionalFormatting>
  <conditionalFormatting sqref="AI17:AK17">
    <cfRule type="expression" dxfId="56" priority="58">
      <formula>NOT(ISBLANK(OFFSET($A15,1,0)))</formula>
    </cfRule>
  </conditionalFormatting>
  <conditionalFormatting sqref="AI19:AK19">
    <cfRule type="notContainsBlanks" dxfId="55" priority="55">
      <formula>LEN(TRIM(AI19))&gt;0</formula>
    </cfRule>
  </conditionalFormatting>
  <conditionalFormatting sqref="AI19:AK19">
    <cfRule type="expression" dxfId="54" priority="56">
      <formula>NOT(ISBLANK(OFFSET($A17,1,0)))</formula>
    </cfRule>
  </conditionalFormatting>
  <conditionalFormatting sqref="AI21:AK21">
    <cfRule type="notContainsBlanks" dxfId="53" priority="53">
      <formula>LEN(TRIM(AI21))&gt;0</formula>
    </cfRule>
  </conditionalFormatting>
  <conditionalFormatting sqref="AI21:AK21">
    <cfRule type="expression" dxfId="52" priority="54">
      <formula>NOT(ISBLANK(OFFSET($A19,1,0)))</formula>
    </cfRule>
  </conditionalFormatting>
  <conditionalFormatting sqref="AI23:AK23">
    <cfRule type="notContainsBlanks" dxfId="51" priority="51">
      <formula>LEN(TRIM(AI23))&gt;0</formula>
    </cfRule>
  </conditionalFormatting>
  <conditionalFormatting sqref="AI23:AK23">
    <cfRule type="expression" dxfId="50" priority="52">
      <formula>NOT(ISBLANK(OFFSET($A21,1,0)))</formula>
    </cfRule>
  </conditionalFormatting>
  <conditionalFormatting sqref="AI25:AK25">
    <cfRule type="notContainsBlanks" dxfId="49" priority="49">
      <formula>LEN(TRIM(AI25))&gt;0</formula>
    </cfRule>
  </conditionalFormatting>
  <conditionalFormatting sqref="AI25:AK25">
    <cfRule type="expression" dxfId="48" priority="50">
      <formula>NOT(ISBLANK(OFFSET($A23,1,0)))</formula>
    </cfRule>
  </conditionalFormatting>
  <conditionalFormatting sqref="AI27:AK27">
    <cfRule type="notContainsBlanks" dxfId="47" priority="47">
      <formula>LEN(TRIM(AI27))&gt;0</formula>
    </cfRule>
  </conditionalFormatting>
  <conditionalFormatting sqref="AI27:AK27">
    <cfRule type="expression" dxfId="46" priority="48">
      <formula>NOT(ISBLANK(OFFSET($A25,1,0)))</formula>
    </cfRule>
  </conditionalFormatting>
  <conditionalFormatting sqref="AI29:AK29">
    <cfRule type="notContainsBlanks" dxfId="45" priority="45">
      <formula>LEN(TRIM(AI29))&gt;0</formula>
    </cfRule>
  </conditionalFormatting>
  <conditionalFormatting sqref="AI29:AK29">
    <cfRule type="expression" dxfId="44" priority="46">
      <formula>NOT(ISBLANK(OFFSET($A27,1,0)))</formula>
    </cfRule>
  </conditionalFormatting>
  <conditionalFormatting sqref="AI31:AK31">
    <cfRule type="notContainsBlanks" dxfId="43" priority="43">
      <formula>LEN(TRIM(AI31))&gt;0</formula>
    </cfRule>
  </conditionalFormatting>
  <conditionalFormatting sqref="AI31:AK31">
    <cfRule type="expression" dxfId="42" priority="44">
      <formula>NOT(ISBLANK(OFFSET($A29,1,0)))</formula>
    </cfRule>
  </conditionalFormatting>
  <conditionalFormatting sqref="AI33:AK33">
    <cfRule type="notContainsBlanks" dxfId="41" priority="41">
      <formula>LEN(TRIM(AI33))&gt;0</formula>
    </cfRule>
  </conditionalFormatting>
  <conditionalFormatting sqref="AI33:AK33">
    <cfRule type="expression" dxfId="40" priority="42">
      <formula>NOT(ISBLANK(OFFSET($A31,1,0)))</formula>
    </cfRule>
  </conditionalFormatting>
  <conditionalFormatting sqref="T15:AB15">
    <cfRule type="notContainsBlanks" dxfId="39" priority="37">
      <formula>LEN(TRIM(T15))&gt;0</formula>
    </cfRule>
  </conditionalFormatting>
  <conditionalFormatting sqref="T15:AB15">
    <cfRule type="expression" dxfId="38" priority="38">
      <formula>NOT(ISBLANK(OFFSET($A13,1,0)))</formula>
    </cfRule>
  </conditionalFormatting>
  <conditionalFormatting sqref="T14:AB14">
    <cfRule type="expression" dxfId="37" priority="40">
      <formula>NOT(ISBLANK($A14))</formula>
    </cfRule>
  </conditionalFormatting>
  <conditionalFormatting sqref="T14:AB14">
    <cfRule type="notContainsBlanks" dxfId="36" priority="39">
      <formula>LEN(TRIM(T14))&gt;0</formula>
    </cfRule>
  </conditionalFormatting>
  <conditionalFormatting sqref="T17:AB17">
    <cfRule type="notContainsBlanks" dxfId="35" priority="33">
      <formula>LEN(TRIM(T17))&gt;0</formula>
    </cfRule>
  </conditionalFormatting>
  <conditionalFormatting sqref="T17:AB17">
    <cfRule type="expression" dxfId="34" priority="34">
      <formula>NOT(ISBLANK(OFFSET($A15,1,0)))</formula>
    </cfRule>
  </conditionalFormatting>
  <conditionalFormatting sqref="T16:AB16">
    <cfRule type="expression" dxfId="33" priority="36">
      <formula>NOT(ISBLANK($A16))</formula>
    </cfRule>
  </conditionalFormatting>
  <conditionalFormatting sqref="T16:AB16">
    <cfRule type="notContainsBlanks" dxfId="32" priority="35">
      <formula>LEN(TRIM(T16))&gt;0</formula>
    </cfRule>
  </conditionalFormatting>
  <conditionalFormatting sqref="T19:AB19">
    <cfRule type="notContainsBlanks" dxfId="31" priority="29">
      <formula>LEN(TRIM(T19))&gt;0</formula>
    </cfRule>
  </conditionalFormatting>
  <conditionalFormatting sqref="T19:AB19">
    <cfRule type="expression" dxfId="30" priority="30">
      <formula>NOT(ISBLANK(OFFSET($A17,1,0)))</formula>
    </cfRule>
  </conditionalFormatting>
  <conditionalFormatting sqref="T18:AB18">
    <cfRule type="expression" dxfId="29" priority="32">
      <formula>NOT(ISBLANK($A18))</formula>
    </cfRule>
  </conditionalFormatting>
  <conditionalFormatting sqref="T18:AB18">
    <cfRule type="notContainsBlanks" dxfId="28" priority="31">
      <formula>LEN(TRIM(T18))&gt;0</formula>
    </cfRule>
  </conditionalFormatting>
  <conditionalFormatting sqref="T21:AB21">
    <cfRule type="notContainsBlanks" dxfId="27" priority="25">
      <formula>LEN(TRIM(T21))&gt;0</formula>
    </cfRule>
  </conditionalFormatting>
  <conditionalFormatting sqref="T21:AB21">
    <cfRule type="expression" dxfId="26" priority="26">
      <formula>NOT(ISBLANK(OFFSET($A19,1,0)))</formula>
    </cfRule>
  </conditionalFormatting>
  <conditionalFormatting sqref="T20:AB20">
    <cfRule type="expression" dxfId="25" priority="28">
      <formula>NOT(ISBLANK($A20))</formula>
    </cfRule>
  </conditionalFormatting>
  <conditionalFormatting sqref="T20:AB20">
    <cfRule type="notContainsBlanks" dxfId="24" priority="27">
      <formula>LEN(TRIM(T20))&gt;0</formula>
    </cfRule>
  </conditionalFormatting>
  <conditionalFormatting sqref="T23:AB23">
    <cfRule type="notContainsBlanks" dxfId="23" priority="21">
      <formula>LEN(TRIM(T23))&gt;0</formula>
    </cfRule>
  </conditionalFormatting>
  <conditionalFormatting sqref="T23:AB23">
    <cfRule type="expression" dxfId="22" priority="22">
      <formula>NOT(ISBLANK(OFFSET($A21,1,0)))</formula>
    </cfRule>
  </conditionalFormatting>
  <conditionalFormatting sqref="T22:AB22">
    <cfRule type="expression" dxfId="21" priority="24">
      <formula>NOT(ISBLANK($A22))</formula>
    </cfRule>
  </conditionalFormatting>
  <conditionalFormatting sqref="T22:AB22">
    <cfRule type="notContainsBlanks" dxfId="20" priority="23">
      <formula>LEN(TRIM(T22))&gt;0</formula>
    </cfRule>
  </conditionalFormatting>
  <conditionalFormatting sqref="T25:AB25">
    <cfRule type="notContainsBlanks" dxfId="19" priority="17">
      <formula>LEN(TRIM(T25))&gt;0</formula>
    </cfRule>
  </conditionalFormatting>
  <conditionalFormatting sqref="T25:AB25">
    <cfRule type="expression" dxfId="18" priority="18">
      <formula>NOT(ISBLANK(OFFSET($A23,1,0)))</formula>
    </cfRule>
  </conditionalFormatting>
  <conditionalFormatting sqref="T24:AB24">
    <cfRule type="expression" dxfId="17" priority="20">
      <formula>NOT(ISBLANK($A24))</formula>
    </cfRule>
  </conditionalFormatting>
  <conditionalFormatting sqref="T24:AB24">
    <cfRule type="notContainsBlanks" dxfId="16" priority="19">
      <formula>LEN(TRIM(T24))&gt;0</formula>
    </cfRule>
  </conditionalFormatting>
  <conditionalFormatting sqref="T27:AB27">
    <cfRule type="notContainsBlanks" dxfId="15" priority="13">
      <formula>LEN(TRIM(T27))&gt;0</formula>
    </cfRule>
  </conditionalFormatting>
  <conditionalFormatting sqref="T27:AB27">
    <cfRule type="expression" dxfId="14" priority="14">
      <formula>NOT(ISBLANK(OFFSET($A25,1,0)))</formula>
    </cfRule>
  </conditionalFormatting>
  <conditionalFormatting sqref="T26:AB26">
    <cfRule type="expression" dxfId="13" priority="16">
      <formula>NOT(ISBLANK($A26))</formula>
    </cfRule>
  </conditionalFormatting>
  <conditionalFormatting sqref="T26:AB26">
    <cfRule type="notContainsBlanks" dxfId="12" priority="15">
      <formula>LEN(TRIM(T26))&gt;0</formula>
    </cfRule>
  </conditionalFormatting>
  <conditionalFormatting sqref="T29:AB29">
    <cfRule type="notContainsBlanks" dxfId="11" priority="9">
      <formula>LEN(TRIM(T29))&gt;0</formula>
    </cfRule>
  </conditionalFormatting>
  <conditionalFormatting sqref="T29:AB29">
    <cfRule type="expression" dxfId="10" priority="10">
      <formula>NOT(ISBLANK(OFFSET($A27,1,0)))</formula>
    </cfRule>
  </conditionalFormatting>
  <conditionalFormatting sqref="T28:AB28">
    <cfRule type="expression" dxfId="9" priority="12">
      <formula>NOT(ISBLANK($A28))</formula>
    </cfRule>
  </conditionalFormatting>
  <conditionalFormatting sqref="T28:AB28">
    <cfRule type="notContainsBlanks" dxfId="8" priority="11">
      <formula>LEN(TRIM(T28))&gt;0</formula>
    </cfRule>
  </conditionalFormatting>
  <conditionalFormatting sqref="T31:AB31">
    <cfRule type="notContainsBlanks" dxfId="7" priority="5">
      <formula>LEN(TRIM(T31))&gt;0</formula>
    </cfRule>
  </conditionalFormatting>
  <conditionalFormatting sqref="T31:AB31">
    <cfRule type="expression" dxfId="6" priority="6">
      <formula>NOT(ISBLANK(OFFSET($A29,1,0)))</formula>
    </cfRule>
  </conditionalFormatting>
  <conditionalFormatting sqref="T30:AB30">
    <cfRule type="expression" dxfId="5" priority="8">
      <formula>NOT(ISBLANK($A30))</formula>
    </cfRule>
  </conditionalFormatting>
  <conditionalFormatting sqref="T30:AB30">
    <cfRule type="notContainsBlanks" dxfId="4" priority="7">
      <formula>LEN(TRIM(T30))&gt;0</formula>
    </cfRule>
  </conditionalFormatting>
  <conditionalFormatting sqref="T33:AB33">
    <cfRule type="notContainsBlanks" dxfId="3" priority="1">
      <formula>LEN(TRIM(T33))&gt;0</formula>
    </cfRule>
  </conditionalFormatting>
  <conditionalFormatting sqref="T33:AB33">
    <cfRule type="expression" dxfId="2" priority="2">
      <formula>NOT(ISBLANK(OFFSET($A31,1,0)))</formula>
    </cfRule>
  </conditionalFormatting>
  <conditionalFormatting sqref="T32:AB32">
    <cfRule type="expression" dxfId="1" priority="4">
      <formula>NOT(ISBLANK($A32))</formula>
    </cfRule>
  </conditionalFormatting>
  <conditionalFormatting sqref="T32:AB32">
    <cfRule type="notContainsBlanks" dxfId="0" priority="3">
      <formula>LEN(TRIM(T32))&gt;0</formula>
    </cfRule>
  </conditionalFormatting>
  <dataValidations count="1">
    <dataValidation type="whole" allowBlank="1" showInputMessage="1" showErrorMessage="1" error="This Remarks section is limted to 5." sqref="A36:A40" xr:uid="{6FA12ECF-1021-4E53-9BCE-8540AD5E9688}">
      <formula1>1</formula1>
      <formula2>5</formula2>
    </dataValidation>
  </dataValidations>
  <printOptions horizontalCentered="1"/>
  <pageMargins left="0.5" right="0.5" top="0.5" bottom="0.5" header="0" footer="0.25"/>
  <pageSetup scale="97" orientation="landscape" r:id="rId1"/>
  <headerFooter>
    <oddHeader>&amp;L&amp;6&amp;K00+000&amp;A</oddHeader>
    <oddFooter>&amp;C&amp;8&amp;K002060© 2016 - 2021 Campos Engineering, Inc.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102</vt:i4>
      </vt:variant>
    </vt:vector>
  </HeadingPairs>
  <TitlesOfParts>
    <vt:vector size="125" baseType="lpstr">
      <vt:lpstr>Builder</vt:lpstr>
      <vt:lpstr>FLYERMT</vt:lpstr>
      <vt:lpstr>MAINMT</vt:lpstr>
      <vt:lpstr>DFMT</vt:lpstr>
      <vt:lpstr>DF_SINGLE_SPMT</vt:lpstr>
      <vt:lpstr>DF_DOUBLE_SPMT</vt:lpstr>
      <vt:lpstr>CURVEMT</vt:lpstr>
      <vt:lpstr>OUTLETSUMMT</vt:lpstr>
      <vt:lpstr>TRAVMT</vt:lpstr>
      <vt:lpstr>STDPTORAVMT</vt:lpstr>
      <vt:lpstr>STD_AF_TRAVMT</vt:lpstr>
      <vt:lpstr>RNDTRAVMT</vt:lpstr>
      <vt:lpstr>RND_AF_TRAVMT</vt:lpstr>
      <vt:lpstr>ATUSUMMT</vt:lpstr>
      <vt:lpstr>ATUMT</vt:lpstr>
      <vt:lpstr>DDATUMT</vt:lpstr>
      <vt:lpstr>SFPBMT</vt:lpstr>
      <vt:lpstr>SFPBOAMT</vt:lpstr>
      <vt:lpstr>PFPBMT</vt:lpstr>
      <vt:lpstr>SAVMT</vt:lpstr>
      <vt:lpstr>RAVMT</vt:lpstr>
      <vt:lpstr>EAVMT</vt:lpstr>
      <vt:lpstr>HHWMT</vt:lpstr>
      <vt:lpstr>AHU_1</vt:lpstr>
      <vt:lpstr>AHU_Build_All</vt:lpstr>
      <vt:lpstr>AHU_Init_Main_Rows</vt:lpstr>
      <vt:lpstr>AHU_Key</vt:lpstr>
      <vt:lpstr>AHU_Main_Rows</vt:lpstr>
      <vt:lpstr>AHU_Number</vt:lpstr>
      <vt:lpstr>AHU_Reset_All</vt:lpstr>
      <vt:lpstr>AHU_RNG</vt:lpstr>
      <vt:lpstr>AHU_Secondary_1</vt:lpstr>
      <vt:lpstr>AHU_Secondary_ATU_1</vt:lpstr>
      <vt:lpstr>AHU_Secondary_ATU_Build</vt:lpstr>
      <vt:lpstr>AHU_Secondary_ATU_Key</vt:lpstr>
      <vt:lpstr>AHU_Secondary_ATU_Let_1</vt:lpstr>
      <vt:lpstr>AHU_Secondary_ATU_Let_Key</vt:lpstr>
      <vt:lpstr>AHU_Secondary_ATU_Let_RNG</vt:lpstr>
      <vt:lpstr>AHU_Secondary_ATU_Reset</vt:lpstr>
      <vt:lpstr>AHU_Secondary_ATU_RNG</vt:lpstr>
      <vt:lpstr>AHU_Secondary_Build</vt:lpstr>
      <vt:lpstr>AHU_Secondary_In_1</vt:lpstr>
      <vt:lpstr>AHU_Secondary_In_Key</vt:lpstr>
      <vt:lpstr>AHU_Secondary_In_RNG</vt:lpstr>
      <vt:lpstr>AHU_Secondary_Key</vt:lpstr>
      <vt:lpstr>AHU_Secondary_Main_Rows</vt:lpstr>
      <vt:lpstr>AHU_Secondary_Reset</vt:lpstr>
      <vt:lpstr>AHU_Secondary_RNG</vt:lpstr>
      <vt:lpstr>AHU_Supply_1</vt:lpstr>
      <vt:lpstr>AHU_Supply_ATU_1</vt:lpstr>
      <vt:lpstr>AHU_Supply_ATU_Area_Served</vt:lpstr>
      <vt:lpstr>AHU_Supply_ATU_BoxNo</vt:lpstr>
      <vt:lpstr>AHU_Supply_ATU_Build</vt:lpstr>
      <vt:lpstr>AHU_Supply_ATU_InletShape</vt:lpstr>
      <vt:lpstr>AHU_Supply_ATU_InletSize</vt:lpstr>
      <vt:lpstr>AHU_Supply_ATU_Key</vt:lpstr>
      <vt:lpstr>AHU_Supply_ATU_Let_1</vt:lpstr>
      <vt:lpstr>AHU_Supply_ATU_Let_Key</vt:lpstr>
      <vt:lpstr>AHU_Supply_ATU_Let_RNG</vt:lpstr>
      <vt:lpstr>AHU_Supply_ATU_Location</vt:lpstr>
      <vt:lpstr>AHU_Supply_ATU_MFG</vt:lpstr>
      <vt:lpstr>AHU_Supply_ATU_ModelNo</vt:lpstr>
      <vt:lpstr>AHU_Supply_ATU_Reset</vt:lpstr>
      <vt:lpstr>AHU_Supply_ATU_RNG</vt:lpstr>
      <vt:lpstr>AHU_Supply_ATU_SheetType</vt:lpstr>
      <vt:lpstr>AHU_Supply_ATU_Type</vt:lpstr>
      <vt:lpstr>AHU_Supply_ATUNum</vt:lpstr>
      <vt:lpstr>AHU_Supply_BHP</vt:lpstr>
      <vt:lpstr>AHU_Supply_Build</vt:lpstr>
      <vt:lpstr>AHU_Supply_CFM</vt:lpstr>
      <vt:lpstr>AHU_Supply_CHWSum</vt:lpstr>
      <vt:lpstr>AHU_Supply_DRI_1</vt:lpstr>
      <vt:lpstr>AHU_Supply_DRI_Key</vt:lpstr>
      <vt:lpstr>AHU_Supply_DRI_RNG</vt:lpstr>
      <vt:lpstr>AHU_Supply_DXSum</vt:lpstr>
      <vt:lpstr>AHU_Supply_ElecHeatSum</vt:lpstr>
      <vt:lpstr>AHU_Supply_ESP</vt:lpstr>
      <vt:lpstr>AHU_Supply_GasHeatSum</vt:lpstr>
      <vt:lpstr>AHU_Supply_HHWSum</vt:lpstr>
      <vt:lpstr>AHU_Supply_HPSum</vt:lpstr>
      <vt:lpstr>AHU_Supply_Key</vt:lpstr>
      <vt:lpstr>AHU_Supply_Main_Rows</vt:lpstr>
      <vt:lpstr>AHU_Supply_NumOut</vt:lpstr>
      <vt:lpstr>AHU_Supply_Out_1</vt:lpstr>
      <vt:lpstr>AHU_Supply_Out_Key</vt:lpstr>
      <vt:lpstr>AHU_Supply_Out_RNG</vt:lpstr>
      <vt:lpstr>AHU_Supply_OutsideCFM</vt:lpstr>
      <vt:lpstr>AHU_Supply_Reset</vt:lpstr>
      <vt:lpstr>AHU_Supply_ReturnCFM</vt:lpstr>
      <vt:lpstr>AHU_Supply_RNG</vt:lpstr>
      <vt:lpstr>AHU_Supply_RPM</vt:lpstr>
      <vt:lpstr>AHU_Supply_Sheet_Select</vt:lpstr>
      <vt:lpstr>AHU_Supply_SupCurve</vt:lpstr>
      <vt:lpstr>AHU_Supply_SupTrav</vt:lpstr>
      <vt:lpstr>AHU_Supply_TSP</vt:lpstr>
      <vt:lpstr>Build_All</vt:lpstr>
      <vt:lpstr>ATUMT!CLIENTLOGO</vt:lpstr>
      <vt:lpstr>CURVEMT!CLIENTLOGO</vt:lpstr>
      <vt:lpstr>FLYERMT!CLIENTLOGO</vt:lpstr>
      <vt:lpstr>OUTLETSUMMT!CLIENTLOGO</vt:lpstr>
      <vt:lpstr>STDPTORAVMT!CLIENTLOGO</vt:lpstr>
      <vt:lpstr>TRAVMT!CLIENTLOGO</vt:lpstr>
      <vt:lpstr>ATUMT!Print_Area</vt:lpstr>
      <vt:lpstr>ATUSUMMT!Print_Area</vt:lpstr>
      <vt:lpstr>CURVEMT!Print_Area</vt:lpstr>
      <vt:lpstr>DDATUMT!Print_Area</vt:lpstr>
      <vt:lpstr>DF_DOUBLE_SPMT!Print_Area</vt:lpstr>
      <vt:lpstr>DF_SINGLE_SPMT!Print_Area</vt:lpstr>
      <vt:lpstr>DFMT!Print_Area</vt:lpstr>
      <vt:lpstr>EAVMT!Print_Area</vt:lpstr>
      <vt:lpstr>FLYERMT!Print_Area</vt:lpstr>
      <vt:lpstr>HHWMT!Print_Area</vt:lpstr>
      <vt:lpstr>MAINMT!Print_Area</vt:lpstr>
      <vt:lpstr>OUTLETSUMMT!Print_Area</vt:lpstr>
      <vt:lpstr>PFPBMT!Print_Area</vt:lpstr>
      <vt:lpstr>RAVMT!Print_Area</vt:lpstr>
      <vt:lpstr>RND_AF_TRAVMT!Print_Area</vt:lpstr>
      <vt:lpstr>RNDTRAVMT!Print_Area</vt:lpstr>
      <vt:lpstr>SAVMT!Print_Area</vt:lpstr>
      <vt:lpstr>SFPBMT!Print_Area</vt:lpstr>
      <vt:lpstr>SFPBOAMT!Print_Area</vt:lpstr>
      <vt:lpstr>STD_AF_TRAVMT!Print_Area</vt:lpstr>
      <vt:lpstr>STDPTORAVMT!Print_Area</vt:lpstr>
      <vt:lpstr>TRAVMT!Print_Area</vt:lpstr>
      <vt:lpstr>VAVReport_Box_1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 Thieme</dc:creator>
  <cp:lastModifiedBy>Dirk Thieme</cp:lastModifiedBy>
  <dcterms:created xsi:type="dcterms:W3CDTF">2015-06-05T18:17:20Z</dcterms:created>
  <dcterms:modified xsi:type="dcterms:W3CDTF">2023-02-08T01:49:54Z</dcterms:modified>
</cp:coreProperties>
</file>